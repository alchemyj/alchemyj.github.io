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D:\AlchemyJ Tutorial\Build a Product Price List API Using Excel\"/>
    </mc:Choice>
  </mc:AlternateContent>
  <xr:revisionPtr revIDLastSave="0" documentId="8_{406AB865-FF8E-4EA2-AF81-0B5A93621A7A}" xr6:coauthVersionLast="45" xr6:coauthVersionMax="45" xr10:uidLastSave="{00000000-0000-0000-0000-000000000000}"/>
  <bookViews>
    <workbookView xWindow="444" yWindow="444" windowWidth="16068" windowHeight="11832" tabRatio="801" activeTab="1" xr2:uid="{00000000-000D-0000-FFFF-FFFF00000000}"/>
  </bookViews>
  <sheets>
    <sheet name="Instructions" sheetId="14" r:id="rId1"/>
    <sheet name="Data" sheetId="15" r:id="rId2"/>
    <sheet name="Query" sheetId="16" r:id="rId3"/>
    <sheet name="DataDictionary" sheetId="21" r:id="rId4"/>
    <sheet name="DRS" sheetId="1" r:id="rId5"/>
    <sheet name="##RestApi" sheetId="6" r:id="rId6"/>
    <sheet name="##RestEndpointGroup" sheetId="7" r:id="rId7"/>
    <sheet name="%%AppConfig" sheetId="3" r:id="rId8"/>
    <sheet name="%%SysRuntime" sheetId="4" r:id="rId9"/>
    <sheet name="%%SysConfig" sheetId="2" state="hidden" r:id="rId10"/>
  </sheets>
  <functionGroups builtInGroupCount="19"/>
  <definedNames>
    <definedName name="_xlnm._FilterDatabase" localSheetId="9" hidden="1">'%%SysConfig'!$A$2:$C$2</definedName>
    <definedName name="_xlnm._FilterDatabase" localSheetId="2" hidden="1">Query!$B$7:$K$7</definedName>
    <definedName name="AlchemyJ_DataDic" localSheetId="3">AlchemyJ_DataDic_tbl[#All]</definedName>
    <definedName name="AlchemyJ_DataDicErrorDef" localSheetId="3">DataDictionary!$A$5:$AL$6</definedName>
    <definedName name="AlchemyJ_FunctionPoint">'%%SysRuntime'!$B$4</definedName>
    <definedName name="AlchemyJ_Maven_Dependency" localSheetId="5">AlchemyJ_Maven_Dependency_REST_tbl[#All]</definedName>
    <definedName name="AlchemyJ_Name_ConfType" localSheetId="5">'##RestApi'!$A$1</definedName>
    <definedName name="AlchemyJ_Name_ConfType" localSheetId="6">'##RestEndpointGroup'!$A$1</definedName>
    <definedName name="AlchemyJ_Parameter_Separator">'%%AppConfig'!$B$3</definedName>
    <definedName name="AlchemyJ_Parameter_Type_Separator">'%%AppConfig'!$B$4</definedName>
    <definedName name="AlchemyJ_REST_Sec_Authority_List">'%%SysRuntime'!$B$6</definedName>
    <definedName name="AlchemyJ_REST_Sec_UserName">'%%SysRuntime'!$B$5</definedName>
    <definedName name="AlchemyJ_RestCls_EndPoint_Def" localSheetId="6">AlchemyJ_RestCls_EndPointDef_tbl[#All]</definedName>
    <definedName name="AlchemyJ_RestCls_EndPointParam_Def" localSheetId="6">AlchemyJ_RestCls_EndPointParamDef_tbl[#All]</definedName>
    <definedName name="AlchemyJ_RestCls_EndPointRespOperation_Def" localSheetId="6">AlchemyJ_RestCls_EndPointRespOperationDef_tbl[#All]</definedName>
    <definedName name="AlchemyJ_RestCls_Nm_Cls_Name" localSheetId="6">'##RestEndpointGroup'!$B$5</definedName>
    <definedName name="AlchemyJ_RestCls_Nm_Request_Mapping" localSheetId="6">'##RestEndpointGroup'!$B$6</definedName>
    <definedName name="AlchemyJ_RestCls_OutputSettings" localSheetId="6">AlchemyJ_RestCls_OutputSettings_tbl[#All]</definedName>
    <definedName name="AlchemyJ_RestCls_Sheet_Def" localSheetId="6">AlchemyJ_RestCls_SheetDef_tbl[#All]</definedName>
    <definedName name="AlchemyJ_RestPkg_Additional_Config" localSheetId="5">AlchemyJ_RestPkg_Additional_Config_Tbl[#All]</definedName>
    <definedName name="AlchemyJ_RestPkg_Advance_Settings" localSheetId="5">AlchemyJ_RestPkg_Advance_Settings_Tbl[#All]</definedName>
    <definedName name="AlchemyJ_RestPkg_AlchemyJ_Setting_Def" localSheetId="5">AlchemyJ_RestPkg_AlchemyJ_Setting_tbl[#All]</definedName>
    <definedName name="AlchemyJ_RestPkg_ClassList_Def" localSheetId="5">AlchemyJ_RestPkg_ClassList_tbl[#All]</definedName>
    <definedName name="AlchemyJ_RestPkg_Doc_Config" localSheetId="5">AlchemyJ_RestPkg_Doc_Config_Tbl[#All]</definedName>
    <definedName name="AlchemyJ_RestPkg_ET_Setting_Def" localSheetId="5">AlchemyJ_RestPkg_ET_Setting_tbl[#All]</definedName>
    <definedName name="AlchemyJ_RestPkg_Nm_API_Name" localSheetId="5">'##RestApi'!$B$5</definedName>
    <definedName name="AlchemyJ_RestPkg_Nm_Ext_Log_Env_Var" localSheetId="5">'##RestApi'!$B$50</definedName>
    <definedName name="AlchemyJ_RestPkg_Nm_Ext_Log_Location" localSheetId="5">'##RestApi'!$B$49</definedName>
    <definedName name="AlchemyJ_RestPkg_Nm_Ext_Yml_Env_Var" localSheetId="5">'##RestApi'!$B$48</definedName>
    <definedName name="AlchemyJ_RestPkg_Nm_Ext_Yml_Location" localSheetId="5">'##RestApi'!$B$47</definedName>
    <definedName name="AlchemyJ_RestPkg_Nm_Mv_Artifact_ID" localSheetId="5">'##RestApi'!$B$46</definedName>
    <definedName name="AlchemyJ_RestPkg_Nm_Mv_Group_ID" localSheetId="5">'##RestApi'!$B$45</definedName>
    <definedName name="AlchemyJ_RestPkg_Nm_Mv_Version" localSheetId="5">'##RestApi'!$B$7</definedName>
    <definedName name="AlchemyJ_RestPkg_Nm_Output_File_Name" localSheetId="5">'##RestApi'!$B$43</definedName>
    <definedName name="AlchemyJ_RestPkg_Nm_Pkg_Name" localSheetId="5">'##RestApi'!$B$6</definedName>
    <definedName name="AlchemyJ_RestPkg_Response_Code_Config" localSheetId="5">AlchemyJ_RestPkg_Response_Code_Config_Tbl[#All]</definedName>
    <definedName name="AlchemyJ_RestPkg_SessionManagement_Setting_Def" localSheetId="5">AlchemyJ_RestPkg_SessionManagement_Setting_tbl[#All]</definedName>
    <definedName name="AlchemyJ_RestPkg_Setting" localSheetId="5">AlchemyJ_RestPkg_Setting_tbl[#All]</definedName>
    <definedName name="AlchemyJ_RunningFlag">'%%SysRuntime'!$B$3</definedName>
    <definedName name="AlchemyJ_SysProp_Auto_Navigate" localSheetId="9">'%%SysConfig'!$C$24</definedName>
    <definedName name="AlchemyJ_SysProp_Auto_Save" localSheetId="9">'%%SysConfig'!$C$4</definedName>
    <definedName name="AlchemyJ_SysProp_Build_Jar_Output_Folder" localSheetId="9">'%%SysConfig'!$C$12</definedName>
    <definedName name="AlchemyJ_SysProp_Build_Open_Output_Folder" localSheetId="9">'%%SysConfig'!$C$13</definedName>
    <definedName name="AlchemyJ_SysProp_Build_Output_Folder" localSheetId="9">'%%SysConfig'!$C$7</definedName>
    <definedName name="AlchemyJ_SysProp_Build_Target_Sheet" localSheetId="9">'%%SysConfig'!$C$3</definedName>
    <definedName name="AlchemyJ_SysProp_Build_Type" localSheetId="9">'%%SysConfig'!$C$8</definedName>
    <definedName name="AlchemyJ_SysProp_Close_Workbook" localSheetId="9">'%%SysConfig'!$C$5</definedName>
    <definedName name="AlchemyJ_SysProp_Compilation_Mode" localSheetId="9">'%%SysConfig'!$C$6</definedName>
    <definedName name="AlchemyJ_SysProp_Compile_Project_Into_A_Package" localSheetId="9">'%%SysConfig'!$C$10</definedName>
    <definedName name="AlchemyJ_SysProp_Copy_Package_File_To_Folder" localSheetId="9">'%%SysConfig'!$C$11</definedName>
    <definedName name="AlchemyJ_SysProp_Enable_AJ_Library_Function_Check" localSheetId="9">'%%SysConfig'!$C$19</definedName>
    <definedName name="AlchemyJ_SysProp_Function_Array_Overflow_Option" localSheetId="9">'%%SysConfig'!$C$25</definedName>
    <definedName name="AlchemyJ_SysProp_Jar_Embedded_Server" localSheetId="9">'%%SysConfig'!$C$9</definedName>
    <definedName name="AlchemyJ_SysProp_Java_Options_for_Compiler" localSheetId="9">'%%SysConfig'!$C$27</definedName>
    <definedName name="AlchemyJ_SysProp_Java_Options_for_Embedded_Server" localSheetId="9">'%%SysConfig'!$C$28</definedName>
    <definedName name="AlchemyJ_SysProp_Java_Options_for_Maven" localSheetId="9">'%%SysConfig'!$C$29</definedName>
    <definedName name="AlchemyJ_SysProp_License_File_Env_Variable" localSheetId="9">'%%SysConfig'!$C$15</definedName>
    <definedName name="AlchemyJ_SysProp_License_File_Location" localSheetId="9">'%%SysConfig'!$C$16</definedName>
    <definedName name="AlchemyJ_SysProp_Message_Level" localSheetId="9">'%%SysConfig'!$C$17</definedName>
    <definedName name="AlchemyJ_SysProp_Package_Workbooks" localSheetId="9">'%%SysConfig'!$C$22</definedName>
    <definedName name="AlchemyJ_SysProp_Run_Validation_Before_Build_Project" localSheetId="9">'%%SysConfig'!$C$20</definedName>
    <definedName name="AlchemyJ_SysProp_Show_Response_Dialog" localSheetId="9">'%%SysConfig'!$C$23</definedName>
    <definedName name="AlchemyJ_SysProp_Start_Server_When_Finished" localSheetId="9">'%%SysConfig'!$C$14</definedName>
    <definedName name="AlchemyJ_SysProp_Studio_Log_Level" localSheetId="9">'%%SysConfig'!$C$26</definedName>
    <definedName name="AlchemyJ_SysProp_Validation_Bypass_Error" localSheetId="9">'%%SysConfig'!$C$21</definedName>
    <definedName name="AlchemyJ_SysProp_Validation_Result_New_Sheet" localSheetId="9">'%%SysConfig'!$C$18</definedName>
  </definedNames>
  <calcPr calcId="191029" calcMode="manual" calcCompleted="0" calcOnSave="0"/>
  <extLst>
    <ext xmlns:x14="http://schemas.microsoft.com/office/spreadsheetml/2009/9/main" uri="{8193D73E-4604-4355-AFF4-8A2333D13BE4}">
      <x14:definedNames>
        <x14:definedName name="ajAddress">
          <x14:argumentDescriptions count="3">
            <x14:argumentDescription index="0">specify a single cell or range of cells and obtain the address of the single cell or range of cells. If a range of cells is specified in the "cell_reference", only operation that apply to the whole row or column can be detected.</x14:argumentDescription>
            <x14:argumentDescription index="1">is a logical value, default is FALSE. This is applicable if "cell_reference" is a single cell. TRUE - returns a single address with range format, e.g. 'Business Logic'!A1:A1. FALSE - returns a single cell address, e.g. 'Business Logic'!A1.</x14:argumentDescription>
            <x14:argumentDescription index="2" xml:space="preserve">is a number value, 0 -  returns the worksheet name and cell address, e.g. Sheet1!A1. 1 - returns the cell address without the worksheet name, e.g. A1. 2 - returns the worksheet name only, e.g. Sheet1. Default is 0. </x14:argumentDescription>
          </x14:argumentDescriptions>
        </x14:definedName>
        <x14:definedName name="ajBigNumAbs">
          <x14:argumentDescriptions count="1">
            <x14:argumentDescription index="0">is to specify  the number in number or string format.</x14:argumentDescription>
          </x14:argumentDescriptions>
        </x14:definedName>
        <x14:definedName name="ajBigNumCompareTo">
          <x14:argumentDescriptions count="2">
            <x14:argumentDescription index="0">is to specify the number1 in number or string format to compare with the number2.</x14:argumentDescription>
            <x14:argumentDescription index="1">is to specify the number2 in number or string format to compare with the number1.</x14:argumentDescription>
          </x14:argumentDescriptions>
        </x14:definedName>
        <x14:definedName name="ajBigNumDivide">
          <x14:argumentDescriptions count="2">
            <x14:argumentDescription index="0">is to specify the dividend in number or string format.</x14:argumentDescription>
            <x14:argumentDescription index="1">is to specify the divisor in number or string format.</x14:argumentDescription>
          </x14:argumentDescriptions>
        </x14:definedName>
        <x14:definedName name="ajBigNumDivideToInteger">
          <x14:argumentDescriptions count="2">
            <x14:argumentDescription index="0">is to specify the dividend in number or string format.</x14:argumentDescription>
            <x14:argumentDescription index="1">is to specify the divisor in number or string format.</x14:argumentDescription>
          </x14:argumentDescriptions>
        </x14:definedName>
        <x14:definedName name="ajBigNumEquals">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nt">
          <x14:argumentDescriptions count="2">
            <x14:argumentDescription index="0">is to specify  the number in number or string format.</x14:argumentDescription>
            <x14:argumentDescription index="1">is a number value. 0 - Round up,1 - Round down, 2 - Round ceiling, 3 - Round floor, 4 - Round half up, 5 - Round half down, 6 - Round half even, 7 - Round half ceiling, 8 - Round half floor.</x14:argumentDescription>
          </x14:argumentDescriptions>
        </x14:definedName>
        <x14:definedName name="ajBigNumIsGreater">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GreaterEqual">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Integer">
          <x14:argumentDescriptions count="1">
            <x14:argumentDescription index="0">is to specify  the number in number or string format.</x14:argumentDescription>
          </x14:argumentDescriptions>
        </x14:definedName>
        <x14:definedName name="ajBigNumIsLess">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LessEqual">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IsNegative">
          <x14:argumentDescriptions count="1">
            <x14:argumentDescription index="0">is to specify  the number in number or string format.</x14:argumentDescription>
          </x14:argumentDescriptions>
        </x14:definedName>
        <x14:definedName name="ajBigNumIsPositive">
          <x14:argumentDescriptions count="1">
            <x14:argumentDescription index="0">is to specify  the number in number or string format.</x14:argumentDescription>
          </x14:argumentDescriptions>
        </x14:definedName>
        <x14:definedName name="ajBigNumIsZero">
          <x14:argumentDescriptions count="1">
            <x14:argumentDescription index="0">is to specify  the number in number or string format.</x14:argumentDescription>
          </x14:argumentDescriptions>
        </x14:definedName>
        <x14:definedName name="ajBigNumMax">
          <x14:argumentDescriptions count="1">
            <x14:argumentDescription index="0">is to specify an array of number in number or string format. It could be cell range or an array string. For example, D1:F1 or {12, "13", 14}.</x14:argumentDescription>
          </x14:argumentDescriptions>
        </x14:definedName>
        <x14:definedName name="ajBigNumMin">
          <x14:argumentDescriptions count="1">
            <x14:argumentDescription index="0">is to specify an array of number in number or string format. It could be cell range or an array string. For example, D1:F1 or {12, "13", 14}.</x14:argumentDescription>
          </x14:argumentDescriptions>
        </x14:definedName>
        <x14:definedName name="ajBigNumMod">
          <x14:argumentDescriptions count="2">
            <x14:argumentDescription index="0">is to specify  the dividend in number or string format.</x14:argumentDescription>
            <x14:argumentDescription index="1">is to specify  the divisor in number or string format.</x14:argumentDescription>
          </x14:argumentDescriptions>
        </x14:definedName>
        <x14:definedName name="ajBigNumMultiply">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Negate">
          <x14:argumentDescriptions count="1">
            <x14:argumentDescription index="0">is to specify  the number in number or string format.</x14:argumentDescription>
          </x14:argumentDescriptions>
        </x14:definedName>
        <x14:definedName name="ajBigNumNumberValue">
          <x14:argumentDescriptions count="1">
            <x14:argumentDescription index="0">is to specify  the number in number or string format.</x14:argumentDescription>
          </x14:argumentDescriptions>
        </x14:definedName>
        <x14:definedName name="ajBigNumPower">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Precision">
          <x14:argumentDescriptions count="3">
            <x14:argumentDescription index="0">is to specify  the number in number or string format.</x14:argumentDescription>
            <x14:argumentDescription index="1">If it is a number, returns a number rounded to a precision of significant digits. If it is true, any trailing zeros of the integer part of a number are counted as significant digits. Otherwise they are not. Return the original number if not specify.</x14:argumentDescription>
            <x14:argumentDescription index="2">is a number value. 0 - Round up,1 - Round down, 2 - Round ceiling, 3 - Round floor, 4 - Round half up, 5 - Round half down, 6 - Round half even, 7 - Round half ceiling, 8 - Round half floor.</x14:argumentDescription>
          </x14:argumentDescriptions>
        </x14:definedName>
        <x14:definedName name="ajBigNumRand">
          <x14:argumentDescriptions count="1">
            <x14:argumentDescription index="0">is an integer. The number is to define how many decimal places will be included for the generated random number.</x14:argumentDescription>
          </x14:argumentDescriptions>
        </x14:definedName>
        <x14:definedName name="ajBigNumRound">
          <x14:argumentDescriptions count="3">
            <x14:argumentDescription index="0">is to specify  the number in number or string format.</x14:argumentDescription>
            <x14:argumentDescription index="1">is to specify the no. of decimal places to be rounded.</x14:argumentDescription>
            <x14:argumentDescription index="2">is a number value. 0 - Round up,1 - Round down, 2 - Round ceiling, 3 - Round floor, 4 - Round half up, 5 - Round half down, 6 - Round half even, 7 - Round half ceiling, 8 - Round half floor.</x14:argumentDescription>
          </x14:argumentDescriptions>
        </x14:definedName>
        <x14:definedName name="ajBigNumShift">
          <x14:argumentDescriptions count="2">
            <x14:argumentDescription index="0">is to specify  the number in number or string format.</x14:argumentDescription>
            <x14:argumentDescription index="1">is a number value which is to define the no. of places to be shifted.</x14:argumentDescription>
          </x14:argumentDescriptions>
        </x14:definedName>
        <x14:definedName name="ajBigNumSqrt">
          <x14:argumentDescriptions count="1">
            <x14:argumentDescription index="0">is to specify  the number in number or string format.</x14:argumentDescription>
          </x14:argumentDescriptions>
        </x14:definedName>
        <x14:definedName name="ajBigNumSubtract">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Sum">
          <x14:argumentDescriptions count="2">
            <x14:argumentDescription index="0">is to specify  the number1 in number or string format.</x14:argumentDescription>
            <x14:argumentDescription index="1">is to specify  the number2 in number or string format.</x14:argumentDescription>
          </x14:argumentDescriptions>
        </x14:definedName>
        <x14:definedName name="ajBigNumSumRange">
          <x14:argumentDescriptions count="1">
            <x14:argumentDescription index="0">is to specify an array of number in number or string format. It could be cell range or an array string. For example, D1:F1 or {12, "13", 14}.</x14:argumentDescription>
          </x14:argumentDescriptions>
        </x14:definedName>
        <x14:definedName name="ajBigStrLeft">
          <x14:argumentDescriptions count="4">
            <x14:argumentDescription index="0">is to specify the memory address id that keeps the BigString text. Normally should use ajBigStrSet function to get the memory id for BigString.</x14:argumentDescription>
            <x14:argumentDescription index="1">specifies how many characters you want LEFT to extract.</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Len">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Lower">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Mid">
          <x14:argumentDescriptions count="5">
            <x14:argumentDescription index="0">is to specify the memory address id that keeps the BigString text. Normally should use ajBigStrSet function to get the memory id for BigString.</x14:argumentDescription>
            <x14:argumentDescription index="1" xml:space="preserve">is the position of the first character you want to extract. </x14:argumentDescription>
            <x14:argumentDescription index="2">specifies how many characters to return from BigString text.</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Proper">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Replace">
          <x14:argumentDescriptions count="6">
            <x14:argumentDescription index="0">is to specify the memory address id that keeps the BigString text. Normally should use ajBigStrSet function to get the memory id for BigString.</x14:argumentDescription>
            <x14:argumentDescription index="1">is the position of the character in old_memory_id that you want to replace with BigString text  defined using new_memory_id.</x14:argumentDescription>
            <x14:argumentDescription index="2">is the number of characters in old_memory_id that you want to replace.</x14:argumentDescription>
            <x14:argumentDescription index="3">is the BigString text that will replace characters in old_memory_id.</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Rept">
          <x14:argumentDescriptions count="4">
            <x14:argumentDescription index="0">is to specify the memory address id that keeps the BigString text. Normally should use ajBigStrSet function to get the memory id for BigString.</x14:argumentDescription>
            <x14:argumentDescription index="1">is a positive number specifying the number of times to repeat BigString text.</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Right">
          <x14:argumentDescriptions count="4">
            <x14:argumentDescription index="0">is to specify the memory address id that keeps the BigString text. Normally should use ajBigStrSet function to get the memory id for BigString.</x14:argumentDescription>
            <x14:argumentDescription index="1">specifies how many characters you want to extract from right.</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Set">
          <x14:argumentDescriptions count="3">
            <x14:argumentDescription index="0" xml:space="preserve">is to specify the text or text cell reference to be saved. </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Substitute">
          <x14:argumentDescriptions count="6">
            <x14:argumentDescription index="0">is the memory id of the BigString in which you want to substitute characters. Normally should use ajBigStrSet function to get the memory id for BigString.</x14:argumentDescription>
            <x14:argumentDescription index="1">is the memory id of the existing text you want to replace.</x14:argumentDescription>
            <x14:argumentDescription index="2">is the memory id of the next text you want to replace existing text with.</x14:argumentDescription>
            <x14:argumentDescription index="3">specifies which occurrence of existing text you want to replace.</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TextJoin">
          <x14:argumentDescriptions count="5">
            <x14:argumentDescription index="0">Character or string to insert between each text item.</x14:argumentDescription>
            <x14:argumentDescription index="1">is a logical value, TRUE means ignoring empty cells.</x14:argumentDescription>
            <x14:argumentDescription index="2">is a cell range that contains the texts to be joined.</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Trim">
          <x14:argumentDescriptions count="3">
            <x14:argumentDescription index="0">is to specify the memory address id that keeps the BigString text to be trimmed.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Upper">
          <x14:argumentDescriptions count="3">
            <x14:argumentDescription index="0">is to specify the memory address id that keeps the BigString text to convert to uppercase.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BigStrValue">
          <x14:argumentDescriptions count="3">
            <x14:argumentDescription index="0">is to specify the memory address id that keeps the BigString text. Normally should use ajBigStrSet function to get the memory id for BigString.</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Cache">
          <x14:argumentDescriptions count="5">
            <x14:argumentDescription index="0">is the range address contains the original array formula.</x14:argumentDescription>
            <x14:argumentDescription index="1">is the current row index of the range.</x14:argumentDescription>
            <x14:argumentDescription index="2">is the current column index of the range.</x14:argumentDescription>
            <x14:argumentDescription index="3">is the top-left cell reference of the range.</x14:argumentDescription>
            <x14:argumentDescription index="4">is the result value of the original array formula.</x14:argumentDescription>
          </x14:argumentDescriptions>
        </x14:definedName>
        <x14:definedName name="ajCheckDataItem">
          <x14:argumentDescriptions count="5">
            <x14:argumentDescription index="0">specify the data item name to be checked. The range of cells could be selected vertically or horizontally. Data item names are case-sensitive. The orientation of Header and Data parameter must be the same.</x14:argumentDescription>
            <x14:argumentDescription index="1">is to specify the data item values to be checked. The range of cells could be selected vertically or horizontally and the order must be same as the Header.</x14:argumentDescription>
            <x14:argumentDescription index="2">is the range of cells or name that specifies the data item list to be used. When a data dictionary component is added to a workbook, it automatically create a name.</x14:argumentDescription>
            <x14:argumentDescription index="3">is the range of cells that specifies the error message override definition. If you do not specify anything, the default error message will be used.</x14:argumentDescription>
            <x14:argumentDescription index="4">is to indicate whether transformation should be performed. Default is TRUE. Transformation properties are properties that changes a data item value such as case conversion and rounding number of digits.</x14:argumentDescription>
          </x14:argumentDescriptions>
        </x14:definedName>
        <x14:definedName name="ajCopyFile">
          <x14:argumentDescriptions count="5">
            <x14:argumentDescription index="0">is to specify the full path of the file to copy. Both the forward slash (/) and backslash (\) are supported as the folder separator.</x14:argumentDescription>
            <x14:argumentDescription index="1">is to specify the full file path where the file are to be copied and renamed. It can end with a slash or not. Both the forward slash (/) and backslash (\) are supported as the folder separator.</x14:argumentDescription>
            <x14:argumentDescription index="2">is a logical value, default is FALSE. TRUE - a file with the same name is overwritten. FALSE - a file with the same name is not overwritten. Error #VALUE! would be returned.</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CustomFunction">
          <x14:argumentDescriptions count="7">
            <x14:argumentDescription index="0">is to specify the name of the module in the Microsoft Excel macro.</x14:argumentDescription>
            <x14:argumentDescription index="1">is a logical value. When FALSE, AlchemyJ will execute the call as a static method during compilation. When TRUE, AlchemyJ will execute the call as an instance method during compilation.</x14:argumentDescription>
            <x14:argumentDescription index="2">is the range of cells to form the list of constructor parameters.</x14:argumentDescription>
            <x14:argumentDescription index="3">is to specify the method name in the class to be called. Please take note that it is also the function name in the Microsoft Excel macro.</x14:argumentDescription>
            <x14:argumentDescription index="4">is the range of cells to form the list of method parameters.</x14:argumentDescription>
            <x14:argumentDescription index="5">is a logical value, TRUE means the function will run, otherwise will not run. Default is TRUE.</x14:argumentDescription>
            <x14:argumentDescription index="6">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CountRecord">
          <x14:argumentDescriptions count="7">
            <x14:argumentDescription index="0">is to specify the name of the table to read from.</x14:argumentDescription>
            <x14:argumentDescription index="1">is to specify the type of filtering. 0 - Append the condition value defined in 'filter_condition' parameter. 1 - Construct the condition using Kendo grid filtering feature. 2 - Construct the condition like Microsoft SQL Query.</x14:argumentDescription>
            <x14:argumentDescription index="2">the cell ranges that defines the filter condition. If filter_type=0, it is where clause of a SQL statement. If filter_type=1, it is the filter condition in Kendo grid style. if filter_type=2, it is a filter condition in MS Query format.</x14:argumentDescription>
            <x14:argumentDescription index="3">is to specify the range that defines the [DB Schema].</x14:argumentDescription>
            <x14:argumentDescription index="4">is to define the data source ID, default is 'primary'. The parameter is used to define which database shall be executed for the function.</x14:argumentDescription>
            <x14:argumentDescription index="5">is a logical value, TRUE means the function will run, otherwise will not run. Default is TRUE.</x14:argumentDescription>
            <x14:argumentDescription index="6">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CreateRecord">
          <x14:argumentDescriptions count="11">
            <x14:argumentDescription index="0">is to specify the name of the table where records will be created.</x14:argumentDescription>
            <x14:argumentDescription index="1">is to specify the columns to be updated. It could be a range of single row or column where each cell is a table column name or a data name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range that defines the [DB Schema].</x14:argumentDescription>
            <x14:argumentDescription index="4">is a number value, default is 0. 0 indicates the function will return a set of records (in cell array). 1 indicates the function will return the output parameters. 2 indicates to return the number of the affected records.</x14:argumentDescription>
            <x14:argumentDescription index="5" xml:space="preserve">is a logical value, default is FALSE.
TRUE - the returned records will be transposed from row to column.
FALSE - the return records will not be transposed. </x14:argumentDescription>
            <x14:argumentDescription index="6">is a logical value, default is FALSE. This only applies when "Return_type" is 0.
TRUE - the return result will include the column headers as the first row. 
FALSE - the return result will contain data only.</x14:argumentDescription>
            <x14:argumentDescription index="7">is to define the data source ID, default is 'primary'. The parameter is used to define which database shall be executed for the function.</x14:argumentDescription>
            <x14:argumentDescription index="8" xml:space="preserve">is to specify if to convert all values into text, default is FALSE.
TRUE - the return result will be in string array. 
FALSE - the return result will preserve the datatype in each cell. </x14:argumentDescription>
            <x14:argumentDescription index="9">is a logical value, TRUE means the function will run, otherwise will not run. Default is TRUE.</x14:argumentDescription>
            <x14:argumentDescription index="10">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DeleteRecord">
          <x14:argumentDescriptions count="9">
            <x14:argumentDescription index="0">is to specify the name of the table where records should be deleted from.</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range for the key field value(s) of the record to be deleted. The orientation can either be landscape or portrait. The orientation should be the same with column_headers.</x14:argumentDescription>
            <x14:argumentDescription index="3">is to specify the type of filtering. 0 - Append the condition value defined in 'filter_condition' parameter. 1 - Construct the condition using Kendo grid filtering feature. 2 - Construct the condition like Microsoft SQL Query.</x14:argumentDescription>
            <x14:argumentDescription index="4">the cell ranges that defines the filter condition. If filter_type=0, it is where clause of a SQL statement. If filter_type=1, it is the filter condition in Kendo grid style. if filter_type=2, it is a filter condition in MS Query format.</x14:argumentDescription>
            <x14:argumentDescription index="5">is to specify the range that defines the [DB Schema].</x14:argumentDescription>
            <x14:argumentDescription index="6">is to define the data source ID, default is 'primary'. The parameter is used to define which database shall be executed for the function.</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GetLOB">
          <x14:argumentDescriptions count="8">
            <x14:argumentDescription index="0">is the name of the table that stores the file.</x14:argumentDescription>
            <x14:argumentDescription index="1">is the range that contains the LOB field information. It may have 6 columns in the range with the following headers. 1. LOB Content Field, 2. LOB Content Folder, 3. LOB File Name Field, 4. LOB File Name, 5. CLOB Character Set Field, 6. CLOB Character Set</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the cell ranges that defines the filter condition. If filter_type=0, it is where clause of a SQL statement. If filter_type=1, it is the filter condition in Kendo grid style. if filter_type=2, it is a filter condition in MS Query format.</x14:argumentDescription>
            <x14:argumentDescription index="4">is to specify the range that defines the [DB Schema].</x14:argumentDescription>
            <x14:argumentDescription index="5">is to define the data source ID, default is 'primary'. The parameter is used to define which database shall be executed for the function.</x14:argumentDescription>
            <x14:argumentDescription index="6">is a logical value, TRUE means the function will run, otherwise will not run. Default is TRUE.</x14:argumentDescription>
            <x14:argumentDescription index="7">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MergeRecord">
          <x14:argumentDescriptions count="7">
            <x14:argumentDescription index="0">is to specify the name of the table to be updated.</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range that defines the [DB Schema].</x14:argumentDescription>
            <x14:argumentDescription index="4">is to define the data source ID, default is 'primary'. The parameter is used to define which database shall be executed for the function.</x14:argumentDescription>
            <x14:argumentDescription index="5">is a logical value, TRUE means the function will run, otherwise will not run. Default is TRUE.</x14:argumentDescription>
            <x14:argumentDescription index="6">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ReadRecord">
          <x14:argumentDescriptions count="14">
            <x14:argumentDescription index="0">is to specify the name of the table to read from.</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the cell ranges that defines the filter condition. If filter_type=0, it is where clause of a SQL statement. If filter_type=1, it is the filter condition in Kendo grid style. if filter_type=2, it is a filter condition in MS Query format.</x14:argumentDescription>
            <x14:argumentDescription index="4">specify the range to define the sorting criteria. The range contains 3 columns. The 1st row is the header. They are *Data Name*, *Sorting Order*, and *Sorting Direction*. Sorting Direction can be "ASC" or "DESC".</x14:argumentDescription>
            <x14:argumentDescription index="5">is to specify the page of the returned records. Default value is 1.</x14:argumentDescription>
            <x14:argumentDescription index="6">is to specify the number of rows per page of the returned records. Default value is 30.</x14:argumentDescription>
            <x14:argumentDescription index="7">is to specify the range that defines the [DB Schema].</x14:argumentDescription>
            <x14:argumentDescription index="8">is a logical value, default is FALSE. TRUE - the return result will be transposed. This only affects return that has multiple cells.
FLASE - the return result will not be transposed.</x14:argumentDescription>
            <x14:argumentDescription index="9">is a logical value, default is FALSE. This only applies when "Return_type" is 0.
TRUE - the return result will include the column headers as the first row. 
FALSE - the return result will contain data only.</x14:argumentDescription>
            <x14:argumentDescription index="10">is to define the data source ID, default is 'primary'. The parameter is used to define which database shall be executed for the function.</x14:argumentDescription>
            <x14:argumentDescription index="11" xml:space="preserve">is to specify if to convert all values into text, default is FALSE.
TRUE - the return result will be in string array. 
FALSE - the return result will preserve the datatype in each cell. </x14:argumentDescription>
            <x14:argumentDescription index="12">is a logical value, TRUE means the function will run, otherwise will not run. Default is TRUE.</x14:argumentDescription>
            <x14:argumentDescription index="1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RunSQL">
          <x14:argumentDescriptions count="9">
            <x14:argumentDescription index="0">is the range of cells to form the SQL statement to be executed. The range of cells can be span across multiple rows and columns. Only a single SQL syntax is supported.</x14:argumentDescription>
            <x14:argumentDescription index="1">is the range of cells to form the list of input/output parameters.</x14:argumentDescription>
            <x14:argumentDescription index="2">is a number value, default is 0. 0 indicates the function will return a set of records (in cell array). 1 indicates the function will return the output parameters. 2 indicates to return the number of the affected records.</x14:argumentDescription>
            <x14:argumentDescription index="3">is a logical value, default is FALSE.
TRUE - the return result will be transposed. This only affects return that has multiple cells.
FLASE - the return result will not be transposed.</x14:argumentDescription>
            <x14:argumentDescription index="4">is a logical value, default is FALSE. This only applies when "Return_type" is 0.
TRUE - the return result will include the column headers as the first row. 
FALSE - the return result will contain data only.</x14:argumentDescription>
            <x14:argumentDescription index="5">is to define the data source ID, default is 'primary'. The parameter is used to define which database shall be executed for the function.</x14:argumentDescription>
            <x14:argumentDescription index="6" xml:space="preserve">is to specify if to convert all values into text, default is FALSE.
TRUE - the return result will be in string array. 
FALSE - the return result will preserve the datatype in each cell. </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RunStoredProc">
          <x14:argumentDescriptions count="9">
            <x14:argumentDescription index="0">is the stored procedure name to be executed.</x14:argumentDescription>
            <x14:argumentDescription index="1">is the range of cells to form the list of input/output parameters.</x14:argumentDescription>
            <x14:argumentDescription index="2">is a number value, default is 0. 0 indicates the function will return a set of records (in cell array). 1 indicates the function will return the output parameters. 2 indicates to return the number of the affected records.</x14:argumentDescription>
            <x14:argumentDescription index="3">is a logical value, default is FALSE.
TRUE - the return result will be transposed. This only affects return that has multiple cells.
FLASE - the return result will not be transposed.</x14:argumentDescription>
            <x14:argumentDescription index="4">is a logical value, default is FALSE. This only applies when "Return_type" is 0.
TRUE - the return result will include the column headers as the first row. 
FALSE - the return result will contain data only.</x14:argumentDescription>
            <x14:argumentDescription index="5">is to define the data source ID, default is 'primary'. The parameter is used to define which database shall be executed for the function.</x14:argumentDescription>
            <x14:argumentDescription index="6" xml:space="preserve">is to specify if to convert all values into text, default is FALSE.
TRUE - the return result will be in string array. 
FALSE - the return result will preserve the datatype in each cell. </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Type">
          <x14:argumentDescriptions count="1">
            <x14:argumentDescription index="0" xml:space="preserve">is to specify the data source ID defined in the worksheet ##ExternalResources , default is 'primary'. </x14:argumentDescription>
          </x14:argumentDescriptions>
        </x14:definedName>
        <x14:definedName name="ajDBUpdateLOB">
          <x14:argumentDescriptions count="8">
            <x14:argumentDescription index="0">is the name of the table to be store the file.</x14:argumentDescription>
            <x14:argumentDescription index="1">is the range to define LOB information. Maybe have 6 columns with the following headers. 1. LOB Field, 2. LOB Folder, 3. LOB File Name Field, 4. LOB File Name, 5. CLOB Character Set Field, 6. CLOB Character Set</x14:argumentDescription>
            <x14:argumentDescription index="2">is to specify the type of filtering. 0 - Append the condition value defined in 'filter_condition' parameter. 1 - Construct the condition using Kendo grid filtering feature. 2 - Construct the condition like Microsoft SQL Query.</x14:argumentDescription>
            <x14:argumentDescription index="3">the cell ranges that defines the filter condition. If filter_type=0, it is where clause of a SQL statement. If filter_type=1, it is the filter condition in Kendo grid style. if filter_type=2, it is a filter condition in MS Query format.</x14:argumentDescription>
            <x14:argumentDescription index="4">is to specify the range that defines the [DB Schema].</x14:argumentDescription>
            <x14:argumentDescription index="5">is to define the data source ID, default is 'primary'. The parameter is used to define which database shall be executed for the function.</x14:argumentDescription>
            <x14:argumentDescription index="6">is a logical value, TRUE means the function will run, otherwise will not run. Default is TRUE.</x14:argumentDescription>
            <x14:argumentDescription index="7">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BUpdateRecord">
          <x14:argumentDescriptions count="9">
            <x14:argumentDescription index="0">is to specify the name of the table to update.</x14:argumentDescription>
            <x14:argumentDescription index="1">specify the columns to be matched. It is a range of single row or column. The cell value can be the actual column name or a data name which is defined in [DB Schema]. CLOB and BLOB are not supported.</x14:argumentDescription>
            <x14:argumentDescription index="2">is to specify the range where data is located. The orientation can either be landscape or portrait. The orientation should be the same with column_headers.</x14:argumentDescription>
            <x14:argumentDescription index="3">is to specify the type of filtering. 0 - Append the condition value defined in 'filter_condition' parameter. 1 - Construct the condition using Kendo grid filtering feature. 2 - Construct the condition like Microsoft SQL Query.</x14:argumentDescription>
            <x14:argumentDescription index="4">the cell ranges that defines the filter condition. If filter_type=0, it is where clause of a SQL statement. If filter_type=1, it is the filter condition in Kendo grid style. if filter_type=2, it is a filter condition in MS Query format.</x14:argumentDescription>
            <x14:argumentDescription index="5">is to specify the range that defines the [DB Schema].</x14:argumentDescription>
            <x14:argumentDescription index="6">is to define the data source ID, default is 'primary'. The parameter is used to define which database shall be executed for the function.</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DeleteFile">
          <x14:argumentDescriptions count="3">
            <x14:argumentDescription index="0">is to specify the full path of the file to delete. Both the forward slash (/) and backslash (\) are supported as the folder separator.</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Environ">
          <x14:argumentDescriptions count="1">
            <x14:argumentDescription index="0">Containing the name of an environment variable.</x14:argumentDescription>
          </x14:argumentDescriptions>
        </x14:definedName>
        <x14:definedName name="ajFileExists">
          <x14:argumentDescriptions count="3">
            <x14:argumentDescription index="0">is the full path of the file to be checked. Both the forward slash (/) and backslash (\) are supported as the folder separator.</x14:argumentDescription>
            <x14:argumentDescription index="1">is a logical value, TRUE means the function will run, otherwise will not run. Default is TRUE.</x14:argumentDescription>
            <x14:argumentDescription index="2">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Filter">
          <x14:argumentDescriptions count="4">
            <x14:argumentDescription index="0">is the range of cells to be filtered.</x14:argumentDescription>
            <x14:argumentDescription index="1" xml:space="preserve">specify the condition to filter the range of cells specified in "In_array". 1 means including the row. 0 means excluding the row. The number of rows in Include range must match the number of rows in In_array. </x14:argumentDescription>
            <x14:argumentDescription index="2">is to specify the message to be shown when none of the row meets the condition. Default value is an empty string ("").</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 name="ajJSON">
          <x14:argumentDescriptions count="4">
            <x14:argumentDescription index="0">is the range of cells to be set as the name of the JSON name-value pair. It can be selected either vertically or horizontally.</x14:argumentDescription>
            <x14:argumentDescription index="1">is the range of cells to be set as the value of the JSON name-value pair. It can be selected either vertically or horizontally but must be same as "Header".</x14:argumentDescription>
            <x14:argumentDescription index="2" xml:space="preserve">is to specify the data type of the fields ("Header") in the format [Field Name] [AJ_Parameter_Type_Separator][Data Type][AJ_Parameter_Type_Separator]. </x14:argumentDescription>
            <x14:argumentDescription index="3">is to specify the fields to be excluded from the result. The format is [Field Name] [AJ_Parameter_Type_Separator][Data Type][AJ_Parameter_Type_Separator].</x14:argumentDescription>
          </x14:argumentDescriptions>
        </x14:definedName>
        <x14:definedName name="ajJSONFromSchema">
          <x14:argumentDescriptions count="2">
            <x14:argumentDescription index="0">is to specify the range where defines the header of the relationship table.</x14:argumentDescription>
            <x14:argumentDescription index="1">is to specify the range where defines the content of the relationship table. The empty row would be ignored.</x14:argumentDescription>
          </x14:argumentDescriptions>
        </x14:definedName>
        <x14:definedName name="ajJSONFromTable">
          <x14:argumentDescriptions count="5">
            <x14:argumentDescription index="0">is the range of cells to be set as the name of the JSON name-value pair. It can be selected horizontally only.</x14:argumentDescription>
            <x14:argumentDescription index="1">is the range of cells to be set as the value of the JSON name-value pair. It can be selected horizontally only.</x14:argumentDescription>
            <x14:argumentDescription index="2">is to specify the value of the name of the JSON name-value pair. Default value is "data".</x14:argumentDescription>
            <x14:argumentDescription index="3">is to specify the data type of the fields ("Header") in the format [Field Name] [AJ_Parameter_Type_Separator][Data Type][AJ_Parameter_Type_Separator].</x14:argumentDescription>
            <x14:argumentDescription index="4" xml:space="preserve">is to specify the fields to be excluded from the result. The format is [Field Name] [AJ_Parameter_Type_Separator][Data Type][AJ_Parameter_Type_Separator]. </x14:argumentDescription>
          </x14:argumentDescriptions>
        </x14:definedName>
        <x14:definedName name="ajJSONPath">
          <x14:argumentDescriptions count="5">
            <x14:argumentDescription index="0">is the range of cells that contains the JSON string. The range of cells can span across multiple rows and columns. The cell values will be concatenated into one string from left to right and top to bottom.</x14:argumentDescription>
            <x14:argumentDescription index="1">is to specify the criteria in JsonPath format. For example, $.Employee[*].ID[*].</x14:argumentDescription>
            <x14:argumentDescription index="2">is a number value, default is 0.
1 - the entire filtered JSON string will be extracted into a single cell.
0 - the filtered JSON string can be spanned across the cell arrays.</x14:argumentDescription>
            <x14:argumentDescription index="3">is to specify the value of the name of the JSON name-value pair. It only applies when Return_type is 1. Default is "data".</x14:argumentDescription>
            <x14:argumentDescription index="4" xml:space="preserve">is to specify if to convert all values into text, default is FALSE.
TRUE - the return result will be in string array. 
FALSE - the return result will preserve the datatype in each cell. </x14:argumentDescription>
          </x14:argumentDescriptions>
        </x14:definedName>
        <x14:definedName name="ajJSONToTable">
          <x14:argumentDescriptions count="4">
            <x14:argumentDescription index="0">The range of cells (row only) in which the value in each cell represents a node name in the JSON string. The wording must be same, and it is case-sensitive. These node names may be at different levels in the JSON string.</x14:argumentDescription>
            <x14:argumentDescription index="1">is the range of cells that contains the JSON string. The range of cells can span across multiple rows and columns. The cell values will be concatenated into one string from left to right and top to bottom.</x14:argumentDescription>
            <x14:argumentDescription index="2">is to specify how deep (level of path) a node should be searched from the JSON string. The top level is 1. If you do not specify anything, all levels in the JSON string will be searched.</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 name="ajLDAPGroupMembers">
          <x14:argumentDescriptions count="6">
            <x14:argumentDescription index="0">is cell range that contains the LDAP attributes name to be retrieved.</x14:argumentDescription>
            <x14:argumentDescription index="1">is the group name in LDAP</x14:argumentDescription>
            <x14:argumentDescription index="2">is to specify the filter conditions to retrieve the information.</x14:argumentDescription>
            <x14:argumentDescription index="3">is to specify LDAP source id defined in worksheet ##ExternalResources.</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Login">
          <x14:argumentDescriptions count="5">
            <x14:argumentDescription index="0">is to specify username from LDAP.</x14:argumentDescription>
            <x14:argumentDescription index="1">is to specify user password.</x14:argumentDescription>
            <x14:argumentDescription index="2">is to specify LDAP source id defined in worksheet ##ExternalResources.</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UserDetails">
          <x14:argumentDescriptions count="6">
            <x14:argumentDescription index="0">is cell range that contains the LDAP attributes name to be retrieved.</x14:argumentDescription>
            <x14:argumentDescription index="1">is to specify the user name in LDAP</x14:argumentDescription>
            <x14:argumentDescription index="2">is to specify the filter conditions to retrieve the information.</x14:argumentDescription>
            <x14:argumentDescription index="3">is to specify LDAP source id defined in worksheet ##ExternalResources.</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UserInGroups">
          <x14:argumentDescriptions count="6">
            <x14:argumentDescription index="0">is cell range that contains the LDAP attributes name to be retrieved.</x14:argumentDescription>
            <x14:argumentDescription index="1">is to specify the user name in LDAP</x14:argumentDescription>
            <x14:argumentDescription index="2">is to specify the filter conditions to retrieve the information.</x14:argumentDescription>
            <x14:argumentDescription index="3">is to specify LDAP source id defined in worksheet ##ExternalResources.</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LDAPUserList">
          <x14:argumentDescriptions count="5">
            <x14:argumentDescription index="0">is cell range that contains the LDAP attributes name to be retrieved.</x14:argumentDescription>
            <x14:argumentDescription index="1">is to specify the filter conditions to retrieve the information.</x14:argumentDescription>
            <x14:argumentDescription index="2">is to specify LDAP source id defined in worksheet ##ExternalResources.</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ModelError">
          <x14:argumentDescriptions count="3">
            <x14:argumentDescription index="0">is to specify the cell address to be filtered and shown from the list of cell address added by the ajRaiseError function. Default value is an empty string (""), which means no filter condition.</x14:argumentDescription>
            <x14:argumentDescription index="1">is to specify the error code to be filtered and shown from the list of error code added by the ajRaiseError function. Default value is an empty string (""), which means no filter condition.</x14:argumentDescription>
            <x14:argumentDescription index="2">specify the partial or full string condition to filter. It is case-insensitive, e.g. records with error message "ABCDE" will be shown with Error_message "b".</x14:argumentDescription>
          </x14:argumentDescriptions>
        </x14:definedName>
        <x14:definedName name="ajMoveFile">
          <x14:argumentDescriptions count="5">
            <x14:argumentDescription index="0">is to specify the full path of the file to be moved. Both the forward slash (/) and backslash (\) are supported as the folder separator.</x14:argumentDescription>
            <x14:argumentDescription index="1">is to specify the full file path where the file are to be moved and renamed. It can end with a slash or not. Both the forward slash (/) and backslash (\) are supported as the folder separator.</x14:argumentDescription>
            <x14:argumentDescription index="2" xml:space="preserve">is a logical value, default is FALSE. TRUE - a file with the same name is overwritten. FALSE - a file with the same name is not overwritten. Error #VALUE! would be returned. </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aiseError">
          <x14:argumentDescriptions count="5">
            <x14:argumentDescription index="0">is to specify the error message of a record to be added to the model error list.</x14:argumentDescription>
            <x14:argumentDescription index="1">is to specify the error code of a record to be added to the model error list. Default value is an empty string ("").</x14:argumentDescription>
            <x14:argumentDescription index="2">is to specify the cell address that produces this error. Default value is an empty string ("").  If another cell address shall be used, it is recommended to use ajAddress to specify the address.</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eadFile">
          <x14:argumentDescriptions count="10">
            <x14:argumentDescription index="0">is to specify the path of the file to be read.</x14:argumentDescription>
            <x14:argumentDescription index="1">is to specify the character that is used to split the input record into fields. If the file is a CSV file, comma is usually used.</x14:argumentDescription>
            <x14:argumentDescription index="2">is to specify the left enclosure character. left_enclosure_character and right_enclosure_character must be provided at the same time.</x14:argumentDescription>
            <x14:argumentDescription index="3">is to specify the right enclosure character. left_enclosure_character and right_enclosure_character must be provided at the same time.</x14:argumentDescription>
            <x14:argumentDescription index="4">is to specify the starting line to begin the extraction of the content of the file. Default value is 1.</x14:argumentDescription>
            <x14:argumentDescription index="5">is to specify the number of lines to be extracted from the file. If you don't specify anything, the default value will always be the maximum lines of the file.</x14:argumentDescription>
            <x14:argumentDescription index="6">is to define the character set when reading the file. Default is UTF-8 if not specified.</x14:argumentDescription>
            <x14:argumentDescription index="7">is a logical value, default is FALSE.
TRUE - the empty rows will be read from the file
FALSE - the empty rows will not be read from the file.</x14:argumentDescription>
            <x14:argumentDescription index="8">is a logical value, TRUE means the function will run, otherwise will not run. Default is TRUE.</x14:argumentDescription>
            <x14:argumentDescription index="9">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eadWorkbook">
          <x14:argumentDescriptions count="5">
            <x14:argumentDescription index="0">is to specify the path of the workbook to be read.</x14:argumentDescription>
            <x14:argumentDescription index="1">is to specify the range in the source workbook to be read.</x14:argumentDescription>
            <x14:argumentDescription index="2" xml:space="preserve">is to specify if to convert all values into text, default is FALSE.
TRUE - the return result will be in string array. 
FALSE - the return result will preserve the datatype in each cell. </x14:argumentDescription>
            <x14:argumentDescription index="3">is a logical value, TRUE means the function will run, otherwise will not run. Default is TRUE.</x14:argumentDescription>
            <x14:argumentDescription index="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RegExpCount">
          <x14:argumentDescriptions count="5">
            <x14:argumentDescription index="0">is a cell, range, or an array for the string to search for a regular expression pattern match. If it is a range or an array, concatenate the values first.</x14:argumentDescription>
            <x14:argumentDescription index="1">is a string. The regular expression to search for with string.</x14:argumentDescription>
            <x14:argumentDescription index="2">is an integer. The number of characters from the start of the string where the function should start searching for matches.</x14:argumentDescription>
            <x14:argumentDescription index="3">is a logical value. TRUE - ignore uppercase and lowercase characters. FALSE - do not ignore uppercase and lowercase characters. Default is FALSE.</x14:argumentDescription>
            <x14:argumentDescription index="4">is a logical value. TRUE - the start of line (^) and end of line ($) regular expression operators match line breaks (\n) within the string. FALSE - the start and end of line operators match only the start and end of the string.</x14:argumentDescription>
          </x14:argumentDescriptions>
        </x14:definedName>
        <x14:definedName name="ajRegExpMatch">
          <x14:argumentDescriptions count="6">
            <x14:argumentDescription index="0">is the range of cells to be searched. The range of cells can span across multiple rows and columns and it will be concatenated into a single string. It will concatenate the row first follow by the column.</x14:argumentDescription>
            <x14:argumentDescription index="1">is to specify the regular expression. It is based on "type of the regular repression standard" (i.e. Basic Regular Expressions (BRE) of the IEEE POSIX standard).</x14:argumentDescription>
            <x14:argumentDescription index="2">is to specify the starting search position of "Input_string". 1 is the first position. If you do not specify anything, it will be at the beginning.</x14:argumentDescription>
            <x14:argumentDescription index="3">is a logical value, default is FALSE.
TRUE - for case insensitive search.
FALSE - for case sensitive search.</x14:argumentDescription>
            <x14:argumentDescription index="4">is a logical value, default is FALSE. TRUE -  will match against a newline boundary when "Input_string" has newline or carriage return characters. FALSE - will match against a string boundary.</x14:argumentDescription>
            <x14:argumentDescription index="5">is a logical value, default is FALSE.
TRUE - returns all matches in the pattern. 
FALSE - only returns the first match.</x14:argumentDescription>
          </x14:argumentDescriptions>
        </x14:definedName>
        <x14:definedName name="ajRenameFile">
          <x14:argumentDescriptions count="4">
            <x14:argumentDescription index="0">is to specify the full path of the file to rename. Both the forward slash (/) and backslash (\) are supported as the folder separator.</x14:argumentDescription>
            <x14:argumentDescription index="1">is to specify the new name of the file.|</x14:argumentDescription>
            <x14:argumentDescription index="2">is a logical value, TRUE means the function will run, otherwise will not run. Default is TRUE.</x14:argumentDescription>
            <x14:argumentDescription index="3">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SendEmail">
          <x14:argumentDescriptions count="15">
            <x14:argumentDescription index="0">is to specify subject for the email.</x14:argumentDescription>
            <x14:argumentDescription index="1">is to specify the content for the email from a range of cell. The range of cells can be span across multiple rows and columns. Each row represents a break line and all the columns will be concatenate.</x14:argumentDescription>
            <x14:argumentDescription index="2">is to specify TO email address from a range of cell. The range of cells can be span across multiple rows and columns. Each row represents a break line and all the columns will be concatenate.</x14:argumentDescription>
            <x14:argumentDescription index="3">is to specify CC email address from a range of cell. The range of cells can be span across multiple rows and columns. Each row represents a break line and all the columns will be concatenate.</x14:argumentDescription>
            <x14:argumentDescription index="4">is to specify BCC email address from a range of cell. The range of cells can be span across multiple rows and columns. Each row represents a break line and all the columns will be concatenate.</x14:argumentDescription>
            <x14:argumentDescription index="5">is to specify the attachment file paths of the email from a range of cells. The range of cells can span across multiple rows and columns. Each cell contains one file path. Default value is an empty string (""), which means no attachment.</x14:argumentDescription>
            <x14:argumentDescription index="6" xml:space="preserve">is a logical value, default is FALSE.
TRUE - the function will process the message as html formatted. 
FALSE - the function will process the message as plain text. </x14:argumentDescription>
            <x14:argumentDescription index="7">is to specify the SMTP ID defined in worksheet ##ExternalResources.</x14:argumentDescription>
            <x14:argumentDescription index="8">is to specify the IP address or FQDN of the SMTP server.</x14:argumentDescription>
            <x14:argumentDescription index="9">is to specify the listening port of the email service of the SMTP server.</x14:argumentDescription>
            <x14:argumentDescription index="10">is to specify the email account login user name.</x14:argumentDescription>
            <x14:argumentDescription index="11">is to specify the password for the username.</x14:argumentDescription>
            <x14:argumentDescription index="12">is to specify FROM email address.</x14:argumentDescription>
            <x14:argumentDescription index="13">is a logical value, TRUE means the function will run, otherwise will not run. Default is TRUE.</x14:argumentDescription>
            <x14:argumentDescription index="14">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Sort">
          <x14:argumentDescriptions count="5">
            <x14:argumentDescription index="0">is the range of cells to be sorted.</x14:argumentDescription>
            <x14:argumentDescription index="1">is to point to a specified column or row (depending on the value set under by_col) to be sorted. Default value is 1.</x14:argumentDescription>
            <x14:argumentDescription index="2" xml:space="preserve">is a number value, default is 1.
1 - sort from A to Z. 
2 - sort from Z to A. </x14:argumentDescription>
            <x14:argumentDescription index="3" xml:space="preserve">is a logical value, default is FALSE. TRUE - Sort the values in the columns according to the row index specified. FALSE - Sort the values in the rows according to the column index specified. </x14:argumentDescription>
            <x14:argumentDescription index="4" xml:space="preserve">is to specify if to convert all values into text, default is FALSE.
TRUE - the return result will be in string array. 
FALSE - the return result will preserve the datatype in each cell. </x14:argumentDescription>
          </x14:argumentDescriptions>
        </x14:definedName>
        <x14:definedName name="ajSystemError">
          <x14:argumentDescriptions count="3">
            <x14:argumentDescription index="0">is to specify the cell address to be filtered and shown from the system error list. Default value is an empty string (""), which means no filter condition.</x14:argumentDescription>
            <x14:argumentDescription index="1">is to specify the function name to be filtered and shown from the system error list. Default value is an empty string (""), which means no filter condition.</x14:argumentDescription>
            <x14:argumentDescription index="2">specify the partial or full string condition to filter. The string condition is case-insensitive, e.g. records with error message "ABCDE" will be shown with Error_message "b".</x14:argumentDescription>
          </x14:argumentDescriptions>
        </x14:definedName>
        <x14:definedName name="ajWebServiceREST">
          <x14:argumentDescriptions count="9">
            <x14:argumentDescription index="0">is to specify the URL of the web service call.</x14:argumentDescription>
            <x14:argumentDescription index="1">is to specify the HTTP method to call the web service. Default is 0. 
0 - POST, 1 - GET, 2 - PUT, 3 - PATCH, 4 - DELETE</x14:argumentDescription>
            <x14:argumentDescription index="2">specify HTTP call body from a range of cells. The range of cells can span across multiple rows and columns. Each row represents a break line and all the columns will be concatenated. Default value is an empty string ("")</x14:argumentDescription>
            <x14:argumentDescription index="3">is to specify the username to access the web service call if applicable. Default value is an empty string ("").</x14:argumentDescription>
            <x14:argumentDescription index="4">is to specify the password of the username to access the web service call if applicable. Default value is an empty string ("").</x14:argumentDescription>
            <x14:argumentDescription index="5">is to specify the HTTP header from a range of cells. The first column should contain a header field name. The second column should contain a header field value. Default value is an empty string ("").</x14:argumentDescription>
            <x14:argumentDescription index="6">is to specify the content type of the HTTP request to the web service call. Default value is "application/json".</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WebServiceSOAP">
          <x14:argumentDescriptions count="9">
            <x14:argumentDescription index="0">is to specify the URL of the web service call.</x14:argumentDescription>
            <x14:argumentDescription index="1">is to specify the HTTP method to call the web service. Default is 0. 
0 - POST, 1 - GET</x14:argumentDescription>
            <x14:argumentDescription index="2">specify HTTP call body from a range of cells. The range of cells can span across multiple rows and columns. Each row represents a break line and all the columns will be concatenated. Default value is an empty string ("")</x14:argumentDescription>
            <x14:argumentDescription index="3">is to specify the username to access the web service call if applicable. Default value is an empty string ("").</x14:argumentDescription>
            <x14:argumentDescription index="4">is to specify the password of the username to access the web service call if applicable. Default value is an empty string ("").</x14:argumentDescription>
            <x14:argumentDescription index="5">is to specify the HTTP header from a range of cells. The first column should contain a header field name. The second column should contain a header field value. Default value is an empty string ("").</x14:argumentDescription>
            <x14:argumentDescription index="6">is to specify the content type of the HTTP request to the web service call. Default value will be "text/xml".</x14:argumentDescription>
            <x14:argumentDescription index="7">is a logical value, TRUE means the function will run, otherwise will not run. Default is TRUE.</x14:argumentDescription>
            <x14:argumentDescription index="8">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WriteFile">
          <x14:argumentDescriptions count="12">
            <x14:argumentDescription index="0">is the range of cells to be written into the file. The range of cells can be span across multiple rows and columns. Each row represents a break line and all the columns will be concatenate.</x14:argumentDescription>
            <x14:argumentDescription index="1">is to specify the path of the file to be written.</x14:argumentDescription>
            <x14:argumentDescription index="2">is a number value, default is 0.
1 - overwrite the file if it already exists. 
0 - append the content of the range of cells selected in "Data" to the file.</x14:argumentDescription>
            <x14:argumentDescription index="3">is to specify that character that is used to split input record into fields. In the case of a CSV file, comma is usually used. If the file does not contain any column separator, please provide an empty string ("").</x14:argumentDescription>
            <x14:argumentDescription index="4">is to specify the left enclosure character. left_enclosure_character and right_enclosure_character must be provided at the same time.</x14:argumentDescription>
            <x14:argumentDescription index="5">is to specify the right enclosure character. left_enclosure_character and right_enclosure_character must be provided at the same time.</x14:argumentDescription>
            <x14:argumentDescription index="6">is to specify the character set used when writing the file, default value is UTF-8. Some common character set codes are UTF-8 (ISO 10646 Unicode), GB2312 (Chinese Simplified), Big5 (Chinese Traditional), us-ascii.</x14:argumentDescription>
            <x14:argumentDescription index="7">is to specify the number of retries if the file to be written is locked by other process. Default value is 3.</x14:argumentDescription>
            <x14:argumentDescription index="8">is to specify the interval between each retry in milliseconds. Default is 1000 which means 1 second.</x14:argumentDescription>
            <x14:argumentDescription index="9">is a logical value, default is FALSE.
TRUE - the empty rows will be read from the file
FALSE - the empty rows will not be read from the file.</x14:argumentDescription>
            <x14:argumentDescription index="10">is a logical value, TRUE means the function will run, otherwise will not run. Default is TRUE.</x14:argumentDescription>
            <x14:argumentDescription index="11">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WriteWorkbook">
          <x14:argumentDescriptions count="6">
            <x14:argumentDescription index="0">is to specify the source data range.</x14:argumentDescription>
            <x14:argumentDescription index="1">is to specify the file path of the workbook to be written.</x14:argumentDescription>
            <x14:argumentDescription index="2">is to specify the address of the top-left cell of the range to write in the target workbook in text format</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 index="4">is a logical value, TRUE means the function will run, otherwise will not run. Default is TRUE.</x14:argumentDescription>
            <x14:argumentDescription index="5">is a logical value, default is TRUE. TRUE means the function can be executed with **Preview Function Point** only. FALSE means the function can be executed through "Excel Calculation" or **Preview Function Point**.</x14:argumentDescription>
          </x14:argumentDescriptions>
        </x14:definedName>
        <x14:definedName name="ajXML">
          <x14:argumentDescriptions count="6">
            <x14:argumentDescription index="0">is the range of cells to be set as the name of the XML nodes. It can be selected either vertically or horizontally. Spaces will be trimmed and will be replaced by underscore if it exists between words.</x14:argumentDescription>
            <x14:argumentDescription index="1">is the range of cells to be set as the value of the XML nodes. It can be selected either vertically or horizontally but must be same as "Header". E.g. if "Header" is selected vertically, "Data" must select vertically as well.</x14:argumentDescription>
            <x14:argumentDescription index="2">is to specify the data type of the fields ("Header") in the format [Field Name] [AJ_Parameter_Type_Separator][Data Type][AJ_Parameter_Type_Separator].</x14:argumentDescription>
            <x14:argumentDescription index="3">is to specify the fields to be excluded from the result. The format is [Field Name] [AJ_Parameter_Type_Separator][Data Type][AJ_Parameter_Type_Separator].</x14:argumentDescription>
            <x14:argumentDescription index="4">is to specify the root node name in XML. Default is "root"</x14:argumentDescription>
            <x14:argumentDescription index="5">is to specify the element name for each record detail in XML. Default is "element".</x14:argumentDescription>
          </x14:argumentDescriptions>
        </x14:definedName>
        <x14:definedName name="ajXMLFromSchema">
          <x14:argumentDescriptions count="3">
            <x14:argumentDescription index="0">is to specify the range where defines the header of the relationship table.</x14:argumentDescription>
            <x14:argumentDescription index="1">is to specify the range where defines the content of the relationship table. The empty row would be ignored.</x14:argumentDescription>
            <x14:argumentDescription index="2">is to specify the root node name in XML. Default is "root"</x14:argumentDescription>
          </x14:argumentDescriptions>
        </x14:definedName>
        <x14:definedName name="ajXMLFromTable">
          <x14:argumentDescriptions count="6">
            <x14:argumentDescription index="0">is the range of cells to be set as the name of the XML nodes. It can be selected either vertically or horizontally. Spaces will be trimmed and will be replaced by underscore if it exists between words.</x14:argumentDescription>
            <x14:argumentDescription index="1">is the range of cells to be set as the value of the XML nodes. It can be selected either vertically or horizontally but must be same as "Header". E.g. if "Header" is selected vertically, "Data" must select vertically as well.</x14:argumentDescription>
            <x14:argumentDescription index="2">is to specify the data type of the fields ("Header") in the format [Field Name] [AJ_Parameter_Type_Separator][Data Type][AJ_Parameter_Type_Separator].</x14:argumentDescription>
            <x14:argumentDescription index="3">is to specify the fields to be excluded from the result. The format is [Field Name] [AJ_Parameter_Type_Separator][Data Type][AJ_Parameter_Type_Separator].</x14:argumentDescription>
            <x14:argumentDescription index="4">is to specify the root node name in XML. Default is "root"</x14:argumentDescription>
            <x14:argumentDescription index="5">is to specify the element name for each record detail in XML. Default is "element".</x14:argumentDescription>
          </x14:argumentDescriptions>
        </x14:definedName>
        <x14:definedName name="ajXMLToTable">
          <x14:argumentDescriptions count="4">
            <x14:argumentDescription index="0">The range of cells (row only) in which the value in each cell represents a node name in the XML string. The wording must be same, and it is case-sensitive. These node names may be at different levels in the XML string.</x14:argumentDescription>
            <x14:argumentDescription index="1">is the range of cells that contains the XML string. The range of cells can span across multiple rows and columns. The cell values will be concatenated into one string from left to right and top to bottom.</x14:argumentDescription>
            <x14:argumentDescription index="2">is to specify how deep (level of path) a node should be searched from the XML string. The top level is 1. If you do not specify anything, all levels in the XML string will be searched.</x14:argumentDescription>
            <x14:argumentDescription index="3" xml:space="preserve">is to specify if to convert all values into text, default is FALSE.
TRUE - the return result will be in string array. 
FALSE - the return result will preserve the datatype in each cell. </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7" l="1"/>
  <c r="L6" i="15" l="1"/>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88" i="15"/>
  <c r="L89" i="15"/>
  <c r="L90" i="15"/>
  <c r="L91" i="15"/>
  <c r="L92" i="15"/>
  <c r="L93" i="15"/>
  <c r="L94" i="15"/>
  <c r="L95" i="15"/>
  <c r="L96" i="15"/>
  <c r="L97" i="15"/>
  <c r="L98" i="15"/>
  <c r="L99" i="15"/>
  <c r="L100" i="15"/>
  <c r="L101" i="15"/>
  <c r="L102" i="15"/>
  <c r="L103" i="15"/>
  <c r="L104" i="15"/>
  <c r="L105" i="15"/>
  <c r="L106" i="15"/>
  <c r="L107" i="15"/>
  <c r="L108" i="15"/>
  <c r="L109" i="15"/>
  <c r="L110" i="15"/>
  <c r="L111" i="15"/>
  <c r="L112" i="15"/>
  <c r="L113" i="15"/>
  <c r="L114" i="15"/>
  <c r="L115" i="15"/>
  <c r="L116" i="15"/>
  <c r="L117" i="15"/>
  <c r="L118" i="15"/>
  <c r="L119" i="15"/>
  <c r="L120" i="15"/>
  <c r="L121" i="15"/>
  <c r="L122" i="15"/>
  <c r="L123" i="15"/>
  <c r="L124" i="15"/>
  <c r="L125" i="15"/>
  <c r="L126" i="15"/>
  <c r="L127" i="15"/>
  <c r="L128" i="15"/>
  <c r="L129" i="15"/>
  <c r="L130" i="15"/>
  <c r="L131" i="15"/>
  <c r="L132" i="15"/>
  <c r="L133" i="15"/>
  <c r="L134" i="15"/>
  <c r="L135" i="15"/>
  <c r="L136" i="15"/>
  <c r="L137" i="15"/>
  <c r="L138" i="15"/>
  <c r="L139" i="15"/>
  <c r="L140" i="15"/>
  <c r="L141" i="15"/>
  <c r="L142" i="15"/>
  <c r="L143" i="15"/>
  <c r="L144" i="15"/>
  <c r="L145" i="15"/>
  <c r="L146" i="15"/>
  <c r="L147" i="15"/>
  <c r="L148" i="15"/>
  <c r="L149" i="15"/>
  <c r="L150" i="15"/>
  <c r="L151" i="15"/>
  <c r="L152" i="15"/>
  <c r="L153" i="15"/>
  <c r="L154" i="15"/>
  <c r="L155" i="15"/>
  <c r="L156" i="15"/>
  <c r="L157" i="15"/>
  <c r="L158" i="15"/>
  <c r="L159" i="15"/>
  <c r="L160" i="15"/>
  <c r="L161" i="15"/>
  <c r="L162" i="15"/>
  <c r="L163" i="15"/>
  <c r="L164" i="15"/>
  <c r="L165" i="15"/>
  <c r="L166" i="15"/>
  <c r="L167" i="15"/>
  <c r="L168" i="15"/>
  <c r="L169" i="15"/>
  <c r="L170" i="15"/>
  <c r="L171" i="15"/>
  <c r="L172" i="15"/>
  <c r="L173" i="15"/>
  <c r="L174" i="15"/>
  <c r="L175" i="15"/>
  <c r="L176" i="15"/>
  <c r="L177" i="15"/>
  <c r="L178" i="15"/>
  <c r="L179" i="15"/>
  <c r="L180" i="15"/>
  <c r="L181" i="15"/>
  <c r="L182" i="15"/>
  <c r="L183" i="15"/>
  <c r="L184" i="15"/>
  <c r="L185" i="15"/>
  <c r="L186" i="15"/>
  <c r="L187" i="15"/>
  <c r="L188" i="15"/>
  <c r="L189" i="15"/>
  <c r="L190" i="15"/>
  <c r="L191" i="15"/>
  <c r="L192" i="15"/>
  <c r="L193" i="15"/>
  <c r="L194" i="15"/>
  <c r="L195" i="15"/>
  <c r="L196" i="15"/>
  <c r="L197" i="15"/>
  <c r="L198" i="15"/>
  <c r="L199" i="15"/>
  <c r="L200" i="15"/>
  <c r="L201" i="15"/>
  <c r="L202" i="15"/>
  <c r="L203" i="15"/>
  <c r="L204" i="15"/>
  <c r="L205" i="15"/>
  <c r="L206" i="15"/>
  <c r="L207" i="15"/>
  <c r="L208" i="15"/>
  <c r="L209" i="15"/>
  <c r="L210" i="15"/>
  <c r="L211" i="15"/>
  <c r="L212" i="15"/>
  <c r="L213" i="15"/>
  <c r="L214" i="15"/>
  <c r="L215" i="15"/>
  <c r="L216" i="15"/>
  <c r="L217" i="15"/>
  <c r="L218" i="15"/>
  <c r="L219" i="15"/>
  <c r="L220" i="15"/>
  <c r="L221" i="15"/>
  <c r="L222" i="15"/>
  <c r="L223" i="15"/>
  <c r="L224" i="15"/>
  <c r="L225" i="15"/>
  <c r="L226" i="15"/>
  <c r="L227" i="15"/>
  <c r="L228" i="15"/>
  <c r="L229" i="15"/>
  <c r="L230" i="15"/>
  <c r="L231" i="15"/>
  <c r="L232" i="15"/>
  <c r="L233" i="15"/>
  <c r="L234" i="15"/>
  <c r="L235" i="15"/>
  <c r="L236" i="15"/>
  <c r="L237" i="15"/>
  <c r="L238" i="15"/>
  <c r="L239" i="15"/>
  <c r="L240" i="15"/>
  <c r="L241" i="15"/>
  <c r="L242" i="15"/>
  <c r="L243" i="15"/>
  <c r="L244" i="15"/>
  <c r="L245" i="15"/>
  <c r="L246" i="15"/>
  <c r="L247" i="15"/>
  <c r="L248" i="15"/>
  <c r="L249" i="15"/>
  <c r="L250" i="15"/>
  <c r="L251" i="15"/>
  <c r="L252" i="15"/>
  <c r="L253" i="15"/>
  <c r="L254" i="15"/>
  <c r="L255" i="15"/>
  <c r="L256" i="15"/>
  <c r="L257" i="15"/>
  <c r="L258" i="15"/>
  <c r="L259" i="15"/>
  <c r="L260" i="15"/>
  <c r="L261" i="15"/>
  <c r="L262" i="15"/>
  <c r="L263" i="15"/>
  <c r="L264" i="15"/>
  <c r="L265" i="15"/>
  <c r="L266" i="15"/>
  <c r="L267" i="15"/>
  <c r="L268" i="15"/>
  <c r="L269" i="15"/>
  <c r="L270" i="15"/>
  <c r="L271" i="15"/>
  <c r="L272" i="15"/>
  <c r="L273" i="15"/>
  <c r="L274" i="15"/>
  <c r="L275" i="15"/>
  <c r="L276" i="15"/>
  <c r="L277" i="15"/>
  <c r="L278" i="15"/>
  <c r="L279" i="15"/>
  <c r="L280" i="15"/>
  <c r="L281" i="15"/>
  <c r="L282" i="15"/>
  <c r="L283" i="15"/>
  <c r="L284" i="15"/>
  <c r="L285" i="15"/>
  <c r="L286" i="15"/>
  <c r="L287" i="15"/>
  <c r="L288" i="15"/>
  <c r="L289" i="15"/>
  <c r="L290" i="15"/>
  <c r="L291" i="15"/>
  <c r="L292" i="15"/>
  <c r="L293" i="15"/>
  <c r="L294" i="15"/>
  <c r="L295" i="15"/>
  <c r="L296" i="15"/>
  <c r="L297" i="15"/>
  <c r="L298" i="15"/>
  <c r="L299" i="15"/>
  <c r="L300" i="15"/>
  <c r="L301" i="15"/>
  <c r="L302" i="15"/>
  <c r="L303" i="15"/>
  <c r="L304" i="15"/>
  <c r="L305" i="15"/>
  <c r="L306" i="15"/>
  <c r="L307" i="15"/>
  <c r="L308" i="15"/>
  <c r="L309" i="15"/>
  <c r="L310" i="15"/>
  <c r="L311" i="15"/>
  <c r="L312" i="15"/>
  <c r="L313" i="15"/>
  <c r="L314" i="15"/>
  <c r="L315" i="15"/>
  <c r="L316" i="15"/>
  <c r="L317" i="15"/>
  <c r="L318" i="15"/>
  <c r="L319" i="15"/>
  <c r="L320" i="15"/>
  <c r="L321" i="15"/>
  <c r="L322" i="15"/>
  <c r="L323" i="15"/>
  <c r="L324" i="15"/>
  <c r="L325" i="15"/>
  <c r="L326" i="15"/>
  <c r="L327" i="15"/>
  <c r="L328" i="15"/>
  <c r="L329" i="15"/>
  <c r="L330" i="15"/>
  <c r="L331" i="15"/>
  <c r="L332" i="15"/>
  <c r="L333" i="15"/>
  <c r="L334" i="15"/>
  <c r="L335" i="15"/>
  <c r="L336" i="15"/>
  <c r="L337" i="15"/>
  <c r="L338" i="15"/>
  <c r="L339" i="15"/>
  <c r="L340" i="15"/>
  <c r="L341" i="15"/>
  <c r="L342" i="15"/>
  <c r="L343" i="15"/>
  <c r="L344" i="15"/>
  <c r="L345" i="15"/>
  <c r="L346" i="15"/>
  <c r="L347" i="15"/>
  <c r="L348" i="15"/>
  <c r="L349" i="15"/>
  <c r="L350" i="15"/>
  <c r="L351" i="15"/>
  <c r="L352" i="15"/>
  <c r="L353" i="15"/>
  <c r="L354" i="15"/>
  <c r="L355" i="15"/>
  <c r="L356" i="15"/>
  <c r="L357" i="15"/>
  <c r="L358" i="15"/>
  <c r="L359" i="15"/>
  <c r="L360" i="15"/>
  <c r="L361" i="15"/>
  <c r="L362" i="15"/>
  <c r="L363" i="15"/>
  <c r="L364" i="15"/>
  <c r="L365" i="15"/>
  <c r="L366" i="15"/>
  <c r="L367" i="15"/>
  <c r="L368" i="15"/>
  <c r="L369" i="15"/>
  <c r="L370" i="15"/>
  <c r="L371" i="15"/>
  <c r="L372" i="15"/>
  <c r="L373" i="15"/>
  <c r="L374" i="15"/>
  <c r="L375" i="15"/>
  <c r="L376" i="15"/>
  <c r="L377" i="15"/>
  <c r="L378" i="15"/>
  <c r="L379" i="15"/>
  <c r="L380" i="15"/>
  <c r="L381" i="15"/>
  <c r="L382" i="15"/>
  <c r="L383" i="15"/>
  <c r="L384" i="15"/>
  <c r="L385" i="15"/>
  <c r="L386" i="15"/>
  <c r="L387" i="15"/>
  <c r="L388" i="15"/>
  <c r="L389" i="15"/>
  <c r="L390" i="15"/>
  <c r="L391" i="15"/>
  <c r="L392" i="15"/>
  <c r="L393" i="15"/>
  <c r="L394" i="15"/>
  <c r="L395" i="15"/>
  <c r="L396" i="15"/>
  <c r="L397" i="15"/>
  <c r="L398" i="15"/>
  <c r="L399" i="15"/>
  <c r="L400" i="15"/>
  <c r="L401" i="15"/>
  <c r="L402" i="15"/>
  <c r="L403" i="15"/>
  <c r="L404" i="15"/>
  <c r="L405" i="15"/>
  <c r="L406" i="15"/>
  <c r="L407" i="15"/>
  <c r="L408" i="15"/>
  <c r="L409" i="15"/>
  <c r="L410" i="15"/>
  <c r="L411" i="15"/>
  <c r="L412" i="15"/>
  <c r="L413" i="15"/>
  <c r="L414" i="15"/>
  <c r="L415" i="15"/>
  <c r="L416" i="15"/>
  <c r="L417" i="15"/>
  <c r="L418" i="15"/>
  <c r="L419" i="15"/>
  <c r="L420" i="15"/>
  <c r="L421" i="15"/>
  <c r="L422" i="15"/>
  <c r="L423" i="15"/>
  <c r="L424" i="15"/>
  <c r="L425" i="15"/>
  <c r="L426" i="15"/>
  <c r="L427" i="15"/>
  <c r="L428" i="15"/>
  <c r="L429" i="15"/>
  <c r="L430" i="15"/>
  <c r="L431" i="15"/>
  <c r="L432" i="15"/>
  <c r="L433" i="15"/>
  <c r="L434" i="15"/>
  <c r="L435" i="15"/>
  <c r="L436" i="15"/>
  <c r="L437" i="15"/>
  <c r="L438" i="15"/>
  <c r="L439" i="15"/>
  <c r="L440" i="15"/>
  <c r="L441" i="15"/>
  <c r="L442" i="15"/>
  <c r="L443" i="15"/>
  <c r="L444" i="15"/>
  <c r="L445" i="15"/>
  <c r="L446" i="15"/>
  <c r="L447" i="15"/>
  <c r="L448" i="15"/>
  <c r="L449" i="15"/>
  <c r="L450" i="15"/>
  <c r="L451" i="15"/>
  <c r="L452" i="15"/>
  <c r="L453" i="15"/>
  <c r="L454" i="15"/>
  <c r="L455" i="15"/>
  <c r="L456" i="15"/>
  <c r="L457" i="15"/>
  <c r="L458" i="15"/>
  <c r="L459" i="15"/>
  <c r="L460" i="15"/>
  <c r="L461" i="15"/>
  <c r="L462" i="15"/>
  <c r="L463" i="15"/>
  <c r="L464" i="15"/>
  <c r="L465" i="15"/>
  <c r="L466" i="15"/>
  <c r="L467" i="15"/>
  <c r="L468" i="15"/>
  <c r="L469" i="15"/>
  <c r="L470" i="15"/>
  <c r="L471" i="15"/>
  <c r="L472" i="15"/>
  <c r="L473" i="15"/>
  <c r="L474" i="15"/>
  <c r="L475" i="15"/>
  <c r="L476" i="15"/>
  <c r="L477" i="15"/>
  <c r="L478" i="15"/>
  <c r="L479" i="15"/>
  <c r="L480" i="15"/>
  <c r="L481" i="15"/>
  <c r="L482" i="15"/>
  <c r="L483" i="15"/>
  <c r="L484" i="15"/>
  <c r="L485" i="15"/>
  <c r="L486" i="15"/>
  <c r="L487" i="15"/>
  <c r="L488" i="15"/>
  <c r="L489" i="15"/>
  <c r="L490" i="15"/>
  <c r="L491" i="15"/>
  <c r="L492" i="15"/>
  <c r="L493" i="15"/>
  <c r="L494" i="15"/>
  <c r="L495" i="15"/>
  <c r="L496" i="15"/>
  <c r="L497" i="15"/>
  <c r="L498" i="15"/>
  <c r="L499" i="15"/>
  <c r="L500" i="15"/>
  <c r="L501" i="15"/>
  <c r="L502" i="15"/>
  <c r="L503" i="15"/>
  <c r="L504" i="15"/>
  <c r="L505" i="15"/>
  <c r="L506" i="15"/>
  <c r="L507" i="15"/>
  <c r="L508" i="15"/>
  <c r="L509" i="15"/>
  <c r="L510" i="15"/>
  <c r="L511" i="15"/>
  <c r="L512" i="15"/>
  <c r="L513" i="15"/>
  <c r="L514" i="15"/>
  <c r="L515" i="15"/>
  <c r="L516" i="15"/>
  <c r="L517" i="15"/>
  <c r="L518" i="15"/>
  <c r="L519" i="15"/>
  <c r="L520" i="15"/>
  <c r="L521" i="15"/>
  <c r="L522" i="15"/>
  <c r="L523" i="15"/>
  <c r="L524" i="15"/>
  <c r="L525" i="15"/>
  <c r="L526" i="15"/>
  <c r="L527" i="15"/>
  <c r="L528" i="15"/>
  <c r="L529" i="15"/>
  <c r="L530" i="15"/>
  <c r="L531" i="15"/>
  <c r="L532" i="15"/>
  <c r="L533" i="15"/>
  <c r="L534" i="15"/>
  <c r="L535" i="15"/>
  <c r="L536" i="15"/>
  <c r="L537" i="15"/>
  <c r="L538" i="15"/>
  <c r="L539" i="15"/>
  <c r="L540" i="15"/>
  <c r="L541" i="15"/>
  <c r="L542" i="15"/>
  <c r="L543" i="15"/>
  <c r="L544" i="15"/>
  <c r="L545" i="15"/>
  <c r="L546" i="15"/>
  <c r="L547" i="15"/>
  <c r="L548" i="15"/>
  <c r="L549" i="15"/>
  <c r="L550" i="15"/>
  <c r="L551" i="15"/>
  <c r="L552" i="15"/>
  <c r="L553" i="15"/>
  <c r="L554" i="15"/>
  <c r="L555" i="15"/>
  <c r="L556" i="15"/>
  <c r="L557" i="15"/>
  <c r="L558" i="15"/>
  <c r="L559" i="15"/>
  <c r="L560" i="15"/>
  <c r="L561" i="15"/>
  <c r="L562" i="15"/>
  <c r="L563" i="15"/>
  <c r="L564" i="15"/>
  <c r="L565" i="15"/>
  <c r="L566" i="15"/>
  <c r="L567" i="15"/>
  <c r="L568" i="15"/>
  <c r="L569" i="15"/>
  <c r="L570" i="15"/>
  <c r="L571" i="15"/>
  <c r="L572" i="15"/>
  <c r="L573" i="15"/>
  <c r="L574" i="15"/>
  <c r="L575" i="15"/>
  <c r="L576" i="15"/>
  <c r="L577" i="15"/>
  <c r="L578" i="15"/>
  <c r="L579" i="15"/>
  <c r="L580" i="15"/>
  <c r="L581" i="15"/>
  <c r="L582" i="15"/>
  <c r="L583" i="15"/>
  <c r="L584" i="15"/>
  <c r="L585" i="15"/>
  <c r="L586" i="15"/>
  <c r="L587" i="15"/>
  <c r="L588" i="15"/>
  <c r="L589" i="15"/>
  <c r="L590" i="15"/>
  <c r="L591" i="15"/>
  <c r="L592" i="15"/>
  <c r="L593" i="15"/>
  <c r="L594" i="15"/>
  <c r="L595" i="15"/>
  <c r="L596" i="15"/>
  <c r="L597" i="15"/>
  <c r="L598" i="15"/>
  <c r="L599" i="15"/>
  <c r="L600" i="15"/>
  <c r="L601" i="15"/>
  <c r="L602" i="15"/>
  <c r="L603" i="15"/>
  <c r="L604" i="15"/>
  <c r="L605" i="15"/>
  <c r="L606" i="15"/>
  <c r="L607" i="15"/>
  <c r="L608" i="15"/>
  <c r="L609" i="15"/>
  <c r="L610" i="15"/>
  <c r="L611" i="15"/>
  <c r="L612" i="15"/>
  <c r="L613" i="15"/>
  <c r="L614" i="15"/>
  <c r="L615" i="15"/>
  <c r="L616" i="15"/>
  <c r="L617" i="15"/>
  <c r="L618" i="15"/>
  <c r="L619" i="15"/>
  <c r="L620" i="15"/>
  <c r="L621" i="15"/>
  <c r="L622" i="15"/>
  <c r="L623" i="15"/>
  <c r="L624" i="15"/>
  <c r="L625" i="15"/>
  <c r="L626" i="15"/>
  <c r="L627" i="15"/>
  <c r="L628" i="15"/>
  <c r="L629" i="15"/>
  <c r="L630" i="15"/>
  <c r="L631" i="15"/>
  <c r="L632" i="15"/>
  <c r="L633" i="15"/>
  <c r="L634" i="15"/>
  <c r="L635" i="15"/>
  <c r="L636" i="15"/>
  <c r="L637" i="15"/>
  <c r="L638" i="15"/>
  <c r="L639" i="15"/>
  <c r="L640" i="15"/>
  <c r="L641" i="15"/>
  <c r="L642" i="15"/>
  <c r="L643" i="15"/>
  <c r="L644" i="15"/>
  <c r="L645" i="15"/>
  <c r="L646" i="15"/>
  <c r="L647" i="15"/>
  <c r="L648" i="15"/>
  <c r="L649" i="15"/>
  <c r="L650" i="15"/>
  <c r="L651" i="15"/>
  <c r="L652" i="15"/>
  <c r="L653" i="15"/>
  <c r="L654" i="15"/>
  <c r="L655" i="15"/>
  <c r="L656" i="15"/>
  <c r="L657" i="15"/>
  <c r="L658" i="15"/>
  <c r="L659" i="15"/>
  <c r="L660" i="15"/>
  <c r="L661" i="15"/>
  <c r="L662" i="15"/>
  <c r="L663" i="15"/>
  <c r="L664" i="15"/>
  <c r="L665" i="15"/>
  <c r="L666" i="15"/>
  <c r="L667" i="15"/>
  <c r="L668" i="15"/>
  <c r="L669" i="15"/>
  <c r="L670" i="15"/>
  <c r="L671" i="15"/>
  <c r="L672" i="15"/>
  <c r="L673" i="15"/>
  <c r="L674" i="15"/>
  <c r="L675" i="15"/>
  <c r="L676" i="15"/>
  <c r="L677" i="15"/>
  <c r="L678" i="15"/>
  <c r="L679" i="15"/>
  <c r="L680" i="15"/>
  <c r="L681" i="15"/>
  <c r="L682" i="15"/>
  <c r="L683" i="15"/>
  <c r="L684" i="15"/>
  <c r="L685" i="15"/>
  <c r="L686" i="15"/>
  <c r="L687" i="15"/>
  <c r="L688" i="15"/>
  <c r="L689" i="15"/>
  <c r="L690" i="15"/>
  <c r="L691" i="15"/>
  <c r="L692" i="15"/>
  <c r="L693" i="15"/>
  <c r="L694" i="15"/>
  <c r="L695" i="15"/>
  <c r="L696" i="15"/>
  <c r="L697" i="15"/>
  <c r="L698" i="15"/>
  <c r="L699" i="15"/>
  <c r="L700" i="15"/>
  <c r="L701" i="15"/>
  <c r="L702" i="15"/>
  <c r="L703" i="15"/>
  <c r="L704" i="15"/>
  <c r="L705" i="15"/>
  <c r="L706" i="15"/>
  <c r="L707" i="15"/>
  <c r="L708" i="15"/>
  <c r="L709" i="15"/>
  <c r="L710" i="15"/>
  <c r="L711" i="15"/>
  <c r="L712" i="15"/>
  <c r="L713" i="15"/>
  <c r="L714" i="15"/>
  <c r="L715" i="15"/>
  <c r="L716" i="15"/>
  <c r="L717" i="15"/>
  <c r="L718" i="15"/>
  <c r="L719" i="15"/>
  <c r="L720" i="15"/>
  <c r="L721" i="15"/>
  <c r="L722" i="15"/>
  <c r="L723" i="15"/>
  <c r="L724" i="15"/>
  <c r="L725" i="15"/>
  <c r="L726" i="15"/>
  <c r="L727" i="15"/>
  <c r="L728" i="15"/>
  <c r="L729" i="15"/>
  <c r="L730" i="15"/>
  <c r="L731" i="15"/>
  <c r="L732" i="15"/>
  <c r="L733" i="15"/>
  <c r="L734" i="15"/>
  <c r="L735" i="15"/>
  <c r="L736" i="15"/>
  <c r="L737" i="15"/>
  <c r="L738" i="15"/>
  <c r="L739" i="15"/>
  <c r="L740" i="15"/>
  <c r="L741" i="15"/>
  <c r="L742" i="15"/>
  <c r="L743" i="15"/>
  <c r="L744" i="15"/>
  <c r="L745" i="15"/>
  <c r="L746" i="15"/>
  <c r="L747" i="15"/>
  <c r="L748" i="15"/>
  <c r="L749" i="15"/>
  <c r="L750" i="15"/>
  <c r="L751" i="15"/>
  <c r="L752" i="15"/>
  <c r="L753" i="15"/>
  <c r="L754" i="15"/>
  <c r="L755" i="15"/>
  <c r="L756" i="15"/>
  <c r="L757" i="15"/>
  <c r="L758" i="15"/>
  <c r="L759" i="15"/>
  <c r="L760" i="15"/>
  <c r="L761" i="15"/>
  <c r="L762" i="15"/>
  <c r="L763" i="15"/>
  <c r="L764" i="15"/>
  <c r="L765" i="15"/>
  <c r="L766" i="15"/>
  <c r="L767" i="15"/>
  <c r="L768" i="15"/>
  <c r="L769" i="15"/>
  <c r="L770" i="15"/>
  <c r="L771" i="15"/>
  <c r="L772" i="15"/>
  <c r="L773" i="15"/>
  <c r="L774" i="15"/>
  <c r="L775" i="15"/>
  <c r="L776" i="15"/>
  <c r="L777" i="15"/>
  <c r="L778" i="15"/>
  <c r="L779" i="15"/>
  <c r="L780" i="15"/>
  <c r="L781" i="15"/>
  <c r="L782" i="15"/>
  <c r="L783" i="15"/>
  <c r="L784" i="15"/>
  <c r="L785" i="15"/>
  <c r="L786" i="15"/>
  <c r="L787" i="15"/>
  <c r="L788" i="15"/>
  <c r="L789" i="15"/>
  <c r="L790" i="15"/>
  <c r="L791" i="15"/>
  <c r="L792" i="15"/>
  <c r="L793" i="15"/>
  <c r="L794" i="15"/>
  <c r="L795" i="15"/>
  <c r="L796" i="15"/>
  <c r="L797" i="15"/>
  <c r="L798" i="15"/>
  <c r="L799" i="15"/>
  <c r="L800" i="15"/>
  <c r="L801" i="15"/>
  <c r="L802" i="15"/>
  <c r="L803" i="15"/>
  <c r="L804" i="15"/>
  <c r="L805" i="15"/>
  <c r="L806" i="15"/>
  <c r="L807" i="15"/>
  <c r="L808" i="15"/>
  <c r="L809" i="15"/>
  <c r="L810" i="15"/>
  <c r="L811" i="15"/>
  <c r="L812" i="15"/>
  <c r="L813" i="15"/>
  <c r="L814" i="15"/>
  <c r="L815" i="15"/>
  <c r="L816" i="15"/>
  <c r="L817" i="15"/>
  <c r="L818" i="15"/>
  <c r="L819" i="15"/>
  <c r="L820" i="15"/>
  <c r="L821" i="15"/>
  <c r="L822" i="15"/>
  <c r="L823" i="15"/>
  <c r="L824" i="15"/>
  <c r="L825" i="15"/>
  <c r="L826" i="15"/>
  <c r="L827" i="15"/>
  <c r="L828" i="15"/>
  <c r="L829" i="15"/>
  <c r="L830" i="15"/>
  <c r="L831" i="15"/>
  <c r="L832" i="15"/>
  <c r="L833" i="15"/>
  <c r="L834" i="15"/>
  <c r="L835" i="15"/>
  <c r="L836" i="15"/>
  <c r="L837" i="15"/>
  <c r="L838" i="15"/>
  <c r="L839" i="15"/>
  <c r="L840" i="15"/>
  <c r="L841" i="15"/>
  <c r="L842" i="15"/>
  <c r="L843" i="15"/>
  <c r="L844" i="15"/>
  <c r="L845" i="15"/>
  <c r="L846" i="15"/>
  <c r="L847" i="15"/>
  <c r="L848" i="15"/>
  <c r="L849" i="15"/>
  <c r="L850" i="15"/>
  <c r="L851" i="15"/>
  <c r="L852" i="15"/>
  <c r="L853" i="15"/>
  <c r="L854" i="15"/>
  <c r="L855" i="15"/>
  <c r="L856" i="15"/>
  <c r="L857" i="15"/>
  <c r="L858" i="15"/>
  <c r="L859" i="15"/>
  <c r="L860" i="15"/>
  <c r="L861" i="15"/>
  <c r="L862" i="15"/>
  <c r="L863" i="15"/>
  <c r="L864" i="15"/>
  <c r="L865" i="15"/>
  <c r="L866" i="15"/>
  <c r="L867" i="15"/>
  <c r="L868" i="15"/>
  <c r="L869" i="15"/>
  <c r="L870" i="15"/>
  <c r="L871" i="15"/>
  <c r="L872" i="15"/>
  <c r="L873" i="15"/>
  <c r="L874" i="15"/>
  <c r="L875" i="15"/>
  <c r="L876" i="15"/>
  <c r="L877" i="15"/>
  <c r="L878" i="15"/>
  <c r="L879" i="15"/>
  <c r="L880" i="15"/>
  <c r="L881" i="15"/>
  <c r="L882" i="15"/>
  <c r="L883" i="15"/>
  <c r="L884" i="15"/>
  <c r="L885" i="15"/>
  <c r="L886" i="15"/>
  <c r="L887" i="15"/>
  <c r="L888" i="15"/>
  <c r="L889" i="15"/>
  <c r="L890" i="15"/>
  <c r="L891" i="15"/>
  <c r="L892" i="15"/>
  <c r="L893" i="15"/>
  <c r="L894" i="15"/>
  <c r="L895" i="15"/>
  <c r="L896" i="15"/>
  <c r="L897" i="15"/>
  <c r="L898" i="15"/>
  <c r="L899" i="15"/>
  <c r="L900" i="15"/>
  <c r="L901" i="15"/>
  <c r="L902" i="15"/>
  <c r="L903" i="15"/>
  <c r="L904" i="15"/>
  <c r="L905" i="15"/>
  <c r="L906" i="15"/>
  <c r="L907" i="15"/>
  <c r="L908" i="15"/>
  <c r="L909" i="15"/>
  <c r="L910" i="15"/>
  <c r="L911" i="15"/>
  <c r="L912" i="15"/>
  <c r="L913" i="15"/>
  <c r="L914" i="15"/>
  <c r="L915" i="15"/>
  <c r="L916" i="15"/>
  <c r="L917" i="15"/>
  <c r="L918" i="15"/>
  <c r="L919" i="15"/>
  <c r="L920" i="15"/>
  <c r="L921" i="15"/>
  <c r="L922" i="15"/>
  <c r="L923" i="15"/>
  <c r="L924" i="15"/>
  <c r="L925" i="15"/>
  <c r="L926" i="15"/>
  <c r="L927" i="15"/>
  <c r="L928" i="15"/>
  <c r="L929" i="15"/>
  <c r="L930" i="15"/>
  <c r="L931" i="15"/>
  <c r="L932" i="15"/>
  <c r="L933" i="15"/>
  <c r="L934" i="15"/>
  <c r="L935" i="15"/>
  <c r="L936" i="15"/>
  <c r="L937" i="15"/>
  <c r="L938" i="15"/>
  <c r="L939" i="15"/>
  <c r="L940" i="15"/>
  <c r="L941" i="15"/>
  <c r="L942" i="15"/>
  <c r="L943" i="15"/>
  <c r="L944" i="15"/>
  <c r="L945" i="15"/>
  <c r="L946" i="15"/>
  <c r="L947" i="15"/>
  <c r="L948" i="15"/>
  <c r="L949" i="15"/>
  <c r="L950" i="15"/>
  <c r="L951" i="15"/>
  <c r="L952" i="15"/>
  <c r="L953" i="15"/>
  <c r="L954" i="15"/>
  <c r="L955" i="15"/>
  <c r="L956" i="15"/>
  <c r="L957" i="15"/>
  <c r="L958" i="15"/>
  <c r="L959" i="15"/>
  <c r="L960" i="15"/>
  <c r="L961" i="15"/>
  <c r="L962" i="15"/>
  <c r="L963" i="15"/>
  <c r="L964" i="15"/>
  <c r="L965" i="15"/>
  <c r="L966" i="15"/>
  <c r="L967" i="15"/>
  <c r="L968" i="15"/>
  <c r="L969" i="15"/>
  <c r="L970" i="15"/>
  <c r="L971" i="15"/>
  <c r="L972" i="15"/>
  <c r="L973" i="15"/>
  <c r="L974" i="15"/>
  <c r="L975" i="15"/>
  <c r="L976" i="15"/>
  <c r="L977" i="15"/>
  <c r="L978" i="15"/>
  <c r="L979" i="15"/>
  <c r="L980" i="15"/>
  <c r="L981" i="15"/>
  <c r="L982" i="15"/>
  <c r="L983" i="15"/>
  <c r="L984" i="15"/>
  <c r="L985" i="15"/>
  <c r="L986" i="15"/>
  <c r="L987" i="15"/>
  <c r="L988" i="15"/>
  <c r="L989" i="15"/>
  <c r="L990" i="15"/>
  <c r="L991" i="15"/>
  <c r="L992" i="15"/>
  <c r="L993" i="15"/>
  <c r="L994" i="15"/>
  <c r="L995" i="15"/>
  <c r="L996" i="15"/>
  <c r="L997" i="15"/>
  <c r="L998" i="15"/>
  <c r="L999" i="15"/>
  <c r="L1000" i="15"/>
  <c r="L1001" i="15"/>
  <c r="L1002" i="15"/>
  <c r="L1003" i="15"/>
  <c r="L1004" i="15"/>
  <c r="L1005" i="15"/>
  <c r="B76" i="6" l="1"/>
  <c r="K2" i="16" l="1" a="1"/>
  <c r="K2" i="16" s="1"/>
  <c r="C46" i="7" s="1"/>
  <c r="C2" i="16" a="1"/>
  <c r="C2" i="16" s="1"/>
  <c r="C30" i="7" s="1"/>
  <c r="D2" i="16" a="1"/>
  <c r="D2" i="16" s="1"/>
  <c r="C32" i="7" s="1"/>
  <c r="E2" i="16" a="1"/>
  <c r="E2" i="16" s="1"/>
  <c r="C34" i="7" s="1"/>
  <c r="F2" i="16" a="1"/>
  <c r="F2" i="16" s="1"/>
  <c r="C36" i="7" s="1"/>
  <c r="G2" i="16" a="1"/>
  <c r="G2" i="16" s="1"/>
  <c r="C38" i="7" s="1"/>
  <c r="H2" i="16" a="1"/>
  <c r="H2" i="16" s="1"/>
  <c r="C40" i="7" s="1"/>
  <c r="I2" i="16" a="1"/>
  <c r="I2" i="16" s="1"/>
  <c r="C42" i="7" s="1"/>
  <c r="J2" i="16" a="1"/>
  <c r="J2" i="16" s="1"/>
  <c r="C44" i="7" s="1"/>
  <c r="B2" i="16" a="1"/>
  <c r="B2" i="16" s="1"/>
  <c r="C28" i="7" s="1"/>
  <c r="E30" i="7" a="1"/>
  <c r="B8" i="16" a="1"/>
  <c r="E28" i="7" a="1"/>
  <c r="E30" i="7" l="1"/>
  <c r="E28" i="7"/>
  <c r="C35" i="7"/>
  <c r="C33" i="7"/>
  <c r="C31" i="7"/>
  <c r="C29" i="7"/>
  <c r="C43" i="7"/>
  <c r="E43" i="7" s="1" a="1"/>
  <c r="C45" i="7"/>
  <c r="E45" i="7" s="1" a="1"/>
  <c r="C27" i="7"/>
  <c r="C41" i="7"/>
  <c r="C39" i="7"/>
  <c r="C37" i="7"/>
  <c r="D8" i="16"/>
  <c r="B9" i="16"/>
  <c r="J9" i="16"/>
  <c r="H10" i="16"/>
  <c r="F11" i="16"/>
  <c r="D12" i="16"/>
  <c r="B13" i="16"/>
  <c r="J13" i="16"/>
  <c r="H14" i="16"/>
  <c r="F15" i="16"/>
  <c r="D16" i="16"/>
  <c r="B17" i="16"/>
  <c r="J17" i="16"/>
  <c r="H18" i="16"/>
  <c r="F19" i="16"/>
  <c r="D20" i="16"/>
  <c r="B21" i="16"/>
  <c r="J21" i="16"/>
  <c r="H22" i="16"/>
  <c r="F23" i="16"/>
  <c r="D24" i="16"/>
  <c r="B25" i="16"/>
  <c r="J25" i="16"/>
  <c r="H26" i="16"/>
  <c r="F27" i="16"/>
  <c r="D28" i="16"/>
  <c r="B29" i="16"/>
  <c r="J29" i="16"/>
  <c r="H30" i="16"/>
  <c r="F31" i="16"/>
  <c r="D32" i="16"/>
  <c r="B33" i="16"/>
  <c r="J33" i="16"/>
  <c r="H34" i="16"/>
  <c r="F35" i="16"/>
  <c r="D36" i="16"/>
  <c r="B37" i="16"/>
  <c r="J37" i="16"/>
  <c r="H38" i="16"/>
  <c r="F39" i="16"/>
  <c r="D40" i="16"/>
  <c r="B41" i="16"/>
  <c r="J41" i="16"/>
  <c r="H42" i="16"/>
  <c r="F43" i="16"/>
  <c r="D44" i="16"/>
  <c r="B45" i="16"/>
  <c r="J45" i="16"/>
  <c r="H46" i="16"/>
  <c r="F47" i="16"/>
  <c r="D48" i="16"/>
  <c r="B49" i="16"/>
  <c r="J49" i="16"/>
  <c r="H50" i="16"/>
  <c r="F51" i="16"/>
  <c r="D52" i="16"/>
  <c r="B53" i="16"/>
  <c r="J53" i="16"/>
  <c r="H54" i="16"/>
  <c r="F55" i="16"/>
  <c r="D56" i="16"/>
  <c r="B57" i="16"/>
  <c r="J57" i="16"/>
  <c r="H58" i="16"/>
  <c r="F59" i="16"/>
  <c r="D60" i="16"/>
  <c r="B61" i="16"/>
  <c r="J61" i="16"/>
  <c r="H62" i="16"/>
  <c r="F63" i="16"/>
  <c r="D64" i="16"/>
  <c r="B65" i="16"/>
  <c r="J65" i="16"/>
  <c r="H66" i="16"/>
  <c r="F67" i="16"/>
  <c r="D68" i="16"/>
  <c r="B69" i="16"/>
  <c r="J69" i="16"/>
  <c r="H70" i="16"/>
  <c r="F71" i="16"/>
  <c r="D72" i="16"/>
  <c r="B73" i="16"/>
  <c r="J73" i="16"/>
  <c r="H74" i="16"/>
  <c r="F75" i="16"/>
  <c r="E8" i="16"/>
  <c r="C9" i="16"/>
  <c r="K9" i="16"/>
  <c r="I10" i="16"/>
  <c r="G11" i="16"/>
  <c r="E12" i="16"/>
  <c r="C13" i="16"/>
  <c r="K13" i="16"/>
  <c r="I14" i="16"/>
  <c r="G15" i="16"/>
  <c r="E16" i="16"/>
  <c r="C17" i="16"/>
  <c r="K17" i="16"/>
  <c r="I18" i="16"/>
  <c r="G19" i="16"/>
  <c r="E20" i="16"/>
  <c r="C21" i="16"/>
  <c r="K21" i="16"/>
  <c r="I22" i="16"/>
  <c r="G23" i="16"/>
  <c r="E24" i="16"/>
  <c r="C25" i="16"/>
  <c r="K25" i="16"/>
  <c r="I26" i="16"/>
  <c r="G27" i="16"/>
  <c r="E28" i="16"/>
  <c r="C29" i="16"/>
  <c r="K29" i="16"/>
  <c r="I30" i="16"/>
  <c r="G31" i="16"/>
  <c r="E32" i="16"/>
  <c r="C33" i="16"/>
  <c r="K33" i="16"/>
  <c r="I34" i="16"/>
  <c r="G35" i="16"/>
  <c r="E36" i="16"/>
  <c r="C37" i="16"/>
  <c r="K37" i="16"/>
  <c r="I38" i="16"/>
  <c r="G39" i="16"/>
  <c r="E40" i="16"/>
  <c r="C41" i="16"/>
  <c r="K41" i="16"/>
  <c r="I42" i="16"/>
  <c r="G43" i="16"/>
  <c r="E44" i="16"/>
  <c r="C45" i="16"/>
  <c r="K45" i="16"/>
  <c r="I46" i="16"/>
  <c r="G47" i="16"/>
  <c r="E48" i="16"/>
  <c r="C49" i="16"/>
  <c r="K49" i="16"/>
  <c r="I50" i="16"/>
  <c r="G51" i="16"/>
  <c r="E52" i="16"/>
  <c r="C53" i="16"/>
  <c r="K53" i="16"/>
  <c r="I54" i="16"/>
  <c r="G55" i="16"/>
  <c r="G8" i="16"/>
  <c r="E9" i="16"/>
  <c r="C10" i="16"/>
  <c r="K10" i="16"/>
  <c r="I11" i="16"/>
  <c r="G12" i="16"/>
  <c r="E13" i="16"/>
  <c r="C14" i="16"/>
  <c r="K14" i="16"/>
  <c r="I15" i="16"/>
  <c r="G16" i="16"/>
  <c r="E17" i="16"/>
  <c r="C18" i="16"/>
  <c r="K18" i="16"/>
  <c r="I19" i="16"/>
  <c r="G20" i="16"/>
  <c r="E21" i="16"/>
  <c r="C22" i="16"/>
  <c r="K22" i="16"/>
  <c r="I23" i="16"/>
  <c r="G24" i="16"/>
  <c r="E25" i="16"/>
  <c r="C26" i="16"/>
  <c r="K26" i="16"/>
  <c r="I27" i="16"/>
  <c r="G28" i="16"/>
  <c r="E29" i="16"/>
  <c r="C30" i="16"/>
  <c r="K30" i="16"/>
  <c r="I31" i="16"/>
  <c r="G32" i="16"/>
  <c r="E33" i="16"/>
  <c r="C34" i="16"/>
  <c r="K34" i="16"/>
  <c r="I35" i="16"/>
  <c r="G36" i="16"/>
  <c r="E37" i="16"/>
  <c r="C38" i="16"/>
  <c r="K38" i="16"/>
  <c r="I39" i="16"/>
  <c r="G40" i="16"/>
  <c r="E41" i="16"/>
  <c r="C42" i="16"/>
  <c r="K42" i="16"/>
  <c r="I43" i="16"/>
  <c r="G44" i="16"/>
  <c r="E45" i="16"/>
  <c r="C46" i="16"/>
  <c r="K46" i="16"/>
  <c r="I47" i="16"/>
  <c r="G48" i="16"/>
  <c r="E49" i="16"/>
  <c r="C50" i="16"/>
  <c r="K50" i="16"/>
  <c r="I51" i="16"/>
  <c r="G52" i="16"/>
  <c r="E53" i="16"/>
  <c r="C54" i="16"/>
  <c r="K54" i="16"/>
  <c r="I55" i="16"/>
  <c r="G56" i="16"/>
  <c r="E57" i="16"/>
  <c r="C58" i="16"/>
  <c r="K58" i="16"/>
  <c r="I59" i="16"/>
  <c r="G60" i="16"/>
  <c r="E61" i="16"/>
  <c r="C62" i="16"/>
  <c r="K62" i="16"/>
  <c r="I63" i="16"/>
  <c r="G64" i="16"/>
  <c r="E65" i="16"/>
  <c r="C66" i="16"/>
  <c r="K66" i="16"/>
  <c r="I67" i="16"/>
  <c r="G68" i="16"/>
  <c r="E69" i="16"/>
  <c r="C70" i="16"/>
  <c r="K70" i="16"/>
  <c r="I71" i="16"/>
  <c r="G72" i="16"/>
  <c r="E73" i="16"/>
  <c r="C74" i="16"/>
  <c r="K74" i="16"/>
  <c r="I75" i="16"/>
  <c r="F8" i="16"/>
  <c r="H9" i="16"/>
  <c r="B11" i="16"/>
  <c r="C12" i="16"/>
  <c r="G13" i="16"/>
  <c r="J14" i="16"/>
  <c r="B16" i="16"/>
  <c r="F17" i="16"/>
  <c r="G18" i="16"/>
  <c r="K19" i="16"/>
  <c r="D21" i="16"/>
  <c r="F22" i="16"/>
  <c r="J23" i="16"/>
  <c r="K24" i="16"/>
  <c r="E26" i="16"/>
  <c r="H27" i="16"/>
  <c r="J28" i="16"/>
  <c r="D30" i="16"/>
  <c r="E31" i="16"/>
  <c r="I32" i="16"/>
  <c r="B34" i="16"/>
  <c r="D35" i="16"/>
  <c r="H36" i="16"/>
  <c r="I37" i="16"/>
  <c r="C39" i="16"/>
  <c r="F40" i="16"/>
  <c r="H41" i="16"/>
  <c r="B43" i="16"/>
  <c r="C44" i="16"/>
  <c r="G45" i="16"/>
  <c r="J46" i="16"/>
  <c r="B48" i="16"/>
  <c r="F49" i="16"/>
  <c r="G50" i="16"/>
  <c r="K51" i="16"/>
  <c r="D53" i="16"/>
  <c r="F54" i="16"/>
  <c r="J55" i="16"/>
  <c r="J56" i="16"/>
  <c r="K57" i="16"/>
  <c r="B59" i="16"/>
  <c r="B60" i="16"/>
  <c r="C61" i="16"/>
  <c r="D62" i="16"/>
  <c r="D63" i="16"/>
  <c r="E64" i="16"/>
  <c r="F65" i="16"/>
  <c r="F66" i="16"/>
  <c r="G67" i="16"/>
  <c r="H68" i="16"/>
  <c r="H69" i="16"/>
  <c r="I70" i="16"/>
  <c r="J71" i="16"/>
  <c r="J72" i="16"/>
  <c r="K73" i="16"/>
  <c r="B75" i="16"/>
  <c r="B76" i="16"/>
  <c r="J76" i="16"/>
  <c r="H77" i="16"/>
  <c r="F78" i="16"/>
  <c r="D79" i="16"/>
  <c r="B80" i="16"/>
  <c r="J80" i="16"/>
  <c r="H81" i="16"/>
  <c r="F82" i="16"/>
  <c r="D83" i="16"/>
  <c r="B84" i="16"/>
  <c r="J84" i="16"/>
  <c r="H85" i="16"/>
  <c r="F86" i="16"/>
  <c r="D87" i="16"/>
  <c r="B88" i="16"/>
  <c r="J88" i="16"/>
  <c r="H89" i="16"/>
  <c r="F90" i="16"/>
  <c r="D91" i="16"/>
  <c r="B92" i="16"/>
  <c r="J92" i="16"/>
  <c r="H93" i="16"/>
  <c r="F94" i="16"/>
  <c r="D95" i="16"/>
  <c r="B96" i="16"/>
  <c r="J96" i="16"/>
  <c r="H97" i="16"/>
  <c r="F98" i="16"/>
  <c r="D99" i="16"/>
  <c r="H8" i="16"/>
  <c r="I9" i="16"/>
  <c r="C11" i="16"/>
  <c r="F12" i="16"/>
  <c r="H13" i="16"/>
  <c r="B15" i="16"/>
  <c r="C16" i="16"/>
  <c r="G17" i="16"/>
  <c r="J18" i="16"/>
  <c r="B20" i="16"/>
  <c r="F21" i="16"/>
  <c r="G22" i="16"/>
  <c r="K23" i="16"/>
  <c r="D25" i="16"/>
  <c r="F26" i="16"/>
  <c r="J27" i="16"/>
  <c r="K28" i="16"/>
  <c r="E30" i="16"/>
  <c r="H31" i="16"/>
  <c r="J32" i="16"/>
  <c r="D34" i="16"/>
  <c r="E35" i="16"/>
  <c r="I36" i="16"/>
  <c r="B38" i="16"/>
  <c r="D39" i="16"/>
  <c r="H40" i="16"/>
  <c r="I41" i="16"/>
  <c r="C43" i="16"/>
  <c r="F44" i="16"/>
  <c r="H45" i="16"/>
  <c r="B47" i="16"/>
  <c r="C48" i="16"/>
  <c r="G49" i="16"/>
  <c r="J50" i="16"/>
  <c r="B52" i="16"/>
  <c r="F53" i="16"/>
  <c r="G54" i="16"/>
  <c r="K55" i="16"/>
  <c r="K56" i="16"/>
  <c r="B58" i="16"/>
  <c r="C59" i="16"/>
  <c r="C60" i="16"/>
  <c r="D61" i="16"/>
  <c r="E62" i="16"/>
  <c r="E63" i="16"/>
  <c r="F64" i="16"/>
  <c r="G65" i="16"/>
  <c r="G66" i="16"/>
  <c r="H67" i="16"/>
  <c r="I68" i="16"/>
  <c r="I69" i="16"/>
  <c r="J70" i="16"/>
  <c r="K71" i="16"/>
  <c r="K72" i="16"/>
  <c r="B74" i="16"/>
  <c r="C75" i="16"/>
  <c r="C76" i="16"/>
  <c r="K76" i="16"/>
  <c r="I77" i="16"/>
  <c r="G78" i="16"/>
  <c r="E79" i="16"/>
  <c r="C80" i="16"/>
  <c r="K80" i="16"/>
  <c r="I81" i="16"/>
  <c r="G82" i="16"/>
  <c r="E83" i="16"/>
  <c r="C84" i="16"/>
  <c r="K84" i="16"/>
  <c r="I85" i="16"/>
  <c r="G86" i="16"/>
  <c r="E87" i="16"/>
  <c r="C88" i="16"/>
  <c r="K88" i="16"/>
  <c r="I89" i="16"/>
  <c r="G90" i="16"/>
  <c r="E91" i="16"/>
  <c r="J8" i="16"/>
  <c r="D10" i="16"/>
  <c r="E11" i="16"/>
  <c r="I12" i="16"/>
  <c r="B14" i="16"/>
  <c r="D15" i="16"/>
  <c r="H16" i="16"/>
  <c r="I17" i="16"/>
  <c r="C19" i="16"/>
  <c r="F20" i="16"/>
  <c r="H21" i="16"/>
  <c r="B23" i="16"/>
  <c r="C24" i="16"/>
  <c r="G25" i="16"/>
  <c r="J26" i="16"/>
  <c r="B28" i="16"/>
  <c r="F29" i="16"/>
  <c r="G30" i="16"/>
  <c r="K31" i="16"/>
  <c r="D33" i="16"/>
  <c r="F34" i="16"/>
  <c r="J35" i="16"/>
  <c r="K36" i="16"/>
  <c r="E38" i="16"/>
  <c r="H39" i="16"/>
  <c r="J40" i="16"/>
  <c r="D42" i="16"/>
  <c r="E43" i="16"/>
  <c r="I44" i="16"/>
  <c r="B46" i="16"/>
  <c r="D47" i="16"/>
  <c r="H48" i="16"/>
  <c r="I49" i="16"/>
  <c r="C51" i="16"/>
  <c r="F52" i="16"/>
  <c r="H53" i="16"/>
  <c r="B55" i="16"/>
  <c r="C56" i="16"/>
  <c r="D57" i="16"/>
  <c r="E58" i="16"/>
  <c r="E59" i="16"/>
  <c r="F60" i="16"/>
  <c r="G61" i="16"/>
  <c r="G62" i="16"/>
  <c r="H63" i="16"/>
  <c r="I64" i="16"/>
  <c r="I65" i="16"/>
  <c r="J66" i="16"/>
  <c r="K67" i="16"/>
  <c r="K68" i="16"/>
  <c r="B70" i="16"/>
  <c r="C71" i="16"/>
  <c r="C72" i="16"/>
  <c r="D73" i="16"/>
  <c r="E74" i="16"/>
  <c r="E75" i="16"/>
  <c r="E76" i="16"/>
  <c r="C77" i="16"/>
  <c r="K77" i="16"/>
  <c r="I78" i="16"/>
  <c r="G79" i="16"/>
  <c r="E80" i="16"/>
  <c r="C81" i="16"/>
  <c r="K81" i="16"/>
  <c r="I82" i="16"/>
  <c r="G83" i="16"/>
  <c r="E84" i="16"/>
  <c r="C85" i="16"/>
  <c r="K85" i="16"/>
  <c r="I86" i="16"/>
  <c r="G87" i="16"/>
  <c r="E88" i="16"/>
  <c r="C89" i="16"/>
  <c r="K89" i="16"/>
  <c r="I90" i="16"/>
  <c r="G91" i="16"/>
  <c r="E92" i="16"/>
  <c r="C93" i="16"/>
  <c r="K93" i="16"/>
  <c r="I94" i="16"/>
  <c r="G95" i="16"/>
  <c r="E96" i="16"/>
  <c r="C97" i="16"/>
  <c r="K97" i="16"/>
  <c r="I98" i="16"/>
  <c r="I8" i="16"/>
  <c r="G10" i="16"/>
  <c r="J12" i="16"/>
  <c r="G14" i="16"/>
  <c r="J16" i="16"/>
  <c r="B19" i="16"/>
  <c r="J20" i="16"/>
  <c r="C23" i="16"/>
  <c r="J24" i="16"/>
  <c r="C27" i="16"/>
  <c r="D29" i="16"/>
  <c r="C31" i="16"/>
  <c r="F33" i="16"/>
  <c r="C35" i="16"/>
  <c r="F37" i="16"/>
  <c r="E39" i="16"/>
  <c r="F41" i="16"/>
  <c r="H43" i="16"/>
  <c r="F45" i="16"/>
  <c r="H47" i="16"/>
  <c r="H49" i="16"/>
  <c r="H51" i="16"/>
  <c r="I53" i="16"/>
  <c r="H55" i="16"/>
  <c r="G57" i="16"/>
  <c r="D59" i="16"/>
  <c r="J60" i="16"/>
  <c r="I62" i="16"/>
  <c r="C64" i="16"/>
  <c r="B66" i="16"/>
  <c r="J67" i="16"/>
  <c r="F69" i="16"/>
  <c r="D71" i="16"/>
  <c r="I72" i="16"/>
  <c r="G74" i="16"/>
  <c r="D76" i="16"/>
  <c r="F77" i="16"/>
  <c r="J78" i="16"/>
  <c r="K79" i="16"/>
  <c r="E81" i="16"/>
  <c r="H82" i="16"/>
  <c r="J83" i="16"/>
  <c r="D85" i="16"/>
  <c r="E86" i="16"/>
  <c r="I87" i="16"/>
  <c r="B89" i="16"/>
  <c r="D90" i="16"/>
  <c r="H91" i="16"/>
  <c r="H92" i="16"/>
  <c r="I93" i="16"/>
  <c r="J94" i="16"/>
  <c r="J95" i="16"/>
  <c r="K96" i="16"/>
  <c r="B98" i="16"/>
  <c r="B99" i="16"/>
  <c r="K99" i="16"/>
  <c r="I100" i="16"/>
  <c r="G101" i="16"/>
  <c r="E102" i="16"/>
  <c r="C103" i="16"/>
  <c r="K103" i="16"/>
  <c r="I104" i="16"/>
  <c r="G105" i="16"/>
  <c r="E106" i="16"/>
  <c r="C107" i="16"/>
  <c r="K107" i="16"/>
  <c r="I108" i="16"/>
  <c r="G109" i="16"/>
  <c r="E110" i="16"/>
  <c r="C111" i="16"/>
  <c r="K111" i="16"/>
  <c r="I112" i="16"/>
  <c r="G113" i="16"/>
  <c r="E114" i="16"/>
  <c r="C115" i="16"/>
  <c r="K115" i="16"/>
  <c r="I116" i="16"/>
  <c r="G117" i="16"/>
  <c r="E118" i="16"/>
  <c r="C119" i="16"/>
  <c r="K119" i="16"/>
  <c r="I120" i="16"/>
  <c r="G121" i="16"/>
  <c r="E122" i="16"/>
  <c r="C123" i="16"/>
  <c r="K123" i="16"/>
  <c r="K8" i="16"/>
  <c r="J10" i="16"/>
  <c r="K12" i="16"/>
  <c r="C15" i="16"/>
  <c r="K16" i="16"/>
  <c r="D19" i="16"/>
  <c r="K20" i="16"/>
  <c r="D23" i="16"/>
  <c r="F25" i="16"/>
  <c r="D27" i="16"/>
  <c r="G29" i="16"/>
  <c r="D31" i="16"/>
  <c r="G33" i="16"/>
  <c r="H35" i="16"/>
  <c r="G37" i="16"/>
  <c r="J39" i="16"/>
  <c r="G41" i="16"/>
  <c r="J43" i="16"/>
  <c r="I45" i="16"/>
  <c r="J47" i="16"/>
  <c r="B50" i="16"/>
  <c r="J51" i="16"/>
  <c r="B54" i="16"/>
  <c r="B56" i="16"/>
  <c r="H57" i="16"/>
  <c r="G59" i="16"/>
  <c r="K60" i="16"/>
  <c r="J62" i="16"/>
  <c r="H64" i="16"/>
  <c r="D66" i="16"/>
  <c r="B68" i="16"/>
  <c r="G69" i="16"/>
  <c r="E71" i="16"/>
  <c r="C73" i="16"/>
  <c r="I74" i="16"/>
  <c r="F76" i="16"/>
  <c r="G77" i="16"/>
  <c r="K78" i="16"/>
  <c r="D80" i="16"/>
  <c r="F81" i="16"/>
  <c r="J82" i="16"/>
  <c r="K83" i="16"/>
  <c r="E85" i="16"/>
  <c r="H86" i="16"/>
  <c r="J87" i="16"/>
  <c r="D89" i="16"/>
  <c r="E90" i="16"/>
  <c r="I91" i="16"/>
  <c r="I92" i="16"/>
  <c r="J93" i="16"/>
  <c r="K94" i="16"/>
  <c r="K95" i="16"/>
  <c r="B97" i="16"/>
  <c r="C98" i="16"/>
  <c r="C99" i="16"/>
  <c r="B100" i="16"/>
  <c r="J100" i="16"/>
  <c r="H101" i="16"/>
  <c r="F102" i="16"/>
  <c r="D103" i="16"/>
  <c r="B104" i="16"/>
  <c r="J104" i="16"/>
  <c r="H105" i="16"/>
  <c r="F106" i="16"/>
  <c r="D107" i="16"/>
  <c r="B108" i="16"/>
  <c r="J108" i="16"/>
  <c r="H109" i="16"/>
  <c r="F110" i="16"/>
  <c r="D111" i="16"/>
  <c r="B112" i="16"/>
  <c r="J112" i="16"/>
  <c r="H113" i="16"/>
  <c r="F114" i="16"/>
  <c r="D115" i="16"/>
  <c r="B116" i="16"/>
  <c r="J116" i="16"/>
  <c r="H117" i="16"/>
  <c r="F118" i="16"/>
  <c r="D119" i="16"/>
  <c r="B120" i="16"/>
  <c r="J120" i="16"/>
  <c r="H121" i="16"/>
  <c r="F122" i="16"/>
  <c r="D123" i="16"/>
  <c r="F9" i="16"/>
  <c r="H11" i="16"/>
  <c r="F13" i="16"/>
  <c r="H15" i="16"/>
  <c r="H17" i="16"/>
  <c r="H19" i="16"/>
  <c r="I21" i="16"/>
  <c r="H23" i="16"/>
  <c r="I25" i="16"/>
  <c r="K27" i="16"/>
  <c r="I29" i="16"/>
  <c r="B32" i="16"/>
  <c r="I33" i="16"/>
  <c r="B36" i="16"/>
  <c r="D38" i="16"/>
  <c r="B40" i="16"/>
  <c r="E42" i="16"/>
  <c r="B44" i="16"/>
  <c r="E46" i="16"/>
  <c r="F48" i="16"/>
  <c r="E50" i="16"/>
  <c r="H52" i="16"/>
  <c r="E54" i="16"/>
  <c r="F56" i="16"/>
  <c r="D58" i="16"/>
  <c r="J59" i="16"/>
  <c r="H61" i="16"/>
  <c r="C63" i="16"/>
  <c r="K64" i="16"/>
  <c r="I66" i="16"/>
  <c r="E68" i="16"/>
  <c r="D70" i="16"/>
  <c r="H71" i="16"/>
  <c r="G73" i="16"/>
  <c r="D75" i="16"/>
  <c r="H76" i="16"/>
  <c r="B78" i="16"/>
  <c r="C79" i="16"/>
  <c r="G80" i="16"/>
  <c r="J81" i="16"/>
  <c r="B83" i="16"/>
  <c r="F84" i="16"/>
  <c r="G85" i="16"/>
  <c r="K86" i="16"/>
  <c r="D88" i="16"/>
  <c r="F89" i="16"/>
  <c r="J90" i="16"/>
  <c r="K91" i="16"/>
  <c r="B93" i="16"/>
  <c r="C94" i="16"/>
  <c r="C95" i="16"/>
  <c r="D96" i="16"/>
  <c r="E97" i="16"/>
  <c r="E98" i="16"/>
  <c r="F99" i="16"/>
  <c r="D100" i="16"/>
  <c r="B101" i="16"/>
  <c r="J101" i="16"/>
  <c r="H102" i="16"/>
  <c r="F103" i="16"/>
  <c r="D104" i="16"/>
  <c r="B105" i="16"/>
  <c r="J105" i="16"/>
  <c r="H106" i="16"/>
  <c r="F107" i="16"/>
  <c r="D108" i="16"/>
  <c r="B109" i="16"/>
  <c r="J109" i="16"/>
  <c r="H110" i="16"/>
  <c r="F111" i="16"/>
  <c r="D112" i="16"/>
  <c r="B113" i="16"/>
  <c r="J113" i="16"/>
  <c r="H114" i="16"/>
  <c r="F115" i="16"/>
  <c r="D116" i="16"/>
  <c r="B117" i="16"/>
  <c r="J117" i="16"/>
  <c r="H118" i="16"/>
  <c r="F119" i="16"/>
  <c r="D120" i="16"/>
  <c r="B121" i="16"/>
  <c r="J121" i="16"/>
  <c r="H122" i="16"/>
  <c r="F123" i="16"/>
  <c r="B8" i="16"/>
  <c r="J11" i="16"/>
  <c r="F14" i="16"/>
  <c r="D18" i="16"/>
  <c r="G21" i="16"/>
  <c r="H24" i="16"/>
  <c r="C28" i="16"/>
  <c r="B31" i="16"/>
  <c r="G34" i="16"/>
  <c r="H37" i="16"/>
  <c r="K40" i="16"/>
  <c r="H44" i="16"/>
  <c r="E47" i="16"/>
  <c r="B51" i="16"/>
  <c r="D54" i="16"/>
  <c r="C57" i="16"/>
  <c r="K59" i="16"/>
  <c r="F62" i="16"/>
  <c r="D65" i="16"/>
  <c r="C68" i="16"/>
  <c r="G70" i="16"/>
  <c r="H73" i="16"/>
  <c r="K75" i="16"/>
  <c r="D78" i="16"/>
  <c r="F80" i="16"/>
  <c r="D82" i="16"/>
  <c r="G84" i="16"/>
  <c r="D86" i="16"/>
  <c r="G88" i="16"/>
  <c r="H90" i="16"/>
  <c r="F92" i="16"/>
  <c r="D94" i="16"/>
  <c r="I95" i="16"/>
  <c r="G97" i="16"/>
  <c r="E99" i="16"/>
  <c r="G100" i="16"/>
  <c r="K101" i="16"/>
  <c r="B103" i="16"/>
  <c r="F104" i="16"/>
  <c r="I105" i="16"/>
  <c r="K106" i="16"/>
  <c r="E108" i="16"/>
  <c r="F109" i="16"/>
  <c r="J110" i="16"/>
  <c r="C112" i="16"/>
  <c r="E113" i="16"/>
  <c r="I114" i="16"/>
  <c r="J115" i="16"/>
  <c r="D117" i="16"/>
  <c r="G118" i="16"/>
  <c r="I119" i="16"/>
  <c r="C121" i="16"/>
  <c r="D122" i="16"/>
  <c r="H123" i="16"/>
  <c r="G124" i="16"/>
  <c r="E125" i="16"/>
  <c r="C126" i="16"/>
  <c r="K126" i="16"/>
  <c r="I127" i="16"/>
  <c r="C8" i="16"/>
  <c r="K11" i="16"/>
  <c r="E15" i="16"/>
  <c r="E18" i="16"/>
  <c r="B22" i="16"/>
  <c r="I24" i="16"/>
  <c r="F28" i="16"/>
  <c r="J31" i="16"/>
  <c r="J34" i="16"/>
  <c r="F38" i="16"/>
  <c r="D41" i="16"/>
  <c r="J44" i="16"/>
  <c r="K47" i="16"/>
  <c r="D51" i="16"/>
  <c r="J54" i="16"/>
  <c r="F57" i="16"/>
  <c r="E60" i="16"/>
  <c r="B63" i="16"/>
  <c r="H65" i="16"/>
  <c r="F68" i="16"/>
  <c r="B71" i="16"/>
  <c r="I73" i="16"/>
  <c r="G76" i="16"/>
  <c r="E78" i="16"/>
  <c r="H80" i="16"/>
  <c r="E82" i="16"/>
  <c r="H84" i="16"/>
  <c r="J86" i="16"/>
  <c r="H88" i="16"/>
  <c r="K90" i="16"/>
  <c r="G92" i="16"/>
  <c r="E94" i="16"/>
  <c r="C96" i="16"/>
  <c r="I97" i="16"/>
  <c r="G99" i="16"/>
  <c r="H100" i="16"/>
  <c r="B102" i="16"/>
  <c r="E103" i="16"/>
  <c r="G104" i="16"/>
  <c r="K105" i="16"/>
  <c r="B107" i="16"/>
  <c r="F108" i="16"/>
  <c r="I109" i="16"/>
  <c r="K110" i="16"/>
  <c r="E112" i="16"/>
  <c r="F113" i="16"/>
  <c r="J114" i="16"/>
  <c r="C116" i="16"/>
  <c r="E117" i="16"/>
  <c r="I118" i="16"/>
  <c r="J119" i="16"/>
  <c r="D121" i="16"/>
  <c r="G122" i="16"/>
  <c r="I123" i="16"/>
  <c r="H124" i="16"/>
  <c r="F125" i="16"/>
  <c r="D126" i="16"/>
  <c r="B127" i="16"/>
  <c r="J127" i="16"/>
  <c r="D9" i="16"/>
  <c r="B12" i="16"/>
  <c r="J15" i="16"/>
  <c r="F18" i="16"/>
  <c r="D22" i="16"/>
  <c r="H25" i="16"/>
  <c r="H28" i="16"/>
  <c r="C32" i="16"/>
  <c r="B35" i="16"/>
  <c r="G38" i="16"/>
  <c r="B42" i="16"/>
  <c r="K44" i="16"/>
  <c r="I48" i="16"/>
  <c r="E51" i="16"/>
  <c r="C55" i="16"/>
  <c r="I57" i="16"/>
  <c r="H60" i="16"/>
  <c r="G63" i="16"/>
  <c r="K65" i="16"/>
  <c r="J68" i="16"/>
  <c r="G71" i="16"/>
  <c r="D74" i="16"/>
  <c r="I76" i="16"/>
  <c r="H78" i="16"/>
  <c r="I80" i="16"/>
  <c r="K82" i="16"/>
  <c r="I84" i="16"/>
  <c r="B87" i="16"/>
  <c r="I88" i="16"/>
  <c r="B91" i="16"/>
  <c r="K92" i="16"/>
  <c r="G94" i="16"/>
  <c r="F96" i="16"/>
  <c r="J97" i="16"/>
  <c r="H99" i="16"/>
  <c r="K100" i="16"/>
  <c r="C102" i="16"/>
  <c r="G103" i="16"/>
  <c r="H104" i="16"/>
  <c r="B106" i="16"/>
  <c r="E107" i="16"/>
  <c r="G108" i="16"/>
  <c r="K109" i="16"/>
  <c r="B111" i="16"/>
  <c r="F112" i="16"/>
  <c r="I113" i="16"/>
  <c r="K114" i="16"/>
  <c r="E116" i="16"/>
  <c r="F117" i="16"/>
  <c r="J118" i="16"/>
  <c r="C120" i="16"/>
  <c r="E121" i="16"/>
  <c r="I122" i="16"/>
  <c r="J123" i="16"/>
  <c r="I124" i="16"/>
  <c r="G125" i="16"/>
  <c r="E126" i="16"/>
  <c r="C127" i="16"/>
  <c r="K127" i="16"/>
  <c r="I128" i="16"/>
  <c r="G129" i="16"/>
  <c r="E130" i="16"/>
  <c r="C131" i="16"/>
  <c r="K131" i="16"/>
  <c r="I132" i="16"/>
  <c r="G133" i="16"/>
  <c r="E134" i="16"/>
  <c r="C135" i="16"/>
  <c r="K135" i="16"/>
  <c r="I136" i="16"/>
  <c r="G137" i="16"/>
  <c r="E138" i="16"/>
  <c r="C139" i="16"/>
  <c r="K139" i="16"/>
  <c r="I140" i="16"/>
  <c r="G141" i="16"/>
  <c r="E142" i="16"/>
  <c r="C143" i="16"/>
  <c r="K143" i="16"/>
  <c r="I144" i="16"/>
  <c r="G145" i="16"/>
  <c r="E146" i="16"/>
  <c r="C147" i="16"/>
  <c r="K147" i="16"/>
  <c r="I148" i="16"/>
  <c r="G149" i="16"/>
  <c r="E150" i="16"/>
  <c r="C151" i="16"/>
  <c r="K151" i="16"/>
  <c r="I152" i="16"/>
  <c r="G153" i="16"/>
  <c r="E154" i="16"/>
  <c r="C155" i="16"/>
  <c r="K155" i="16"/>
  <c r="I156" i="16"/>
  <c r="G157" i="16"/>
  <c r="E158" i="16"/>
  <c r="C159" i="16"/>
  <c r="K159" i="16"/>
  <c r="I160" i="16"/>
  <c r="G161" i="16"/>
  <c r="E162" i="16"/>
  <c r="C163" i="16"/>
  <c r="K163" i="16"/>
  <c r="I164" i="16"/>
  <c r="G165" i="16"/>
  <c r="E166" i="16"/>
  <c r="C167" i="16"/>
  <c r="K167" i="16"/>
  <c r="I168" i="16"/>
  <c r="G169" i="16"/>
  <c r="E170" i="16"/>
  <c r="C171" i="16"/>
  <c r="K171" i="16"/>
  <c r="I172" i="16"/>
  <c r="G173" i="16"/>
  <c r="E174" i="16"/>
  <c r="C175" i="16"/>
  <c r="K175" i="16"/>
  <c r="I176" i="16"/>
  <c r="G177" i="16"/>
  <c r="E178" i="16"/>
  <c r="C179" i="16"/>
  <c r="K179" i="16"/>
  <c r="I180" i="16"/>
  <c r="G181" i="16"/>
  <c r="E182" i="16"/>
  <c r="C183" i="16"/>
  <c r="K183" i="16"/>
  <c r="I184" i="16"/>
  <c r="G185" i="16"/>
  <c r="E186" i="16"/>
  <c r="C187" i="16"/>
  <c r="K187" i="16"/>
  <c r="I188" i="16"/>
  <c r="G189" i="16"/>
  <c r="E190" i="16"/>
  <c r="C191" i="16"/>
  <c r="K191" i="16"/>
  <c r="I192" i="16"/>
  <c r="G193" i="16"/>
  <c r="E194" i="16"/>
  <c r="C195" i="16"/>
  <c r="K195" i="16"/>
  <c r="I196" i="16"/>
  <c r="G197" i="16"/>
  <c r="E198" i="16"/>
  <c r="C199" i="16"/>
  <c r="K199" i="16"/>
  <c r="I200" i="16"/>
  <c r="G201" i="16"/>
  <c r="E202" i="16"/>
  <c r="C203" i="16"/>
  <c r="K203" i="16"/>
  <c r="I204" i="16"/>
  <c r="G205" i="16"/>
  <c r="E206" i="16"/>
  <c r="C207" i="16"/>
  <c r="K207" i="16"/>
  <c r="I208" i="16"/>
  <c r="G209" i="16"/>
  <c r="E210" i="16"/>
  <c r="C211" i="16"/>
  <c r="K211" i="16"/>
  <c r="I212" i="16"/>
  <c r="G213" i="16"/>
  <c r="E214" i="16"/>
  <c r="C215" i="16"/>
  <c r="K215" i="16"/>
  <c r="I216" i="16"/>
  <c r="G9" i="16"/>
  <c r="H12" i="16"/>
  <c r="K15" i="16"/>
  <c r="E19" i="16"/>
  <c r="E22" i="16"/>
  <c r="B26" i="16"/>
  <c r="I28" i="16"/>
  <c r="F32" i="16"/>
  <c r="K35" i="16"/>
  <c r="J38" i="16"/>
  <c r="F42" i="16"/>
  <c r="D45" i="16"/>
  <c r="J48" i="16"/>
  <c r="C52" i="16"/>
  <c r="D55" i="16"/>
  <c r="F58" i="16"/>
  <c r="I60" i="16"/>
  <c r="J63" i="16"/>
  <c r="E66" i="16"/>
  <c r="C69" i="16"/>
  <c r="B72" i="16"/>
  <c r="F74" i="16"/>
  <c r="B77" i="16"/>
  <c r="B79" i="16"/>
  <c r="B81" i="16"/>
  <c r="C83" i="16"/>
  <c r="B85" i="16"/>
  <c r="C87" i="16"/>
  <c r="E89" i="16"/>
  <c r="C91" i="16"/>
  <c r="D93" i="16"/>
  <c r="H94" i="16"/>
  <c r="G96" i="16"/>
  <c r="D98" i="16"/>
  <c r="I99" i="16"/>
  <c r="C101" i="16"/>
  <c r="D102" i="16"/>
  <c r="H103" i="16"/>
  <c r="K104" i="16"/>
  <c r="C106" i="16"/>
  <c r="G107" i="16"/>
  <c r="H108" i="16"/>
  <c r="B110" i="16"/>
  <c r="E111" i="16"/>
  <c r="G112" i="16"/>
  <c r="K113" i="16"/>
  <c r="B115" i="16"/>
  <c r="F116" i="16"/>
  <c r="I117" i="16"/>
  <c r="K118" i="16"/>
  <c r="E120" i="16"/>
  <c r="F121" i="16"/>
  <c r="J122" i="16"/>
  <c r="B124" i="16"/>
  <c r="J124" i="16"/>
  <c r="H125" i="16"/>
  <c r="F126" i="16"/>
  <c r="D127" i="16"/>
  <c r="B128" i="16"/>
  <c r="J128" i="16"/>
  <c r="H129" i="16"/>
  <c r="F130" i="16"/>
  <c r="D131" i="16"/>
  <c r="B132" i="16"/>
  <c r="J132" i="16"/>
  <c r="H133" i="16"/>
  <c r="F134" i="16"/>
  <c r="D135" i="16"/>
  <c r="B136" i="16"/>
  <c r="J136" i="16"/>
  <c r="H137" i="16"/>
  <c r="F138" i="16"/>
  <c r="D139" i="16"/>
  <c r="B140" i="16"/>
  <c r="J140" i="16"/>
  <c r="H141" i="16"/>
  <c r="F142" i="16"/>
  <c r="D143" i="16"/>
  <c r="B144" i="16"/>
  <c r="J144" i="16"/>
  <c r="H145" i="16"/>
  <c r="F146" i="16"/>
  <c r="D147" i="16"/>
  <c r="B148" i="16"/>
  <c r="J148" i="16"/>
  <c r="H149" i="16"/>
  <c r="F150" i="16"/>
  <c r="D151" i="16"/>
  <c r="B152" i="16"/>
  <c r="J152" i="16"/>
  <c r="H153" i="16"/>
  <c r="F154" i="16"/>
  <c r="D155" i="16"/>
  <c r="B156" i="16"/>
  <c r="J156" i="16"/>
  <c r="H157" i="16"/>
  <c r="F158" i="16"/>
  <c r="D159" i="16"/>
  <c r="B160" i="16"/>
  <c r="J160" i="16"/>
  <c r="H161" i="16"/>
  <c r="F162" i="16"/>
  <c r="D163" i="16"/>
  <c r="B164" i="16"/>
  <c r="J164" i="16"/>
  <c r="H165" i="16"/>
  <c r="F166" i="16"/>
  <c r="D167" i="16"/>
  <c r="B168" i="16"/>
  <c r="J168" i="16"/>
  <c r="H169" i="16"/>
  <c r="F170" i="16"/>
  <c r="D171" i="16"/>
  <c r="B172" i="16"/>
  <c r="J172" i="16"/>
  <c r="H173" i="16"/>
  <c r="F174" i="16"/>
  <c r="D175" i="16"/>
  <c r="B176" i="16"/>
  <c r="J176" i="16"/>
  <c r="H177" i="16"/>
  <c r="F178" i="16"/>
  <c r="D179" i="16"/>
  <c r="B180" i="16"/>
  <c r="J180" i="16"/>
  <c r="H181" i="16"/>
  <c r="F182" i="16"/>
  <c r="D183" i="16"/>
  <c r="B184" i="16"/>
  <c r="J184" i="16"/>
  <c r="H185" i="16"/>
  <c r="F186" i="16"/>
  <c r="D187" i="16"/>
  <c r="B188" i="16"/>
  <c r="J188" i="16"/>
  <c r="H189" i="16"/>
  <c r="F190" i="16"/>
  <c r="D191" i="16"/>
  <c r="B192" i="16"/>
  <c r="J192" i="16"/>
  <c r="H193" i="16"/>
  <c r="F194" i="16"/>
  <c r="D195" i="16"/>
  <c r="B196" i="16"/>
  <c r="J196" i="16"/>
  <c r="H197" i="16"/>
  <c r="F198" i="16"/>
  <c r="D199" i="16"/>
  <c r="B200" i="16"/>
  <c r="J200" i="16"/>
  <c r="H201" i="16"/>
  <c r="F202" i="16"/>
  <c r="D203" i="16"/>
  <c r="B204" i="16"/>
  <c r="J204" i="16"/>
  <c r="H205" i="16"/>
  <c r="F206" i="16"/>
  <c r="D207" i="16"/>
  <c r="B208" i="16"/>
  <c r="J208" i="16"/>
  <c r="H209" i="16"/>
  <c r="F210" i="16"/>
  <c r="D211" i="16"/>
  <c r="B212" i="16"/>
  <c r="J212" i="16"/>
  <c r="H213" i="16"/>
  <c r="F214" i="16"/>
  <c r="D215" i="16"/>
  <c r="B216" i="16"/>
  <c r="J216" i="16"/>
  <c r="B10" i="16"/>
  <c r="D13" i="16"/>
  <c r="F16" i="16"/>
  <c r="J19" i="16"/>
  <c r="J22" i="16"/>
  <c r="D26" i="16"/>
  <c r="H29" i="16"/>
  <c r="H32" i="16"/>
  <c r="C36" i="16"/>
  <c r="B39" i="16"/>
  <c r="G42" i="16"/>
  <c r="D46" i="16"/>
  <c r="K48" i="16"/>
  <c r="I52" i="16"/>
  <c r="E55" i="16"/>
  <c r="G58" i="16"/>
  <c r="F61" i="16"/>
  <c r="K63" i="16"/>
  <c r="B67" i="16"/>
  <c r="D69" i="16"/>
  <c r="E72" i="16"/>
  <c r="J74" i="16"/>
  <c r="D77" i="16"/>
  <c r="F79" i="16"/>
  <c r="D81" i="16"/>
  <c r="F83" i="16"/>
  <c r="F85" i="16"/>
  <c r="F87" i="16"/>
  <c r="G89" i="16"/>
  <c r="F91" i="16"/>
  <c r="E93" i="16"/>
  <c r="B95" i="16"/>
  <c r="H96" i="16"/>
  <c r="G98" i="16"/>
  <c r="J99" i="16"/>
  <c r="D101" i="16"/>
  <c r="G102" i="16"/>
  <c r="I103" i="16"/>
  <c r="C105" i="16"/>
  <c r="D106" i="16"/>
  <c r="H107" i="16"/>
  <c r="K108" i="16"/>
  <c r="C110" i="16"/>
  <c r="G111" i="16"/>
  <c r="H112" i="16"/>
  <c r="B114" i="16"/>
  <c r="E115" i="16"/>
  <c r="G116" i="16"/>
  <c r="K117" i="16"/>
  <c r="B119" i="16"/>
  <c r="F120" i="16"/>
  <c r="E10" i="16"/>
  <c r="I13" i="16"/>
  <c r="I16" i="16"/>
  <c r="C20" i="16"/>
  <c r="E23" i="16"/>
  <c r="G26" i="16"/>
  <c r="B30" i="16"/>
  <c r="K32" i="16"/>
  <c r="F36" i="16"/>
  <c r="K39" i="16"/>
  <c r="J42" i="16"/>
  <c r="F46" i="16"/>
  <c r="D49" i="16"/>
  <c r="J52" i="16"/>
  <c r="E56" i="16"/>
  <c r="I58" i="16"/>
  <c r="I61" i="16"/>
  <c r="B64" i="16"/>
  <c r="C67" i="16"/>
  <c r="K69" i="16"/>
  <c r="F72" i="16"/>
  <c r="G75" i="16"/>
  <c r="E77" i="16"/>
  <c r="H79" i="16"/>
  <c r="G81" i="16"/>
  <c r="H83" i="16"/>
  <c r="J85" i="16"/>
  <c r="H87" i="16"/>
  <c r="J89" i="16"/>
  <c r="J91" i="16"/>
  <c r="F93" i="16"/>
  <c r="E95" i="16"/>
  <c r="I96" i="16"/>
  <c r="H98" i="16"/>
  <c r="C100" i="16"/>
  <c r="E101" i="16"/>
  <c r="I102" i="16"/>
  <c r="J103" i="16"/>
  <c r="D105" i="16"/>
  <c r="G106" i="16"/>
  <c r="I107" i="16"/>
  <c r="C109" i="16"/>
  <c r="D110" i="16"/>
  <c r="H111" i="16"/>
  <c r="K112" i="16"/>
  <c r="C114" i="16"/>
  <c r="G115" i="16"/>
  <c r="H116" i="16"/>
  <c r="B118" i="16"/>
  <c r="E119" i="16"/>
  <c r="G120" i="16"/>
  <c r="K121" i="16"/>
  <c r="B123" i="16"/>
  <c r="D124" i="16"/>
  <c r="B125" i="16"/>
  <c r="J125" i="16"/>
  <c r="H126" i="16"/>
  <c r="F127" i="16"/>
  <c r="D128" i="16"/>
  <c r="B129" i="16"/>
  <c r="J129" i="16"/>
  <c r="H130" i="16"/>
  <c r="F131" i="16"/>
  <c r="D132" i="16"/>
  <c r="B133" i="16"/>
  <c r="J133" i="16"/>
  <c r="H134" i="16"/>
  <c r="F135" i="16"/>
  <c r="D136" i="16"/>
  <c r="B137" i="16"/>
  <c r="J137" i="16"/>
  <c r="H138" i="16"/>
  <c r="F139" i="16"/>
  <c r="D140" i="16"/>
  <c r="B141" i="16"/>
  <c r="J141" i="16"/>
  <c r="H142" i="16"/>
  <c r="F143" i="16"/>
  <c r="D144" i="16"/>
  <c r="B145" i="16"/>
  <c r="J145" i="16"/>
  <c r="H146" i="16"/>
  <c r="F147" i="16"/>
  <c r="D148" i="16"/>
  <c r="B149" i="16"/>
  <c r="J149" i="16"/>
  <c r="H150" i="16"/>
  <c r="F151" i="16"/>
  <c r="D152" i="16"/>
  <c r="B153" i="16"/>
  <c r="J153" i="16"/>
  <c r="H154" i="16"/>
  <c r="F155" i="16"/>
  <c r="D156" i="16"/>
  <c r="B157" i="16"/>
  <c r="J157" i="16"/>
  <c r="H158" i="16"/>
  <c r="F159" i="16"/>
  <c r="D160" i="16"/>
  <c r="B161" i="16"/>
  <c r="J161" i="16"/>
  <c r="H162" i="16"/>
  <c r="F163" i="16"/>
  <c r="D164" i="16"/>
  <c r="B165" i="16"/>
  <c r="J165" i="16"/>
  <c r="H166" i="16"/>
  <c r="F167" i="16"/>
  <c r="D168" i="16"/>
  <c r="B169" i="16"/>
  <c r="J169" i="16"/>
  <c r="H170" i="16"/>
  <c r="F171" i="16"/>
  <c r="D172" i="16"/>
  <c r="B173" i="16"/>
  <c r="J173" i="16"/>
  <c r="H174" i="16"/>
  <c r="F175" i="16"/>
  <c r="D176" i="16"/>
  <c r="B177" i="16"/>
  <c r="J177" i="16"/>
  <c r="H178" i="16"/>
  <c r="F179" i="16"/>
  <c r="D180" i="16"/>
  <c r="B181" i="16"/>
  <c r="J181" i="16"/>
  <c r="H182" i="16"/>
  <c r="F183" i="16"/>
  <c r="D184" i="16"/>
  <c r="B185" i="16"/>
  <c r="J185" i="16"/>
  <c r="H186" i="16"/>
  <c r="F187" i="16"/>
  <c r="D188" i="16"/>
  <c r="B189" i="16"/>
  <c r="J189" i="16"/>
  <c r="H190" i="16"/>
  <c r="F191" i="16"/>
  <c r="D192" i="16"/>
  <c r="B193" i="16"/>
  <c r="J193" i="16"/>
  <c r="H194" i="16"/>
  <c r="F195" i="16"/>
  <c r="D196" i="16"/>
  <c r="B197" i="16"/>
  <c r="J197" i="16"/>
  <c r="H198" i="16"/>
  <c r="F199" i="16"/>
  <c r="D200" i="16"/>
  <c r="B201" i="16"/>
  <c r="J201" i="16"/>
  <c r="H202" i="16"/>
  <c r="F203" i="16"/>
  <c r="D204" i="16"/>
  <c r="B205" i="16"/>
  <c r="J205" i="16"/>
  <c r="H206" i="16"/>
  <c r="F207" i="16"/>
  <c r="D208" i="16"/>
  <c r="B209" i="16"/>
  <c r="J209" i="16"/>
  <c r="H210" i="16"/>
  <c r="F211" i="16"/>
  <c r="D212" i="16"/>
  <c r="B213" i="16"/>
  <c r="J213" i="16"/>
  <c r="H214" i="16"/>
  <c r="F215" i="16"/>
  <c r="D216" i="16"/>
  <c r="B217" i="16"/>
  <c r="D17" i="16"/>
  <c r="F30" i="16"/>
  <c r="D43" i="16"/>
  <c r="H56" i="16"/>
  <c r="D67" i="16"/>
  <c r="J77" i="16"/>
  <c r="B86" i="16"/>
  <c r="G93" i="16"/>
  <c r="E100" i="16"/>
  <c r="E105" i="16"/>
  <c r="G110" i="16"/>
  <c r="H115" i="16"/>
  <c r="H120" i="16"/>
  <c r="C124" i="16"/>
  <c r="B126" i="16"/>
  <c r="E128" i="16"/>
  <c r="F129" i="16"/>
  <c r="J130" i="16"/>
  <c r="C132" i="16"/>
  <c r="E133" i="16"/>
  <c r="I134" i="16"/>
  <c r="J135" i="16"/>
  <c r="D137" i="16"/>
  <c r="G138" i="16"/>
  <c r="I139" i="16"/>
  <c r="C141" i="16"/>
  <c r="D142" i="16"/>
  <c r="H143" i="16"/>
  <c r="K144" i="16"/>
  <c r="C146" i="16"/>
  <c r="G147" i="16"/>
  <c r="H148" i="16"/>
  <c r="B150" i="16"/>
  <c r="E151" i="16"/>
  <c r="G152" i="16"/>
  <c r="K153" i="16"/>
  <c r="B155" i="16"/>
  <c r="F156" i="16"/>
  <c r="I157" i="16"/>
  <c r="K158" i="16"/>
  <c r="E160" i="16"/>
  <c r="F161" i="16"/>
  <c r="J162" i="16"/>
  <c r="C164" i="16"/>
  <c r="E165" i="16"/>
  <c r="I166" i="16"/>
  <c r="J167" i="16"/>
  <c r="D169" i="16"/>
  <c r="G170" i="16"/>
  <c r="I171" i="16"/>
  <c r="C173" i="16"/>
  <c r="D174" i="16"/>
  <c r="H175" i="16"/>
  <c r="K176" i="16"/>
  <c r="C178" i="16"/>
  <c r="G179" i="16"/>
  <c r="H180" i="16"/>
  <c r="B182" i="16"/>
  <c r="E183" i="16"/>
  <c r="G184" i="16"/>
  <c r="B18" i="16"/>
  <c r="J30" i="16"/>
  <c r="K43" i="16"/>
  <c r="I56" i="16"/>
  <c r="E67" i="16"/>
  <c r="C78" i="16"/>
  <c r="C86" i="16"/>
  <c r="B94" i="16"/>
  <c r="F100" i="16"/>
  <c r="F105" i="16"/>
  <c r="I110" i="16"/>
  <c r="I115" i="16"/>
  <c r="K120" i="16"/>
  <c r="E124" i="16"/>
  <c r="G126" i="16"/>
  <c r="F128" i="16"/>
  <c r="I129" i="16"/>
  <c r="K130" i="16"/>
  <c r="E132" i="16"/>
  <c r="F133" i="16"/>
  <c r="J134" i="16"/>
  <c r="C136" i="16"/>
  <c r="E137" i="16"/>
  <c r="I138" i="16"/>
  <c r="J139" i="16"/>
  <c r="D141" i="16"/>
  <c r="G142" i="16"/>
  <c r="I143" i="16"/>
  <c r="C145" i="16"/>
  <c r="D146" i="16"/>
  <c r="H147" i="16"/>
  <c r="K148" i="16"/>
  <c r="C150" i="16"/>
  <c r="G151" i="16"/>
  <c r="H152" i="16"/>
  <c r="B154" i="16"/>
  <c r="E155" i="16"/>
  <c r="G156" i="16"/>
  <c r="K157" i="16"/>
  <c r="B159" i="16"/>
  <c r="F160" i="16"/>
  <c r="I161" i="16"/>
  <c r="K162" i="16"/>
  <c r="E164" i="16"/>
  <c r="F165" i="16"/>
  <c r="J166" i="16"/>
  <c r="C168" i="16"/>
  <c r="E169" i="16"/>
  <c r="I170" i="16"/>
  <c r="J171" i="16"/>
  <c r="D173" i="16"/>
  <c r="G174" i="16"/>
  <c r="I175" i="16"/>
  <c r="C177" i="16"/>
  <c r="D178" i="16"/>
  <c r="H179" i="16"/>
  <c r="K180" i="16"/>
  <c r="C182" i="16"/>
  <c r="G183" i="16"/>
  <c r="H184" i="16"/>
  <c r="B186" i="16"/>
  <c r="E187" i="16"/>
  <c r="G188" i="16"/>
  <c r="K189" i="16"/>
  <c r="B191" i="16"/>
  <c r="F192" i="16"/>
  <c r="I193" i="16"/>
  <c r="K194" i="16"/>
  <c r="E196" i="16"/>
  <c r="F197" i="16"/>
  <c r="J198" i="16"/>
  <c r="C200" i="16"/>
  <c r="E201" i="16"/>
  <c r="I202" i="16"/>
  <c r="J203" i="16"/>
  <c r="D205" i="16"/>
  <c r="G206" i="16"/>
  <c r="I207" i="16"/>
  <c r="C209" i="16"/>
  <c r="D210" i="16"/>
  <c r="H211" i="16"/>
  <c r="K212" i="16"/>
  <c r="C214" i="16"/>
  <c r="G215" i="16"/>
  <c r="H216" i="16"/>
  <c r="H20" i="16"/>
  <c r="H33" i="16"/>
  <c r="G46" i="16"/>
  <c r="J58" i="16"/>
  <c r="E70" i="16"/>
  <c r="I79" i="16"/>
  <c r="K87" i="16"/>
  <c r="F95" i="16"/>
  <c r="F101" i="16"/>
  <c r="I106" i="16"/>
  <c r="I111" i="16"/>
  <c r="K116" i="16"/>
  <c r="I121" i="16"/>
  <c r="F124" i="16"/>
  <c r="I126" i="16"/>
  <c r="G128" i="16"/>
  <c r="K129" i="16"/>
  <c r="B131" i="16"/>
  <c r="F132" i="16"/>
  <c r="I133" i="16"/>
  <c r="K134" i="16"/>
  <c r="E136" i="16"/>
  <c r="F137" i="16"/>
  <c r="J138" i="16"/>
  <c r="C140" i="16"/>
  <c r="E141" i="16"/>
  <c r="I142" i="16"/>
  <c r="J143" i="16"/>
  <c r="D145" i="16"/>
  <c r="G146" i="16"/>
  <c r="I147" i="16"/>
  <c r="C149" i="16"/>
  <c r="D150" i="16"/>
  <c r="H151" i="16"/>
  <c r="K152" i="16"/>
  <c r="C154" i="16"/>
  <c r="G155" i="16"/>
  <c r="H156" i="16"/>
  <c r="B158" i="16"/>
  <c r="E159" i="16"/>
  <c r="G160" i="16"/>
  <c r="K161" i="16"/>
  <c r="B163" i="16"/>
  <c r="F164" i="16"/>
  <c r="I165" i="16"/>
  <c r="K166" i="16"/>
  <c r="E168" i="16"/>
  <c r="F169" i="16"/>
  <c r="J170" i="16"/>
  <c r="C172" i="16"/>
  <c r="E173" i="16"/>
  <c r="I174" i="16"/>
  <c r="J175" i="16"/>
  <c r="D177" i="16"/>
  <c r="G178" i="16"/>
  <c r="I179" i="16"/>
  <c r="C181" i="16"/>
  <c r="D182" i="16"/>
  <c r="H183" i="16"/>
  <c r="K184" i="16"/>
  <c r="C186" i="16"/>
  <c r="G187" i="16"/>
  <c r="H188" i="16"/>
  <c r="B190" i="16"/>
  <c r="E191" i="16"/>
  <c r="G192" i="16"/>
  <c r="K193" i="16"/>
  <c r="B195" i="16"/>
  <c r="F196" i="16"/>
  <c r="I197" i="16"/>
  <c r="K198" i="16"/>
  <c r="E200" i="16"/>
  <c r="F201" i="16"/>
  <c r="J202" i="16"/>
  <c r="C204" i="16"/>
  <c r="E205" i="16"/>
  <c r="I206" i="16"/>
  <c r="J207" i="16"/>
  <c r="D209" i="16"/>
  <c r="G210" i="16"/>
  <c r="I211" i="16"/>
  <c r="C213" i="16"/>
  <c r="D214" i="16"/>
  <c r="H215" i="16"/>
  <c r="K216" i="16"/>
  <c r="F10" i="16"/>
  <c r="E27" i="16"/>
  <c r="F50" i="16"/>
  <c r="F70" i="16"/>
  <c r="I83" i="16"/>
  <c r="D97" i="16"/>
  <c r="E104" i="16"/>
  <c r="D113" i="16"/>
  <c r="B122" i="16"/>
  <c r="I125" i="16"/>
  <c r="K128" i="16"/>
  <c r="I130" i="16"/>
  <c r="K132" i="16"/>
  <c r="B135" i="16"/>
  <c r="K136" i="16"/>
  <c r="B139" i="16"/>
  <c r="K140" i="16"/>
  <c r="B143" i="16"/>
  <c r="E145" i="16"/>
  <c r="B147" i="16"/>
  <c r="E149" i="16"/>
  <c r="B151" i="16"/>
  <c r="E153" i="16"/>
  <c r="H155" i="16"/>
  <c r="E157" i="16"/>
  <c r="H159" i="16"/>
  <c r="E161" i="16"/>
  <c r="H163" i="16"/>
  <c r="K165" i="16"/>
  <c r="H167" i="16"/>
  <c r="K169" i="16"/>
  <c r="H171" i="16"/>
  <c r="K173" i="16"/>
  <c r="C176" i="16"/>
  <c r="K177" i="16"/>
  <c r="C180" i="16"/>
  <c r="K181" i="16"/>
  <c r="C184" i="16"/>
  <c r="K185" i="16"/>
  <c r="I187" i="16"/>
  <c r="E189" i="16"/>
  <c r="K190" i="16"/>
  <c r="K192" i="16"/>
  <c r="G194" i="16"/>
  <c r="C196" i="16"/>
  <c r="B198" i="16"/>
  <c r="H199" i="16"/>
  <c r="D201" i="16"/>
  <c r="B203" i="16"/>
  <c r="H204" i="16"/>
  <c r="D206" i="16"/>
  <c r="E208" i="16"/>
  <c r="K209" i="16"/>
  <c r="G211" i="16"/>
  <c r="E213" i="16"/>
  <c r="K214" i="16"/>
  <c r="G216" i="16"/>
  <c r="J217" i="16"/>
  <c r="H218" i="16"/>
  <c r="F219" i="16"/>
  <c r="D220" i="16"/>
  <c r="B221" i="16"/>
  <c r="J221" i="16"/>
  <c r="H222" i="16"/>
  <c r="F223" i="16"/>
  <c r="D224" i="16"/>
  <c r="B225" i="16"/>
  <c r="J225" i="16"/>
  <c r="H226" i="16"/>
  <c r="F227" i="16"/>
  <c r="D228" i="16"/>
  <c r="B229" i="16"/>
  <c r="J229" i="16"/>
  <c r="H230" i="16"/>
  <c r="F231" i="16"/>
  <c r="D232" i="16"/>
  <c r="B233" i="16"/>
  <c r="J233" i="16"/>
  <c r="H234" i="16"/>
  <c r="F235" i="16"/>
  <c r="D236" i="16"/>
  <c r="B237" i="16"/>
  <c r="J237" i="16"/>
  <c r="H238" i="16"/>
  <c r="F239" i="16"/>
  <c r="D14" i="16"/>
  <c r="J36" i="16"/>
  <c r="G53" i="16"/>
  <c r="F73" i="16"/>
  <c r="F88" i="16"/>
  <c r="J98" i="16"/>
  <c r="J107" i="16"/>
  <c r="G114" i="16"/>
  <c r="K122" i="16"/>
  <c r="J126" i="16"/>
  <c r="D129" i="16"/>
  <c r="G131" i="16"/>
  <c r="D133" i="16"/>
  <c r="G135" i="16"/>
  <c r="I137" i="16"/>
  <c r="G139" i="16"/>
  <c r="I141" i="16"/>
  <c r="G143" i="16"/>
  <c r="I145" i="16"/>
  <c r="J147" i="16"/>
  <c r="I149" i="16"/>
  <c r="J151" i="16"/>
  <c r="I153" i="16"/>
  <c r="J155" i="16"/>
  <c r="C158" i="16"/>
  <c r="J159" i="16"/>
  <c r="C162" i="16"/>
  <c r="J163" i="16"/>
  <c r="C166" i="16"/>
  <c r="F168" i="16"/>
  <c r="C170" i="16"/>
  <c r="F172" i="16"/>
  <c r="C174" i="16"/>
  <c r="F176" i="16"/>
  <c r="I178" i="16"/>
  <c r="F180" i="16"/>
  <c r="I182" i="16"/>
  <c r="F184" i="16"/>
  <c r="G186" i="16"/>
  <c r="C188" i="16"/>
  <c r="I189" i="16"/>
  <c r="H191" i="16"/>
  <c r="D193" i="16"/>
  <c r="J194" i="16"/>
  <c r="H196" i="16"/>
  <c r="D198" i="16"/>
  <c r="J199" i="16"/>
  <c r="K201" i="16"/>
  <c r="G203" i="16"/>
  <c r="C205" i="16"/>
  <c r="K206" i="16"/>
  <c r="G208" i="16"/>
  <c r="C210" i="16"/>
  <c r="C212" i="16"/>
  <c r="I213" i="16"/>
  <c r="E215" i="16"/>
  <c r="D217" i="16"/>
  <c r="B218" i="16"/>
  <c r="J218" i="16"/>
  <c r="H219" i="16"/>
  <c r="F220" i="16"/>
  <c r="D221" i="16"/>
  <c r="B222" i="16"/>
  <c r="J222" i="16"/>
  <c r="H223" i="16"/>
  <c r="F224" i="16"/>
  <c r="D225" i="16"/>
  <c r="B226" i="16"/>
  <c r="J226" i="16"/>
  <c r="H227" i="16"/>
  <c r="F228" i="16"/>
  <c r="D229" i="16"/>
  <c r="B230" i="16"/>
  <c r="J230" i="16"/>
  <c r="H231" i="16"/>
  <c r="F232" i="16"/>
  <c r="D233" i="16"/>
  <c r="B234" i="16"/>
  <c r="J234" i="16"/>
  <c r="H235" i="16"/>
  <c r="F236" i="16"/>
  <c r="D237" i="16"/>
  <c r="B238" i="16"/>
  <c r="J238" i="16"/>
  <c r="H239" i="16"/>
  <c r="I20" i="16"/>
  <c r="C40" i="16"/>
  <c r="K61" i="16"/>
  <c r="J75" i="16"/>
  <c r="C90" i="16"/>
  <c r="I101" i="16"/>
  <c r="D109" i="16"/>
  <c r="C118" i="16"/>
  <c r="G123" i="16"/>
  <c r="G127" i="16"/>
  <c r="B130" i="16"/>
  <c r="I131" i="16"/>
  <c r="B134" i="16"/>
  <c r="I135" i="16"/>
  <c r="B138" i="16"/>
  <c r="E140" i="16"/>
  <c r="B142" i="16"/>
  <c r="E144" i="16"/>
  <c r="B146" i="16"/>
  <c r="E148" i="16"/>
  <c r="G150" i="16"/>
  <c r="E152" i="16"/>
  <c r="G154" i="16"/>
  <c r="E156" i="16"/>
  <c r="G158" i="16"/>
  <c r="H160" i="16"/>
  <c r="G162" i="16"/>
  <c r="H164" i="16"/>
  <c r="G166" i="16"/>
  <c r="H168" i="16"/>
  <c r="K170" i="16"/>
  <c r="H172" i="16"/>
  <c r="K174" i="16"/>
  <c r="H176" i="16"/>
  <c r="K178" i="16"/>
  <c r="D181" i="16"/>
  <c r="K182" i="16"/>
  <c r="D185" i="16"/>
  <c r="J186" i="16"/>
  <c r="F188" i="16"/>
  <c r="D190" i="16"/>
  <c r="J191" i="16"/>
  <c r="F193" i="16"/>
  <c r="G195" i="16"/>
  <c r="C197" i="16"/>
  <c r="I198" i="16"/>
  <c r="G200" i="16"/>
  <c r="C202" i="16"/>
  <c r="I203" i="16"/>
  <c r="I205" i="16"/>
  <c r="E207" i="16"/>
  <c r="K208" i="16"/>
  <c r="J210" i="16"/>
  <c r="F212" i="16"/>
  <c r="B214" i="16"/>
  <c r="J215" i="16"/>
  <c r="F217" i="16"/>
  <c r="D218" i="16"/>
  <c r="B219" i="16"/>
  <c r="J219" i="16"/>
  <c r="H220" i="16"/>
  <c r="F221" i="16"/>
  <c r="D222" i="16"/>
  <c r="B223" i="16"/>
  <c r="J223" i="16"/>
  <c r="H224" i="16"/>
  <c r="F225" i="16"/>
  <c r="D226" i="16"/>
  <c r="B227" i="16"/>
  <c r="J227" i="16"/>
  <c r="H228" i="16"/>
  <c r="F229" i="16"/>
  <c r="D230" i="16"/>
  <c r="B231" i="16"/>
  <c r="J231" i="16"/>
  <c r="H232" i="16"/>
  <c r="F233" i="16"/>
  <c r="D234" i="16"/>
  <c r="B235" i="16"/>
  <c r="J235" i="16"/>
  <c r="H236" i="16"/>
  <c r="F237" i="16"/>
  <c r="D238" i="16"/>
  <c r="B239" i="16"/>
  <c r="J239" i="16"/>
  <c r="H240" i="16"/>
  <c r="F241" i="16"/>
  <c r="D242" i="16"/>
  <c r="B243" i="16"/>
  <c r="J243" i="16"/>
  <c r="H244" i="16"/>
  <c r="F245" i="16"/>
  <c r="D246" i="16"/>
  <c r="B247" i="16"/>
  <c r="J247" i="16"/>
  <c r="H248" i="16"/>
  <c r="F249" i="16"/>
  <c r="D250" i="16"/>
  <c r="B251" i="16"/>
  <c r="J251" i="16"/>
  <c r="H252" i="16"/>
  <c r="F253" i="16"/>
  <c r="D254" i="16"/>
  <c r="B255" i="16"/>
  <c r="J255" i="16"/>
  <c r="H256" i="16"/>
  <c r="F257" i="16"/>
  <c r="D258" i="16"/>
  <c r="B259" i="16"/>
  <c r="J259" i="16"/>
  <c r="H260" i="16"/>
  <c r="F261" i="16"/>
  <c r="D262" i="16"/>
  <c r="B263" i="16"/>
  <c r="J263" i="16"/>
  <c r="H264" i="16"/>
  <c r="F265" i="16"/>
  <c r="D266" i="16"/>
  <c r="B267" i="16"/>
  <c r="J267" i="16"/>
  <c r="H268" i="16"/>
  <c r="F269" i="16"/>
  <c r="D270" i="16"/>
  <c r="B271" i="16"/>
  <c r="J271" i="16"/>
  <c r="H272" i="16"/>
  <c r="F273" i="16"/>
  <c r="D274" i="16"/>
  <c r="B275" i="16"/>
  <c r="J275" i="16"/>
  <c r="H276" i="16"/>
  <c r="F277" i="16"/>
  <c r="D278" i="16"/>
  <c r="B279" i="16"/>
  <c r="J279" i="16"/>
  <c r="H280" i="16"/>
  <c r="F281" i="16"/>
  <c r="D282" i="16"/>
  <c r="B283" i="16"/>
  <c r="J283" i="16"/>
  <c r="H284" i="16"/>
  <c r="F285" i="16"/>
  <c r="D286" i="16"/>
  <c r="B287" i="16"/>
  <c r="J287" i="16"/>
  <c r="H288" i="16"/>
  <c r="F289" i="16"/>
  <c r="D290" i="16"/>
  <c r="B291" i="16"/>
  <c r="J291" i="16"/>
  <c r="H292" i="16"/>
  <c r="F293" i="16"/>
  <c r="D294" i="16"/>
  <c r="B295" i="16"/>
  <c r="B24" i="16"/>
  <c r="I40" i="16"/>
  <c r="B62" i="16"/>
  <c r="J79" i="16"/>
  <c r="C92" i="16"/>
  <c r="J102" i="16"/>
  <c r="E109" i="16"/>
  <c r="D118" i="16"/>
  <c r="K124" i="16"/>
  <c r="H127" i="16"/>
  <c r="C130" i="16"/>
  <c r="J131" i="16"/>
  <c r="C134" i="16"/>
  <c r="F136" i="16"/>
  <c r="C138" i="16"/>
  <c r="F140" i="16"/>
  <c r="C142" i="16"/>
  <c r="F144" i="16"/>
  <c r="I146" i="16"/>
  <c r="F148" i="16"/>
  <c r="I150" i="16"/>
  <c r="F152" i="16"/>
  <c r="I154" i="16"/>
  <c r="K156" i="16"/>
  <c r="I158" i="16"/>
  <c r="K160" i="16"/>
  <c r="I162" i="16"/>
  <c r="K164" i="16"/>
  <c r="B167" i="16"/>
  <c r="K168" i="16"/>
  <c r="B171" i="16"/>
  <c r="K172" i="16"/>
  <c r="B175" i="16"/>
  <c r="E177" i="16"/>
  <c r="B179" i="16"/>
  <c r="E181" i="16"/>
  <c r="B183" i="16"/>
  <c r="E185" i="16"/>
  <c r="K186" i="16"/>
  <c r="K188" i="16"/>
  <c r="G190" i="16"/>
  <c r="C192" i="16"/>
  <c r="B194" i="16"/>
  <c r="H195" i="16"/>
  <c r="D197" i="16"/>
  <c r="B199" i="16"/>
  <c r="H200" i="16"/>
  <c r="D202" i="16"/>
  <c r="E204" i="16"/>
  <c r="K205" i="16"/>
  <c r="G207" i="16"/>
  <c r="E209" i="16"/>
  <c r="K210" i="16"/>
  <c r="G212" i="16"/>
  <c r="G214" i="16"/>
  <c r="C216" i="16"/>
  <c r="G217" i="16"/>
  <c r="E218" i="16"/>
  <c r="C219" i="16"/>
  <c r="K219" i="16"/>
  <c r="I220" i="16"/>
  <c r="G221" i="16"/>
  <c r="E222" i="16"/>
  <c r="C223" i="16"/>
  <c r="K223" i="16"/>
  <c r="I224" i="16"/>
  <c r="G225" i="16"/>
  <c r="E226" i="16"/>
  <c r="C227" i="16"/>
  <c r="K227" i="16"/>
  <c r="I228" i="16"/>
  <c r="G229" i="16"/>
  <c r="E230" i="16"/>
  <c r="C231" i="16"/>
  <c r="K231" i="16"/>
  <c r="I232" i="16"/>
  <c r="G233" i="16"/>
  <c r="E234" i="16"/>
  <c r="C235" i="16"/>
  <c r="K235" i="16"/>
  <c r="I236" i="16"/>
  <c r="G237" i="16"/>
  <c r="E238" i="16"/>
  <c r="C239" i="16"/>
  <c r="K239" i="16"/>
  <c r="I240" i="16"/>
  <c r="G241" i="16"/>
  <c r="E242" i="16"/>
  <c r="C243" i="16"/>
  <c r="K243" i="16"/>
  <c r="I244" i="16"/>
  <c r="G245" i="16"/>
  <c r="E246" i="16"/>
  <c r="C247" i="16"/>
  <c r="K247" i="16"/>
  <c r="I248" i="16"/>
  <c r="G249" i="16"/>
  <c r="E250" i="16"/>
  <c r="C251" i="16"/>
  <c r="K251" i="16"/>
  <c r="I252" i="16"/>
  <c r="G253" i="16"/>
  <c r="E254" i="16"/>
  <c r="C255" i="16"/>
  <c r="K255" i="16"/>
  <c r="I256" i="16"/>
  <c r="G257" i="16"/>
  <c r="E258" i="16"/>
  <c r="C259" i="16"/>
  <c r="K259" i="16"/>
  <c r="I260" i="16"/>
  <c r="G261" i="16"/>
  <c r="E262" i="16"/>
  <c r="C263" i="16"/>
  <c r="K263" i="16"/>
  <c r="I264" i="16"/>
  <c r="G265" i="16"/>
  <c r="E266" i="16"/>
  <c r="C267" i="16"/>
  <c r="K267" i="16"/>
  <c r="I268" i="16"/>
  <c r="G269" i="16"/>
  <c r="E270" i="16"/>
  <c r="C271" i="16"/>
  <c r="K271" i="16"/>
  <c r="I272" i="16"/>
  <c r="G273" i="16"/>
  <c r="E274" i="16"/>
  <c r="C275" i="16"/>
  <c r="K275" i="16"/>
  <c r="I276" i="16"/>
  <c r="G277" i="16"/>
  <c r="E278" i="16"/>
  <c r="C279" i="16"/>
  <c r="K279" i="16"/>
  <c r="I280" i="16"/>
  <c r="G281" i="16"/>
  <c r="E282" i="16"/>
  <c r="C283" i="16"/>
  <c r="K283" i="16"/>
  <c r="I284" i="16"/>
  <c r="G285" i="16"/>
  <c r="E286" i="16"/>
  <c r="C287" i="16"/>
  <c r="K287" i="16"/>
  <c r="I288" i="16"/>
  <c r="G289" i="16"/>
  <c r="E290" i="16"/>
  <c r="C291" i="16"/>
  <c r="K291" i="16"/>
  <c r="I292" i="16"/>
  <c r="G293" i="16"/>
  <c r="E294" i="16"/>
  <c r="C295" i="16"/>
  <c r="F24" i="16"/>
  <c r="C47" i="16"/>
  <c r="J64" i="16"/>
  <c r="B82" i="16"/>
  <c r="D92" i="16"/>
  <c r="K102" i="16"/>
  <c r="J111" i="16"/>
  <c r="G119" i="16"/>
  <c r="C125" i="16"/>
  <c r="C128" i="16"/>
  <c r="D130" i="16"/>
  <c r="G132" i="16"/>
  <c r="D134" i="16"/>
  <c r="G136" i="16"/>
  <c r="D138" i="16"/>
  <c r="G140" i="16"/>
  <c r="J142" i="16"/>
  <c r="G144" i="16"/>
  <c r="J146" i="16"/>
  <c r="G148" i="16"/>
  <c r="J150" i="16"/>
  <c r="C153" i="16"/>
  <c r="J154" i="16"/>
  <c r="C157" i="16"/>
  <c r="J158" i="16"/>
  <c r="C161" i="16"/>
  <c r="E163" i="16"/>
  <c r="C165" i="16"/>
  <c r="E167" i="16"/>
  <c r="C169" i="16"/>
  <c r="E171" i="16"/>
  <c r="F173" i="16"/>
  <c r="E175" i="16"/>
  <c r="F177" i="16"/>
  <c r="E179" i="16"/>
  <c r="F181" i="16"/>
  <c r="I183" i="16"/>
  <c r="F185" i="16"/>
  <c r="B187" i="16"/>
  <c r="C189" i="16"/>
  <c r="I190" i="16"/>
  <c r="E192" i="16"/>
  <c r="C194" i="16"/>
  <c r="I195" i="16"/>
  <c r="E197" i="16"/>
  <c r="E199" i="16"/>
  <c r="K200" i="16"/>
  <c r="G202" i="16"/>
  <c r="F204" i="16"/>
  <c r="B206" i="16"/>
  <c r="H207" i="16"/>
  <c r="F209" i="16"/>
  <c r="B211" i="16"/>
  <c r="H212" i="16"/>
  <c r="I214" i="16"/>
  <c r="E216" i="16"/>
  <c r="H217" i="16"/>
  <c r="F218" i="16"/>
  <c r="D219" i="16"/>
  <c r="B220" i="16"/>
  <c r="J220" i="16"/>
  <c r="H221" i="16"/>
  <c r="F222" i="16"/>
  <c r="D223" i="16"/>
  <c r="B224" i="16"/>
  <c r="J224" i="16"/>
  <c r="H225" i="16"/>
  <c r="F226" i="16"/>
  <c r="D227" i="16"/>
  <c r="B228" i="16"/>
  <c r="J228" i="16"/>
  <c r="H229" i="16"/>
  <c r="F230" i="16"/>
  <c r="D231" i="16"/>
  <c r="B232" i="16"/>
  <c r="J232" i="16"/>
  <c r="H233" i="16"/>
  <c r="F234" i="16"/>
  <c r="D235" i="16"/>
  <c r="B236" i="16"/>
  <c r="J236" i="16"/>
  <c r="H237" i="16"/>
  <c r="F238" i="16"/>
  <c r="D239" i="16"/>
  <c r="B240" i="16"/>
  <c r="J240" i="16"/>
  <c r="H241" i="16"/>
  <c r="F242" i="16"/>
  <c r="D243" i="16"/>
  <c r="B244" i="16"/>
  <c r="J244" i="16"/>
  <c r="H245" i="16"/>
  <c r="F246" i="16"/>
  <c r="D247" i="16"/>
  <c r="B248" i="16"/>
  <c r="J248" i="16"/>
  <c r="H249" i="16"/>
  <c r="F250" i="16"/>
  <c r="D251" i="16"/>
  <c r="B252" i="16"/>
  <c r="J252" i="16"/>
  <c r="H253" i="16"/>
  <c r="F254" i="16"/>
  <c r="D255" i="16"/>
  <c r="B256" i="16"/>
  <c r="J256" i="16"/>
  <c r="H257" i="16"/>
  <c r="F258" i="16"/>
  <c r="D259" i="16"/>
  <c r="B260" i="16"/>
  <c r="J260" i="16"/>
  <c r="H261" i="16"/>
  <c r="F262" i="16"/>
  <c r="D263" i="16"/>
  <c r="B264" i="16"/>
  <c r="J264" i="16"/>
  <c r="H265" i="16"/>
  <c r="F266" i="16"/>
  <c r="D267" i="16"/>
  <c r="B268" i="16"/>
  <c r="J268" i="16"/>
  <c r="H269" i="16"/>
  <c r="F270" i="16"/>
  <c r="D271" i="16"/>
  <c r="B272" i="16"/>
  <c r="J272" i="16"/>
  <c r="H273" i="16"/>
  <c r="F274" i="16"/>
  <c r="D275" i="16"/>
  <c r="B276" i="16"/>
  <c r="J276" i="16"/>
  <c r="H277" i="16"/>
  <c r="F278" i="16"/>
  <c r="D279" i="16"/>
  <c r="B280" i="16"/>
  <c r="J280" i="16"/>
  <c r="H281" i="16"/>
  <c r="F282" i="16"/>
  <c r="D283" i="16"/>
  <c r="B284" i="16"/>
  <c r="J284" i="16"/>
  <c r="H285" i="16"/>
  <c r="F286" i="16"/>
  <c r="D287" i="16"/>
  <c r="B288" i="16"/>
  <c r="J288" i="16"/>
  <c r="H289" i="16"/>
  <c r="F290" i="16"/>
  <c r="D291" i="16"/>
  <c r="B292" i="16"/>
  <c r="J292" i="16"/>
  <c r="H293" i="16"/>
  <c r="F294" i="16"/>
  <c r="D295" i="16"/>
  <c r="D37" i="16"/>
  <c r="D84" i="16"/>
  <c r="C113" i="16"/>
  <c r="E127" i="16"/>
  <c r="C133" i="16"/>
  <c r="K138" i="16"/>
  <c r="C144" i="16"/>
  <c r="F149" i="16"/>
  <c r="K154" i="16"/>
  <c r="C160" i="16"/>
  <c r="B166" i="16"/>
  <c r="G171" i="16"/>
  <c r="G176" i="16"/>
  <c r="G182" i="16"/>
  <c r="H187" i="16"/>
  <c r="I191" i="16"/>
  <c r="G196" i="16"/>
  <c r="C201" i="16"/>
  <c r="F205" i="16"/>
  <c r="B210" i="16"/>
  <c r="J214" i="16"/>
  <c r="C218" i="16"/>
  <c r="E220" i="16"/>
  <c r="G222" i="16"/>
  <c r="G224" i="16"/>
  <c r="I226" i="16"/>
  <c r="K228" i="16"/>
  <c r="K230" i="16"/>
  <c r="C233" i="16"/>
  <c r="E235" i="16"/>
  <c r="E237" i="16"/>
  <c r="G239" i="16"/>
  <c r="B241" i="16"/>
  <c r="C242" i="16"/>
  <c r="G243" i="16"/>
  <c r="K244" i="16"/>
  <c r="B246" i="16"/>
  <c r="F247" i="16"/>
  <c r="G248" i="16"/>
  <c r="K249" i="16"/>
  <c r="E251" i="16"/>
  <c r="F252" i="16"/>
  <c r="J253" i="16"/>
  <c r="K254" i="16"/>
  <c r="E256" i="16"/>
  <c r="I257" i="16"/>
  <c r="J258" i="16"/>
  <c r="D260" i="16"/>
  <c r="E261" i="16"/>
  <c r="I262" i="16"/>
  <c r="C264" i="16"/>
  <c r="D265" i="16"/>
  <c r="H266" i="16"/>
  <c r="I267" i="16"/>
  <c r="C269" i="16"/>
  <c r="G270" i="16"/>
  <c r="H271" i="16"/>
  <c r="B273" i="16"/>
  <c r="C274" i="16"/>
  <c r="G275" i="16"/>
  <c r="K276" i="16"/>
  <c r="B278" i="16"/>
  <c r="F279" i="16"/>
  <c r="G280" i="16"/>
  <c r="K281" i="16"/>
  <c r="E283" i="16"/>
  <c r="F284" i="16"/>
  <c r="J285" i="16"/>
  <c r="K286" i="16"/>
  <c r="E288" i="16"/>
  <c r="I289" i="16"/>
  <c r="J290" i="16"/>
  <c r="D292" i="16"/>
  <c r="E293" i="16"/>
  <c r="I294" i="16"/>
  <c r="J295" i="16"/>
  <c r="H296" i="16"/>
  <c r="F297" i="16"/>
  <c r="D298" i="16"/>
  <c r="B299" i="16"/>
  <c r="J299" i="16"/>
  <c r="H300" i="16"/>
  <c r="F301" i="16"/>
  <c r="D302" i="16"/>
  <c r="B303" i="16"/>
  <c r="J303" i="16"/>
  <c r="H304" i="16"/>
  <c r="F305" i="16"/>
  <c r="D306" i="16"/>
  <c r="B307" i="16"/>
  <c r="J307" i="16"/>
  <c r="H308" i="16"/>
  <c r="F309" i="16"/>
  <c r="D310" i="16"/>
  <c r="B311" i="16"/>
  <c r="J311" i="16"/>
  <c r="H312" i="16"/>
  <c r="F313" i="16"/>
  <c r="D314" i="16"/>
  <c r="B315" i="16"/>
  <c r="J315" i="16"/>
  <c r="H316" i="16"/>
  <c r="F317" i="16"/>
  <c r="D318" i="16"/>
  <c r="B319" i="16"/>
  <c r="J319" i="16"/>
  <c r="H320" i="16"/>
  <c r="F321" i="16"/>
  <c r="D322" i="16"/>
  <c r="B323" i="16"/>
  <c r="J323" i="16"/>
  <c r="H324" i="16"/>
  <c r="F325" i="16"/>
  <c r="D326" i="16"/>
  <c r="B327" i="16"/>
  <c r="J327" i="16"/>
  <c r="H328" i="16"/>
  <c r="F329" i="16"/>
  <c r="D330" i="16"/>
  <c r="B331" i="16"/>
  <c r="J331" i="16"/>
  <c r="H332" i="16"/>
  <c r="F333" i="16"/>
  <c r="D334" i="16"/>
  <c r="B335" i="16"/>
  <c r="J335" i="16"/>
  <c r="H336" i="16"/>
  <c r="F337" i="16"/>
  <c r="D338" i="16"/>
  <c r="B339" i="16"/>
  <c r="J339" i="16"/>
  <c r="H340" i="16"/>
  <c r="F341" i="16"/>
  <c r="D342" i="16"/>
  <c r="B343" i="16"/>
  <c r="J343" i="16"/>
  <c r="H344" i="16"/>
  <c r="F345" i="16"/>
  <c r="D346" i="16"/>
  <c r="B347" i="16"/>
  <c r="J347" i="16"/>
  <c r="H348" i="16"/>
  <c r="F349" i="16"/>
  <c r="D350" i="16"/>
  <c r="B351" i="16"/>
  <c r="J351" i="16"/>
  <c r="H352" i="16"/>
  <c r="F353" i="16"/>
  <c r="D354" i="16"/>
  <c r="B355" i="16"/>
  <c r="J355" i="16"/>
  <c r="H356" i="16"/>
  <c r="F357" i="16"/>
  <c r="D358" i="16"/>
  <c r="B359" i="16"/>
  <c r="J359" i="16"/>
  <c r="H360" i="16"/>
  <c r="F361" i="16"/>
  <c r="D362" i="16"/>
  <c r="B363" i="16"/>
  <c r="J363" i="16"/>
  <c r="H364" i="16"/>
  <c r="F365" i="16"/>
  <c r="D366" i="16"/>
  <c r="B367" i="16"/>
  <c r="J367" i="16"/>
  <c r="H368" i="16"/>
  <c r="F369" i="16"/>
  <c r="D370" i="16"/>
  <c r="B371" i="16"/>
  <c r="D50" i="16"/>
  <c r="B90" i="16"/>
  <c r="D114" i="16"/>
  <c r="H128" i="16"/>
  <c r="K133" i="16"/>
  <c r="E139" i="16"/>
  <c r="H144" i="16"/>
  <c r="K149" i="16"/>
  <c r="I155" i="16"/>
  <c r="D161" i="16"/>
  <c r="D166" i="16"/>
  <c r="E172" i="16"/>
  <c r="I177" i="16"/>
  <c r="J182" i="16"/>
  <c r="J187" i="16"/>
  <c r="H192" i="16"/>
  <c r="K196" i="16"/>
  <c r="I201" i="16"/>
  <c r="C206" i="16"/>
  <c r="I210" i="16"/>
  <c r="B215" i="16"/>
  <c r="G218" i="16"/>
  <c r="G220" i="16"/>
  <c r="I222" i="16"/>
  <c r="K224" i="16"/>
  <c r="K226" i="16"/>
  <c r="C229" i="16"/>
  <c r="E231" i="16"/>
  <c r="E233" i="16"/>
  <c r="G235" i="16"/>
  <c r="I237" i="16"/>
  <c r="I239" i="16"/>
  <c r="C241" i="16"/>
  <c r="G242" i="16"/>
  <c r="H243" i="16"/>
  <c r="B245" i="16"/>
  <c r="C246" i="16"/>
  <c r="G247" i="16"/>
  <c r="K248" i="16"/>
  <c r="B250" i="16"/>
  <c r="F251" i="16"/>
  <c r="G252" i="16"/>
  <c r="K253" i="16"/>
  <c r="E255" i="16"/>
  <c r="F256" i="16"/>
  <c r="J257" i="16"/>
  <c r="K258" i="16"/>
  <c r="E260" i="16"/>
  <c r="I261" i="16"/>
  <c r="J262" i="16"/>
  <c r="D264" i="16"/>
  <c r="E265" i="16"/>
  <c r="I266" i="16"/>
  <c r="C268" i="16"/>
  <c r="D269" i="16"/>
  <c r="H270" i="16"/>
  <c r="I271" i="16"/>
  <c r="C273" i="16"/>
  <c r="G274" i="16"/>
  <c r="H275" i="16"/>
  <c r="B277" i="16"/>
  <c r="C278" i="16"/>
  <c r="G279" i="16"/>
  <c r="K280" i="16"/>
  <c r="B282" i="16"/>
  <c r="F283" i="16"/>
  <c r="G284" i="16"/>
  <c r="K285" i="16"/>
  <c r="E287" i="16"/>
  <c r="F288" i="16"/>
  <c r="J289" i="16"/>
  <c r="K290" i="16"/>
  <c r="E292" i="16"/>
  <c r="I293" i="16"/>
  <c r="J294" i="16"/>
  <c r="K295" i="16"/>
  <c r="I296" i="16"/>
  <c r="G297" i="16"/>
  <c r="E298" i="16"/>
  <c r="C299" i="16"/>
  <c r="K299" i="16"/>
  <c r="I300" i="16"/>
  <c r="G301" i="16"/>
  <c r="E302" i="16"/>
  <c r="C303" i="16"/>
  <c r="K303" i="16"/>
  <c r="I304" i="16"/>
  <c r="G305" i="16"/>
  <c r="E306" i="16"/>
  <c r="C307" i="16"/>
  <c r="K307" i="16"/>
  <c r="I308" i="16"/>
  <c r="G309" i="16"/>
  <c r="E310" i="16"/>
  <c r="C311" i="16"/>
  <c r="K311" i="16"/>
  <c r="I312" i="16"/>
  <c r="G313" i="16"/>
  <c r="E314" i="16"/>
  <c r="C315" i="16"/>
  <c r="K315" i="16"/>
  <c r="I316" i="16"/>
  <c r="G317" i="16"/>
  <c r="E318" i="16"/>
  <c r="C319" i="16"/>
  <c r="K319" i="16"/>
  <c r="I320" i="16"/>
  <c r="G321" i="16"/>
  <c r="E322" i="16"/>
  <c r="C323" i="16"/>
  <c r="K323" i="16"/>
  <c r="I324" i="16"/>
  <c r="G325" i="16"/>
  <c r="E326" i="16"/>
  <c r="C327" i="16"/>
  <c r="K327" i="16"/>
  <c r="I328" i="16"/>
  <c r="G329" i="16"/>
  <c r="E330" i="16"/>
  <c r="C331" i="16"/>
  <c r="K331" i="16"/>
  <c r="I332" i="16"/>
  <c r="G333" i="16"/>
  <c r="E334" i="16"/>
  <c r="C335" i="16"/>
  <c r="K335" i="16"/>
  <c r="I336" i="16"/>
  <c r="G337" i="16"/>
  <c r="E338" i="16"/>
  <c r="C339" i="16"/>
  <c r="K339" i="16"/>
  <c r="I340" i="16"/>
  <c r="G341" i="16"/>
  <c r="E342" i="16"/>
  <c r="C343" i="16"/>
  <c r="K343" i="16"/>
  <c r="I344" i="16"/>
  <c r="G345" i="16"/>
  <c r="E346" i="16"/>
  <c r="C347" i="16"/>
  <c r="K347" i="16"/>
  <c r="I348" i="16"/>
  <c r="G349" i="16"/>
  <c r="E350" i="16"/>
  <c r="C351" i="16"/>
  <c r="K351" i="16"/>
  <c r="I352" i="16"/>
  <c r="G353" i="16"/>
  <c r="E354" i="16"/>
  <c r="C355" i="16"/>
  <c r="K355" i="16"/>
  <c r="I356" i="16"/>
  <c r="G357" i="16"/>
  <c r="E358" i="16"/>
  <c r="C359" i="16"/>
  <c r="K359" i="16"/>
  <c r="I360" i="16"/>
  <c r="G361" i="16"/>
  <c r="E362" i="16"/>
  <c r="C363" i="16"/>
  <c r="K363" i="16"/>
  <c r="I364" i="16"/>
  <c r="G365" i="16"/>
  <c r="E366" i="16"/>
  <c r="C367" i="16"/>
  <c r="K367" i="16"/>
  <c r="I368" i="16"/>
  <c r="G369" i="16"/>
  <c r="E370" i="16"/>
  <c r="C371" i="16"/>
  <c r="K52" i="16"/>
  <c r="H95" i="16"/>
  <c r="C117" i="16"/>
  <c r="C129" i="16"/>
  <c r="G134" i="16"/>
  <c r="H139" i="16"/>
  <c r="F145" i="16"/>
  <c r="K150" i="16"/>
  <c r="C156" i="16"/>
  <c r="B162" i="16"/>
  <c r="G167" i="16"/>
  <c r="G172" i="16"/>
  <c r="B178" i="16"/>
  <c r="J183" i="16"/>
  <c r="E188" i="16"/>
  <c r="C193" i="16"/>
  <c r="K197" i="16"/>
  <c r="B202" i="16"/>
  <c r="J206" i="16"/>
  <c r="E211" i="16"/>
  <c r="I215" i="16"/>
  <c r="I218" i="16"/>
  <c r="K220" i="16"/>
  <c r="K222" i="16"/>
  <c r="C225" i="16"/>
  <c r="E227" i="16"/>
  <c r="E229" i="16"/>
  <c r="G231" i="16"/>
  <c r="I233" i="16"/>
  <c r="I235" i="16"/>
  <c r="K237" i="16"/>
  <c r="C240" i="16"/>
  <c r="D241" i="16"/>
  <c r="H242" i="16"/>
  <c r="I243" i="16"/>
  <c r="C245" i="16"/>
  <c r="G246" i="16"/>
  <c r="H247" i="16"/>
  <c r="B249" i="16"/>
  <c r="C250" i="16"/>
  <c r="G251" i="16"/>
  <c r="K252" i="16"/>
  <c r="B254" i="16"/>
  <c r="F255" i="16"/>
  <c r="G256" i="16"/>
  <c r="K257" i="16"/>
  <c r="E259" i="16"/>
  <c r="F260" i="16"/>
  <c r="J261" i="16"/>
  <c r="K262" i="16"/>
  <c r="E264" i="16"/>
  <c r="I265" i="16"/>
  <c r="J266" i="16"/>
  <c r="D268" i="16"/>
  <c r="E269" i="16"/>
  <c r="I270" i="16"/>
  <c r="C272" i="16"/>
  <c r="D273" i="16"/>
  <c r="H274" i="16"/>
  <c r="I275" i="16"/>
  <c r="C277" i="16"/>
  <c r="G278" i="16"/>
  <c r="H279" i="16"/>
  <c r="B281" i="16"/>
  <c r="C282" i="16"/>
  <c r="G283" i="16"/>
  <c r="K284" i="16"/>
  <c r="B286" i="16"/>
  <c r="F287" i="16"/>
  <c r="G288" i="16"/>
  <c r="K289" i="16"/>
  <c r="E291" i="16"/>
  <c r="F292" i="16"/>
  <c r="J293" i="16"/>
  <c r="K294" i="16"/>
  <c r="B296" i="16"/>
  <c r="J296" i="16"/>
  <c r="H297" i="16"/>
  <c r="F298" i="16"/>
  <c r="D299" i="16"/>
  <c r="B300" i="16"/>
  <c r="J300" i="16"/>
  <c r="H301" i="16"/>
  <c r="F302" i="16"/>
  <c r="D303" i="16"/>
  <c r="B304" i="16"/>
  <c r="J304" i="16"/>
  <c r="H305" i="16"/>
  <c r="F306" i="16"/>
  <c r="D307" i="16"/>
  <c r="B308" i="16"/>
  <c r="J308" i="16"/>
  <c r="H309" i="16"/>
  <c r="F310" i="16"/>
  <c r="D311" i="16"/>
  <c r="B312" i="16"/>
  <c r="J312" i="16"/>
  <c r="H313" i="16"/>
  <c r="F314" i="16"/>
  <c r="D315" i="16"/>
  <c r="B316" i="16"/>
  <c r="J316" i="16"/>
  <c r="H317" i="16"/>
  <c r="F318" i="16"/>
  <c r="D319" i="16"/>
  <c r="B320" i="16"/>
  <c r="J320" i="16"/>
  <c r="H321" i="16"/>
  <c r="F322" i="16"/>
  <c r="D323" i="16"/>
  <c r="B324" i="16"/>
  <c r="J324" i="16"/>
  <c r="H325" i="16"/>
  <c r="F326" i="16"/>
  <c r="D327" i="16"/>
  <c r="B328" i="16"/>
  <c r="J328" i="16"/>
  <c r="H329" i="16"/>
  <c r="F330" i="16"/>
  <c r="D331" i="16"/>
  <c r="B332" i="16"/>
  <c r="J332" i="16"/>
  <c r="H333" i="16"/>
  <c r="F334" i="16"/>
  <c r="D335" i="16"/>
  <c r="B336" i="16"/>
  <c r="J336" i="16"/>
  <c r="H337" i="16"/>
  <c r="F338" i="16"/>
  <c r="D339" i="16"/>
  <c r="B340" i="16"/>
  <c r="J340" i="16"/>
  <c r="H341" i="16"/>
  <c r="F342" i="16"/>
  <c r="D343" i="16"/>
  <c r="B344" i="16"/>
  <c r="J344" i="16"/>
  <c r="H345" i="16"/>
  <c r="F346" i="16"/>
  <c r="D347" i="16"/>
  <c r="B348" i="16"/>
  <c r="J348" i="16"/>
  <c r="H349" i="16"/>
  <c r="F350" i="16"/>
  <c r="D351" i="16"/>
  <c r="B352" i="16"/>
  <c r="J352" i="16"/>
  <c r="H353" i="16"/>
  <c r="F354" i="16"/>
  <c r="D355" i="16"/>
  <c r="B356" i="16"/>
  <c r="J356" i="16"/>
  <c r="H357" i="16"/>
  <c r="F358" i="16"/>
  <c r="D359" i="16"/>
  <c r="B360" i="16"/>
  <c r="J360" i="16"/>
  <c r="H361" i="16"/>
  <c r="F362" i="16"/>
  <c r="D363" i="16"/>
  <c r="B364" i="16"/>
  <c r="J364" i="16"/>
  <c r="H365" i="16"/>
  <c r="F366" i="16"/>
  <c r="D367" i="16"/>
  <c r="B368" i="16"/>
  <c r="J368" i="16"/>
  <c r="H369" i="16"/>
  <c r="F370" i="16"/>
  <c r="D371" i="16"/>
  <c r="B27" i="16"/>
  <c r="K98" i="16"/>
  <c r="K125" i="16"/>
  <c r="H136" i="16"/>
  <c r="K145" i="16"/>
  <c r="F153" i="16"/>
  <c r="G163" i="16"/>
  <c r="D170" i="16"/>
  <c r="E180" i="16"/>
  <c r="D189" i="16"/>
  <c r="E195" i="16"/>
  <c r="E203" i="16"/>
  <c r="I209" i="16"/>
  <c r="E217" i="16"/>
  <c r="C221" i="16"/>
  <c r="C224" i="16"/>
  <c r="I227" i="16"/>
  <c r="I230" i="16"/>
  <c r="G234" i="16"/>
  <c r="C238" i="16"/>
  <c r="G240" i="16"/>
  <c r="J242" i="16"/>
  <c r="G244" i="16"/>
  <c r="J246" i="16"/>
  <c r="C249" i="16"/>
  <c r="J250" i="16"/>
  <c r="C253" i="16"/>
  <c r="J254" i="16"/>
  <c r="C257" i="16"/>
  <c r="F259" i="16"/>
  <c r="C261" i="16"/>
  <c r="F263" i="16"/>
  <c r="C265" i="16"/>
  <c r="F267" i="16"/>
  <c r="I269" i="16"/>
  <c r="F271" i="16"/>
  <c r="I273" i="16"/>
  <c r="F275" i="16"/>
  <c r="I277" i="16"/>
  <c r="I279" i="16"/>
  <c r="I281" i="16"/>
  <c r="I283" i="16"/>
  <c r="I285" i="16"/>
  <c r="I287" i="16"/>
  <c r="B290" i="16"/>
  <c r="I291" i="16"/>
  <c r="B294" i="16"/>
  <c r="I295" i="16"/>
  <c r="C297" i="16"/>
  <c r="G298" i="16"/>
  <c r="H299" i="16"/>
  <c r="B301" i="16"/>
  <c r="C302" i="16"/>
  <c r="G303" i="16"/>
  <c r="K304" i="16"/>
  <c r="B306" i="16"/>
  <c r="F307" i="16"/>
  <c r="G308" i="16"/>
  <c r="K309" i="16"/>
  <c r="E311" i="16"/>
  <c r="F312" i="16"/>
  <c r="J313" i="16"/>
  <c r="K314" i="16"/>
  <c r="E316" i="16"/>
  <c r="I317" i="16"/>
  <c r="J318" i="16"/>
  <c r="D320" i="16"/>
  <c r="E321" i="16"/>
  <c r="I322" i="16"/>
  <c r="C324" i="16"/>
  <c r="D325" i="16"/>
  <c r="H326" i="16"/>
  <c r="I327" i="16"/>
  <c r="C329" i="16"/>
  <c r="G330" i="16"/>
  <c r="H331" i="16"/>
  <c r="B333" i="16"/>
  <c r="C334" i="16"/>
  <c r="G335" i="16"/>
  <c r="K336" i="16"/>
  <c r="B338" i="16"/>
  <c r="F339" i="16"/>
  <c r="G340" i="16"/>
  <c r="K341" i="16"/>
  <c r="E343" i="16"/>
  <c r="E34" i="16"/>
  <c r="C104" i="16"/>
  <c r="E129" i="16"/>
  <c r="C137" i="16"/>
  <c r="K146" i="16"/>
  <c r="D154" i="16"/>
  <c r="I163" i="16"/>
  <c r="I173" i="16"/>
  <c r="G180" i="16"/>
  <c r="F189" i="16"/>
  <c r="J195" i="16"/>
  <c r="H203" i="16"/>
  <c r="J211" i="16"/>
  <c r="I217" i="16"/>
  <c r="E221" i="16"/>
  <c r="E224" i="16"/>
  <c r="C228" i="16"/>
  <c r="I231" i="16"/>
  <c r="I234" i="16"/>
  <c r="G238" i="16"/>
  <c r="K240" i="16"/>
  <c r="K242" i="16"/>
  <c r="D245" i="16"/>
  <c r="K246" i="16"/>
  <c r="D249" i="16"/>
  <c r="K250" i="16"/>
  <c r="D253" i="16"/>
  <c r="G255" i="16"/>
  <c r="D257" i="16"/>
  <c r="G259" i="16"/>
  <c r="D261" i="16"/>
  <c r="G263" i="16"/>
  <c r="J265" i="16"/>
  <c r="G267" i="16"/>
  <c r="J269" i="16"/>
  <c r="G271" i="16"/>
  <c r="J273" i="16"/>
  <c r="C276" i="16"/>
  <c r="J277" i="16"/>
  <c r="C280" i="16"/>
  <c r="J281" i="16"/>
  <c r="C284" i="16"/>
  <c r="C286" i="16"/>
  <c r="C288" i="16"/>
  <c r="C290" i="16"/>
  <c r="C292" i="16"/>
  <c r="C294" i="16"/>
  <c r="C296" i="16"/>
  <c r="D297" i="16"/>
  <c r="H298" i="16"/>
  <c r="I299" i="16"/>
  <c r="C301" i="16"/>
  <c r="G302" i="16"/>
  <c r="H303" i="16"/>
  <c r="B305" i="16"/>
  <c r="C306" i="16"/>
  <c r="G307" i="16"/>
  <c r="K308" i="16"/>
  <c r="B310" i="16"/>
  <c r="F311" i="16"/>
  <c r="G312" i="16"/>
  <c r="K313" i="16"/>
  <c r="E315" i="16"/>
  <c r="F316" i="16"/>
  <c r="J317" i="16"/>
  <c r="K318" i="16"/>
  <c r="E320" i="16"/>
  <c r="I321" i="16"/>
  <c r="J322" i="16"/>
  <c r="D324" i="16"/>
  <c r="E325" i="16"/>
  <c r="I326" i="16"/>
  <c r="C328" i="16"/>
  <c r="D329" i="16"/>
  <c r="H330" i="16"/>
  <c r="I331" i="16"/>
  <c r="C333" i="16"/>
  <c r="G334" i="16"/>
  <c r="H335" i="16"/>
  <c r="B337" i="16"/>
  <c r="C338" i="16"/>
  <c r="G339" i="16"/>
  <c r="K340" i="16"/>
  <c r="B342" i="16"/>
  <c r="F343" i="16"/>
  <c r="H72" i="16"/>
  <c r="H119" i="16"/>
  <c r="H131" i="16"/>
  <c r="F141" i="16"/>
  <c r="D149" i="16"/>
  <c r="D158" i="16"/>
  <c r="I167" i="16"/>
  <c r="G175" i="16"/>
  <c r="C185" i="16"/>
  <c r="G191" i="16"/>
  <c r="G199" i="16"/>
  <c r="B207" i="16"/>
  <c r="F213" i="16"/>
  <c r="E219" i="16"/>
  <c r="C222" i="16"/>
  <c r="K225" i="16"/>
  <c r="I229" i="16"/>
  <c r="G232" i="16"/>
  <c r="E236" i="16"/>
  <c r="E239" i="16"/>
  <c r="J241" i="16"/>
  <c r="C244" i="16"/>
  <c r="J245" i="16"/>
  <c r="C248" i="16"/>
  <c r="J249" i="16"/>
  <c r="C252" i="16"/>
  <c r="C254" i="16"/>
  <c r="C256" i="16"/>
  <c r="C258" i="16"/>
  <c r="C260" i="16"/>
  <c r="C262" i="16"/>
  <c r="F264" i="16"/>
  <c r="C266" i="16"/>
  <c r="F268" i="16"/>
  <c r="C270" i="16"/>
  <c r="F272" i="16"/>
  <c r="I274" i="16"/>
  <c r="F276" i="16"/>
  <c r="I278" i="16"/>
  <c r="F280" i="16"/>
  <c r="I282" i="16"/>
  <c r="B285" i="16"/>
  <c r="I286" i="16"/>
  <c r="B289" i="16"/>
  <c r="I290" i="16"/>
  <c r="B293" i="16"/>
  <c r="E295" i="16"/>
  <c r="F296" i="16"/>
  <c r="J297" i="16"/>
  <c r="K298" i="16"/>
  <c r="E300" i="16"/>
  <c r="I301" i="16"/>
  <c r="J302" i="16"/>
  <c r="D304" i="16"/>
  <c r="E305" i="16"/>
  <c r="I306" i="16"/>
  <c r="C308" i="16"/>
  <c r="D309" i="16"/>
  <c r="H310" i="16"/>
  <c r="I311" i="16"/>
  <c r="C313" i="16"/>
  <c r="G314" i="16"/>
  <c r="H315" i="16"/>
  <c r="B317" i="16"/>
  <c r="C318" i="16"/>
  <c r="G319" i="16"/>
  <c r="K320" i="16"/>
  <c r="B322" i="16"/>
  <c r="F323" i="16"/>
  <c r="G324" i="16"/>
  <c r="K325" i="16"/>
  <c r="E327" i="16"/>
  <c r="F328" i="16"/>
  <c r="J329" i="16"/>
  <c r="K330" i="16"/>
  <c r="E332" i="16"/>
  <c r="I333" i="16"/>
  <c r="J334" i="16"/>
  <c r="D336" i="16"/>
  <c r="E337" i="16"/>
  <c r="I338" i="16"/>
  <c r="C340" i="16"/>
  <c r="D341" i="16"/>
  <c r="H342" i="16"/>
  <c r="I343" i="16"/>
  <c r="C345" i="16"/>
  <c r="G346" i="16"/>
  <c r="H347" i="16"/>
  <c r="B349" i="16"/>
  <c r="C350" i="16"/>
  <c r="G351" i="16"/>
  <c r="K352" i="16"/>
  <c r="B354" i="16"/>
  <c r="D11" i="16"/>
  <c r="C108" i="16"/>
  <c r="H135" i="16"/>
  <c r="I151" i="16"/>
  <c r="G164" i="16"/>
  <c r="J178" i="16"/>
  <c r="J190" i="16"/>
  <c r="K202" i="16"/>
  <c r="K213" i="16"/>
  <c r="I221" i="16"/>
  <c r="G226" i="16"/>
  <c r="E232" i="16"/>
  <c r="C237" i="16"/>
  <c r="K241" i="16"/>
  <c r="E245" i="16"/>
  <c r="E248" i="16"/>
  <c r="I251" i="16"/>
  <c r="I254" i="16"/>
  <c r="G258" i="16"/>
  <c r="K261" i="16"/>
  <c r="K264" i="16"/>
  <c r="E268" i="16"/>
  <c r="E271" i="16"/>
  <c r="J274" i="16"/>
  <c r="K277" i="16"/>
  <c r="D281" i="16"/>
  <c r="E284" i="16"/>
  <c r="H287" i="16"/>
  <c r="F291" i="16"/>
  <c r="G294" i="16"/>
  <c r="K296" i="16"/>
  <c r="J298" i="16"/>
  <c r="K300" i="16"/>
  <c r="K302" i="16"/>
  <c r="C305" i="16"/>
  <c r="K306" i="16"/>
  <c r="C309" i="16"/>
  <c r="K310" i="16"/>
  <c r="D313" i="16"/>
  <c r="F315" i="16"/>
  <c r="D317" i="16"/>
  <c r="F319" i="16"/>
  <c r="D321" i="16"/>
  <c r="G323" i="16"/>
  <c r="I325" i="16"/>
  <c r="G327" i="16"/>
  <c r="I329" i="16"/>
  <c r="G331" i="16"/>
  <c r="J333" i="16"/>
  <c r="I335" i="16"/>
  <c r="J337" i="16"/>
  <c r="I339" i="16"/>
  <c r="J341" i="16"/>
  <c r="C344" i="16"/>
  <c r="E345" i="16"/>
  <c r="J346" i="16"/>
  <c r="E348" i="16"/>
  <c r="J349" i="16"/>
  <c r="E351" i="16"/>
  <c r="G352" i="16"/>
  <c r="C354" i="16"/>
  <c r="G355" i="16"/>
  <c r="K356" i="16"/>
  <c r="B358" i="16"/>
  <c r="F359" i="16"/>
  <c r="G360" i="16"/>
  <c r="K361" i="16"/>
  <c r="E363" i="16"/>
  <c r="F364" i="16"/>
  <c r="J365" i="16"/>
  <c r="K366" i="16"/>
  <c r="E368" i="16"/>
  <c r="C65" i="16"/>
  <c r="D125" i="16"/>
  <c r="K141" i="16"/>
  <c r="D157" i="16"/>
  <c r="I169" i="16"/>
  <c r="E184" i="16"/>
  <c r="I194" i="16"/>
  <c r="C208" i="16"/>
  <c r="K217" i="16"/>
  <c r="G223" i="16"/>
  <c r="G228" i="16"/>
  <c r="C234" i="16"/>
  <c r="D240" i="16"/>
  <c r="E243" i="16"/>
  <c r="H246" i="16"/>
  <c r="I249" i="16"/>
  <c r="B253" i="16"/>
  <c r="D256" i="16"/>
  <c r="H259" i="16"/>
  <c r="H262" i="16"/>
  <c r="B266" i="16"/>
  <c r="B269" i="16"/>
  <c r="G272" i="16"/>
  <c r="D276" i="16"/>
  <c r="K278" i="16"/>
  <c r="H282" i="16"/>
  <c r="E285" i="16"/>
  <c r="C289" i="16"/>
  <c r="G292" i="16"/>
  <c r="G295" i="16"/>
  <c r="I297" i="16"/>
  <c r="G299" i="16"/>
  <c r="J301" i="16"/>
  <c r="I303" i="16"/>
  <c r="J305" i="16"/>
  <c r="I307" i="16"/>
  <c r="J309" i="16"/>
  <c r="C312" i="16"/>
  <c r="B314" i="16"/>
  <c r="C316" i="16"/>
  <c r="B318" i="16"/>
  <c r="C320" i="16"/>
  <c r="C322" i="16"/>
  <c r="E324" i="16"/>
  <c r="C326" i="16"/>
  <c r="E328" i="16"/>
  <c r="C330" i="16"/>
  <c r="F332" i="16"/>
  <c r="H334" i="16"/>
  <c r="F336" i="16"/>
  <c r="H338" i="16"/>
  <c r="F340" i="16"/>
  <c r="I342" i="16"/>
  <c r="F344" i="16"/>
  <c r="K345" i="16"/>
  <c r="F347" i="16"/>
  <c r="K348" i="16"/>
  <c r="G350" i="16"/>
  <c r="I351" i="16"/>
  <c r="D353" i="16"/>
  <c r="I354" i="16"/>
  <c r="C356" i="16"/>
  <c r="D357" i="16"/>
  <c r="H358" i="16"/>
  <c r="I359" i="16"/>
  <c r="C361" i="16"/>
  <c r="G362" i="16"/>
  <c r="H363" i="16"/>
  <c r="B365" i="16"/>
  <c r="C366" i="16"/>
  <c r="G367" i="16"/>
  <c r="K368" i="16"/>
  <c r="B370" i="16"/>
  <c r="F371" i="16"/>
  <c r="D372" i="16"/>
  <c r="B373" i="16"/>
  <c r="J373" i="16"/>
  <c r="H374" i="16"/>
  <c r="F375" i="16"/>
  <c r="D376" i="16"/>
  <c r="B377" i="16"/>
  <c r="J377" i="16"/>
  <c r="H378" i="16"/>
  <c r="F379" i="16"/>
  <c r="D380" i="16"/>
  <c r="B381" i="16"/>
  <c r="J381" i="16"/>
  <c r="H382" i="16"/>
  <c r="F383" i="16"/>
  <c r="D384" i="16"/>
  <c r="B385" i="16"/>
  <c r="J385" i="16"/>
  <c r="H386" i="16"/>
  <c r="F387" i="16"/>
  <c r="D388" i="16"/>
  <c r="B389" i="16"/>
  <c r="J389" i="16"/>
  <c r="H390" i="16"/>
  <c r="F391" i="16"/>
  <c r="D392" i="16"/>
  <c r="B393" i="16"/>
  <c r="J393" i="16"/>
  <c r="H394" i="16"/>
  <c r="F395" i="16"/>
  <c r="D396" i="16"/>
  <c r="B397" i="16"/>
  <c r="J397" i="16"/>
  <c r="H398" i="16"/>
  <c r="F399" i="16"/>
  <c r="D400" i="16"/>
  <c r="B401" i="16"/>
  <c r="J401" i="16"/>
  <c r="H402" i="16"/>
  <c r="F403" i="16"/>
  <c r="D404" i="16"/>
  <c r="B405" i="16"/>
  <c r="J405" i="16"/>
  <c r="H406" i="16"/>
  <c r="F407" i="16"/>
  <c r="D408" i="16"/>
  <c r="B409" i="16"/>
  <c r="J409" i="16"/>
  <c r="H410" i="16"/>
  <c r="F411" i="16"/>
  <c r="D412" i="16"/>
  <c r="B413" i="16"/>
  <c r="J413" i="16"/>
  <c r="H414" i="16"/>
  <c r="F415" i="16"/>
  <c r="D416" i="16"/>
  <c r="B417" i="16"/>
  <c r="J417" i="16"/>
  <c r="H418" i="16"/>
  <c r="F419" i="16"/>
  <c r="D420" i="16"/>
  <c r="B421" i="16"/>
  <c r="J421" i="16"/>
  <c r="H422" i="16"/>
  <c r="F423" i="16"/>
  <c r="D424" i="16"/>
  <c r="B425" i="16"/>
  <c r="J425" i="16"/>
  <c r="H426" i="16"/>
  <c r="F427" i="16"/>
  <c r="D428" i="16"/>
  <c r="B429" i="16"/>
  <c r="J429" i="16"/>
  <c r="H430" i="16"/>
  <c r="F431" i="16"/>
  <c r="D432" i="16"/>
  <c r="B433" i="16"/>
  <c r="J433" i="16"/>
  <c r="H434" i="16"/>
  <c r="F435" i="16"/>
  <c r="D436" i="16"/>
  <c r="B437" i="16"/>
  <c r="J437" i="16"/>
  <c r="H438" i="16"/>
  <c r="F439" i="16"/>
  <c r="D440" i="16"/>
  <c r="B441" i="16"/>
  <c r="J441" i="16"/>
  <c r="H442" i="16"/>
  <c r="F443" i="16"/>
  <c r="D444" i="16"/>
  <c r="B445" i="16"/>
  <c r="J445" i="16"/>
  <c r="H446" i="16"/>
  <c r="F447" i="16"/>
  <c r="D448" i="16"/>
  <c r="B449" i="16"/>
  <c r="H75" i="16"/>
  <c r="G130" i="16"/>
  <c r="K142" i="16"/>
  <c r="F157" i="16"/>
  <c r="B170" i="16"/>
  <c r="I185" i="16"/>
  <c r="C198" i="16"/>
  <c r="F208" i="16"/>
  <c r="K218" i="16"/>
  <c r="I223" i="16"/>
  <c r="K229" i="16"/>
  <c r="K234" i="16"/>
  <c r="E240" i="16"/>
  <c r="F243" i="16"/>
  <c r="I246" i="16"/>
  <c r="G250" i="16"/>
  <c r="E253" i="16"/>
  <c r="K256" i="16"/>
  <c r="I259" i="16"/>
  <c r="E263" i="16"/>
  <c r="G266" i="16"/>
  <c r="K269" i="16"/>
  <c r="K272" i="16"/>
  <c r="E276" i="16"/>
  <c r="E279" i="16"/>
  <c r="J282" i="16"/>
  <c r="G286" i="16"/>
  <c r="D289" i="16"/>
  <c r="K292" i="16"/>
  <c r="H295" i="16"/>
  <c r="K297" i="16"/>
  <c r="C300" i="16"/>
  <c r="K301" i="16"/>
  <c r="C304" i="16"/>
  <c r="K305" i="16"/>
  <c r="D308" i="16"/>
  <c r="C310" i="16"/>
  <c r="D312" i="16"/>
  <c r="C314" i="16"/>
  <c r="D316" i="16"/>
  <c r="G318" i="16"/>
  <c r="F320" i="16"/>
  <c r="G322" i="16"/>
  <c r="F324" i="16"/>
  <c r="G326" i="16"/>
  <c r="G328" i="16"/>
  <c r="I330" i="16"/>
  <c r="G332" i="16"/>
  <c r="I334" i="16"/>
  <c r="G336" i="16"/>
  <c r="J338" i="16"/>
  <c r="B341" i="16"/>
  <c r="J342" i="16"/>
  <c r="G344" i="16"/>
  <c r="B346" i="16"/>
  <c r="G347" i="16"/>
  <c r="C349" i="16"/>
  <c r="H350" i="16"/>
  <c r="C352" i="16"/>
  <c r="E353" i="16"/>
  <c r="J354" i="16"/>
  <c r="D356" i="16"/>
  <c r="E357" i="16"/>
  <c r="I358" i="16"/>
  <c r="C360" i="16"/>
  <c r="D361" i="16"/>
  <c r="H362" i="16"/>
  <c r="I363" i="16"/>
  <c r="C365" i="16"/>
  <c r="G366" i="16"/>
  <c r="H367" i="16"/>
  <c r="B369" i="16"/>
  <c r="C370" i="16"/>
  <c r="G371" i="16"/>
  <c r="E372" i="16"/>
  <c r="C373" i="16"/>
  <c r="K373" i="16"/>
  <c r="I374" i="16"/>
  <c r="G375" i="16"/>
  <c r="E376" i="16"/>
  <c r="C377" i="16"/>
  <c r="K377" i="16"/>
  <c r="I378" i="16"/>
  <c r="G379" i="16"/>
  <c r="E380" i="16"/>
  <c r="C381" i="16"/>
  <c r="K381" i="16"/>
  <c r="I382" i="16"/>
  <c r="G383" i="16"/>
  <c r="E384" i="16"/>
  <c r="C385" i="16"/>
  <c r="K385" i="16"/>
  <c r="I386" i="16"/>
  <c r="G387" i="16"/>
  <c r="E388" i="16"/>
  <c r="C389" i="16"/>
  <c r="K389" i="16"/>
  <c r="I390" i="16"/>
  <c r="G391" i="16"/>
  <c r="E392" i="16"/>
  <c r="C393" i="16"/>
  <c r="K393" i="16"/>
  <c r="I394" i="16"/>
  <c r="G395" i="16"/>
  <c r="E396" i="16"/>
  <c r="C397" i="16"/>
  <c r="K397" i="16"/>
  <c r="I398" i="16"/>
  <c r="G399" i="16"/>
  <c r="E400" i="16"/>
  <c r="C401" i="16"/>
  <c r="K401" i="16"/>
  <c r="I402" i="16"/>
  <c r="G403" i="16"/>
  <c r="E404" i="16"/>
  <c r="C405" i="16"/>
  <c r="K405" i="16"/>
  <c r="I406" i="16"/>
  <c r="G407" i="16"/>
  <c r="E408" i="16"/>
  <c r="C409" i="16"/>
  <c r="K409" i="16"/>
  <c r="I410" i="16"/>
  <c r="G411" i="16"/>
  <c r="E412" i="16"/>
  <c r="C413" i="16"/>
  <c r="K413" i="16"/>
  <c r="I414" i="16"/>
  <c r="G415" i="16"/>
  <c r="E416" i="16"/>
  <c r="C417" i="16"/>
  <c r="K417" i="16"/>
  <c r="I418" i="16"/>
  <c r="G419" i="16"/>
  <c r="E420" i="16"/>
  <c r="C421" i="16"/>
  <c r="K421" i="16"/>
  <c r="I422" i="16"/>
  <c r="G423" i="16"/>
  <c r="E424" i="16"/>
  <c r="C425" i="16"/>
  <c r="K425" i="16"/>
  <c r="I426" i="16"/>
  <c r="G427" i="16"/>
  <c r="E428" i="16"/>
  <c r="C429" i="16"/>
  <c r="K429" i="16"/>
  <c r="I430" i="16"/>
  <c r="G431" i="16"/>
  <c r="E432" i="16"/>
  <c r="C433" i="16"/>
  <c r="K433" i="16"/>
  <c r="I434" i="16"/>
  <c r="G435" i="16"/>
  <c r="E436" i="16"/>
  <c r="C437" i="16"/>
  <c r="K437" i="16"/>
  <c r="I438" i="16"/>
  <c r="G439" i="16"/>
  <c r="E440" i="16"/>
  <c r="C441" i="16"/>
  <c r="K441" i="16"/>
  <c r="I442" i="16"/>
  <c r="G443" i="16"/>
  <c r="E444" i="16"/>
  <c r="C445" i="16"/>
  <c r="K445" i="16"/>
  <c r="I446" i="16"/>
  <c r="G447" i="16"/>
  <c r="E448" i="16"/>
  <c r="C449" i="16"/>
  <c r="C82" i="16"/>
  <c r="E131" i="16"/>
  <c r="E143" i="16"/>
  <c r="G159" i="16"/>
  <c r="B174" i="16"/>
  <c r="D186" i="16"/>
  <c r="G198" i="16"/>
  <c r="H208" i="16"/>
  <c r="G219" i="16"/>
  <c r="E225" i="16"/>
  <c r="C230" i="16"/>
  <c r="C236" i="16"/>
  <c r="F240" i="16"/>
  <c r="D244" i="16"/>
  <c r="E247" i="16"/>
  <c r="H250" i="16"/>
  <c r="I253" i="16"/>
  <c r="B257" i="16"/>
  <c r="G260" i="16"/>
  <c r="H263" i="16"/>
  <c r="K266" i="16"/>
  <c r="B270" i="16"/>
  <c r="E273" i="16"/>
  <c r="G276" i="16"/>
  <c r="D280" i="16"/>
  <c r="K282" i="16"/>
  <c r="H286" i="16"/>
  <c r="E289" i="16"/>
  <c r="C293" i="16"/>
  <c r="D296" i="16"/>
  <c r="B298" i="16"/>
  <c r="D300" i="16"/>
  <c r="B302" i="16"/>
  <c r="E304" i="16"/>
  <c r="G306" i="16"/>
  <c r="E308" i="16"/>
  <c r="G310" i="16"/>
  <c r="E312" i="16"/>
  <c r="H314" i="16"/>
  <c r="G316" i="16"/>
  <c r="H318" i="16"/>
  <c r="G320" i="16"/>
  <c r="H322" i="16"/>
  <c r="K324" i="16"/>
  <c r="J326" i="16"/>
  <c r="K328" i="16"/>
  <c r="J330" i="16"/>
  <c r="K332" i="16"/>
  <c r="K334" i="16"/>
  <c r="C337" i="16"/>
  <c r="K338" i="16"/>
  <c r="C341" i="16"/>
  <c r="K342" i="16"/>
  <c r="K344" i="16"/>
  <c r="C346" i="16"/>
  <c r="I347" i="16"/>
  <c r="D349" i="16"/>
  <c r="I350" i="16"/>
  <c r="D352" i="16"/>
  <c r="I353" i="16"/>
  <c r="K354" i="16"/>
  <c r="E356" i="16"/>
  <c r="I357" i="16"/>
  <c r="J358" i="16"/>
  <c r="D360" i="16"/>
  <c r="E361" i="16"/>
  <c r="I362" i="16"/>
  <c r="C364" i="16"/>
  <c r="D365" i="16"/>
  <c r="H366" i="16"/>
  <c r="I367" i="16"/>
  <c r="F97" i="16"/>
  <c r="H132" i="16"/>
  <c r="E147" i="16"/>
  <c r="I159" i="16"/>
  <c r="J174" i="16"/>
  <c r="I186" i="16"/>
  <c r="I199" i="16"/>
  <c r="E212" i="16"/>
  <c r="I219" i="16"/>
  <c r="I225" i="16"/>
  <c r="G230" i="16"/>
  <c r="G236" i="16"/>
  <c r="E241" i="16"/>
  <c r="E244" i="16"/>
  <c r="I247" i="16"/>
  <c r="I250" i="16"/>
  <c r="G254" i="16"/>
  <c r="E257" i="16"/>
  <c r="K260" i="16"/>
  <c r="I263" i="16"/>
  <c r="E267" i="16"/>
  <c r="J270" i="16"/>
  <c r="K273" i="16"/>
  <c r="D277" i="16"/>
  <c r="E280" i="16"/>
  <c r="H283" i="16"/>
  <c r="J286" i="16"/>
  <c r="G290" i="16"/>
  <c r="D293" i="16"/>
  <c r="E296" i="16"/>
  <c r="C298" i="16"/>
  <c r="F300" i="16"/>
  <c r="H302" i="16"/>
  <c r="F304" i="16"/>
  <c r="H306" i="16"/>
  <c r="F308" i="16"/>
  <c r="I310" i="16"/>
  <c r="K312" i="16"/>
  <c r="I314" i="16"/>
  <c r="K316" i="16"/>
  <c r="I318" i="16"/>
  <c r="B321" i="16"/>
  <c r="K322" i="16"/>
  <c r="B325" i="16"/>
  <c r="K326" i="16"/>
  <c r="B329" i="16"/>
  <c r="E331" i="16"/>
  <c r="D333" i="16"/>
  <c r="E335" i="16"/>
  <c r="D337" i="16"/>
  <c r="E339" i="16"/>
  <c r="E341" i="16"/>
  <c r="G343" i="16"/>
  <c r="B345" i="16"/>
  <c r="H346" i="16"/>
  <c r="C348" i="16"/>
  <c r="E349" i="16"/>
  <c r="J350" i="16"/>
  <c r="E352" i="16"/>
  <c r="J353" i="16"/>
  <c r="E355" i="16"/>
  <c r="F356" i="16"/>
  <c r="J357" i="16"/>
  <c r="K358" i="16"/>
  <c r="E360" i="16"/>
  <c r="I361" i="16"/>
  <c r="J362" i="16"/>
  <c r="D364" i="16"/>
  <c r="E365" i="16"/>
  <c r="I366" i="16"/>
  <c r="C368" i="16"/>
  <c r="D369" i="16"/>
  <c r="H370" i="16"/>
  <c r="I371" i="16"/>
  <c r="G372" i="16"/>
  <c r="E373" i="16"/>
  <c r="C374" i="16"/>
  <c r="K374" i="16"/>
  <c r="I375" i="16"/>
  <c r="G376" i="16"/>
  <c r="E377" i="16"/>
  <c r="C378" i="16"/>
  <c r="K378" i="16"/>
  <c r="I379" i="16"/>
  <c r="G380" i="16"/>
  <c r="E381" i="16"/>
  <c r="C382" i="16"/>
  <c r="K382" i="16"/>
  <c r="I383" i="16"/>
  <c r="G384" i="16"/>
  <c r="E385" i="16"/>
  <c r="C386" i="16"/>
  <c r="K386" i="16"/>
  <c r="I387" i="16"/>
  <c r="G388" i="16"/>
  <c r="E389" i="16"/>
  <c r="C390" i="16"/>
  <c r="K390" i="16"/>
  <c r="I391" i="16"/>
  <c r="G392" i="16"/>
  <c r="E393" i="16"/>
  <c r="C394" i="16"/>
  <c r="K394" i="16"/>
  <c r="I395" i="16"/>
  <c r="G396" i="16"/>
  <c r="E397" i="16"/>
  <c r="C398" i="16"/>
  <c r="K398" i="16"/>
  <c r="I399" i="16"/>
  <c r="G400" i="16"/>
  <c r="E401" i="16"/>
  <c r="C402" i="16"/>
  <c r="K402" i="16"/>
  <c r="I403" i="16"/>
  <c r="G404" i="16"/>
  <c r="E405" i="16"/>
  <c r="C406" i="16"/>
  <c r="K406" i="16"/>
  <c r="I407" i="16"/>
  <c r="G408" i="16"/>
  <c r="E409" i="16"/>
  <c r="C410" i="16"/>
  <c r="K410" i="16"/>
  <c r="I411" i="16"/>
  <c r="G412" i="16"/>
  <c r="E413" i="16"/>
  <c r="C414" i="16"/>
  <c r="K414" i="16"/>
  <c r="I415" i="16"/>
  <c r="G416" i="16"/>
  <c r="E417" i="16"/>
  <c r="C418" i="16"/>
  <c r="K418" i="16"/>
  <c r="I419" i="16"/>
  <c r="G420" i="16"/>
  <c r="E421" i="16"/>
  <c r="C422" i="16"/>
  <c r="K422" i="16"/>
  <c r="I423" i="16"/>
  <c r="G424" i="16"/>
  <c r="E425" i="16"/>
  <c r="C426" i="16"/>
  <c r="K426" i="16"/>
  <c r="I427" i="16"/>
  <c r="G428" i="16"/>
  <c r="E429" i="16"/>
  <c r="C430" i="16"/>
  <c r="K430" i="16"/>
  <c r="I431" i="16"/>
  <c r="G432" i="16"/>
  <c r="E433" i="16"/>
  <c r="C434" i="16"/>
  <c r="K434" i="16"/>
  <c r="I435" i="16"/>
  <c r="G436" i="16"/>
  <c r="E437" i="16"/>
  <c r="C438" i="16"/>
  <c r="K438" i="16"/>
  <c r="I439" i="16"/>
  <c r="G440" i="16"/>
  <c r="E441" i="16"/>
  <c r="C442" i="16"/>
  <c r="K442" i="16"/>
  <c r="I443" i="16"/>
  <c r="G444" i="16"/>
  <c r="E445" i="16"/>
  <c r="C446" i="16"/>
  <c r="K446" i="16"/>
  <c r="I447" i="16"/>
  <c r="G448" i="16"/>
  <c r="E14" i="16"/>
  <c r="C148" i="16"/>
  <c r="I181" i="16"/>
  <c r="F216" i="16"/>
  <c r="C232" i="16"/>
  <c r="I242" i="16"/>
  <c r="D252" i="16"/>
  <c r="B261" i="16"/>
  <c r="K268" i="16"/>
  <c r="H278" i="16"/>
  <c r="G287" i="16"/>
  <c r="F295" i="16"/>
  <c r="D301" i="16"/>
  <c r="J306" i="16"/>
  <c r="H311" i="16"/>
  <c r="E317" i="16"/>
  <c r="E323" i="16"/>
  <c r="D328" i="16"/>
  <c r="K333" i="16"/>
  <c r="H339" i="16"/>
  <c r="E344" i="16"/>
  <c r="F348" i="16"/>
  <c r="F352" i="16"/>
  <c r="I355" i="16"/>
  <c r="G359" i="16"/>
  <c r="K362" i="16"/>
  <c r="B366" i="16"/>
  <c r="E369" i="16"/>
  <c r="E371" i="16"/>
  <c r="I372" i="16"/>
  <c r="B374" i="16"/>
  <c r="D375" i="16"/>
  <c r="H376" i="16"/>
  <c r="I377" i="16"/>
  <c r="C379" i="16"/>
  <c r="F380" i="16"/>
  <c r="H381" i="16"/>
  <c r="B383" i="16"/>
  <c r="C384" i="16"/>
  <c r="G385" i="16"/>
  <c r="J386" i="16"/>
  <c r="B388" i="16"/>
  <c r="F389" i="16"/>
  <c r="G390" i="16"/>
  <c r="K391" i="16"/>
  <c r="D393" i="16"/>
  <c r="F394" i="16"/>
  <c r="J395" i="16"/>
  <c r="K396" i="16"/>
  <c r="E398" i="16"/>
  <c r="H399" i="16"/>
  <c r="J400" i="16"/>
  <c r="D402" i="16"/>
  <c r="E403" i="16"/>
  <c r="I404" i="16"/>
  <c r="B406" i="16"/>
  <c r="D407" i="16"/>
  <c r="H408" i="16"/>
  <c r="I409" i="16"/>
  <c r="C411" i="16"/>
  <c r="F412" i="16"/>
  <c r="H413" i="16"/>
  <c r="B415" i="16"/>
  <c r="C416" i="16"/>
  <c r="G417" i="16"/>
  <c r="J418" i="16"/>
  <c r="B420" i="16"/>
  <c r="F421" i="16"/>
  <c r="G422" i="16"/>
  <c r="K423" i="16"/>
  <c r="D425" i="16"/>
  <c r="F426" i="16"/>
  <c r="J427" i="16"/>
  <c r="K428" i="16"/>
  <c r="E430" i="16"/>
  <c r="H431" i="16"/>
  <c r="J432" i="16"/>
  <c r="D434" i="16"/>
  <c r="E435" i="16"/>
  <c r="I436" i="16"/>
  <c r="B438" i="16"/>
  <c r="D439" i="16"/>
  <c r="H440" i="16"/>
  <c r="I441" i="16"/>
  <c r="C443" i="16"/>
  <c r="F444" i="16"/>
  <c r="H445" i="16"/>
  <c r="B447" i="16"/>
  <c r="C448" i="16"/>
  <c r="F449" i="16"/>
  <c r="J106" i="16"/>
  <c r="D153" i="16"/>
  <c r="E193" i="16"/>
  <c r="C220" i="16"/>
  <c r="K233" i="16"/>
  <c r="I245" i="16"/>
  <c r="H254" i="16"/>
  <c r="G262" i="16"/>
  <c r="D272" i="16"/>
  <c r="C281" i="16"/>
  <c r="K288" i="16"/>
  <c r="B297" i="16"/>
  <c r="I302" i="16"/>
  <c r="H307" i="16"/>
  <c r="E313" i="16"/>
  <c r="E319" i="16"/>
  <c r="I323" i="16"/>
  <c r="K329" i="16"/>
  <c r="F335" i="16"/>
  <c r="E340" i="16"/>
  <c r="I345" i="16"/>
  <c r="I349" i="16"/>
  <c r="C353" i="16"/>
  <c r="B357" i="16"/>
  <c r="F360" i="16"/>
  <c r="G363" i="16"/>
  <c r="E367" i="16"/>
  <c r="J369" i="16"/>
  <c r="J371" i="16"/>
  <c r="K372" i="16"/>
  <c r="E374" i="16"/>
  <c r="H375" i="16"/>
  <c r="J376" i="16"/>
  <c r="D378" i="16"/>
  <c r="E379" i="16"/>
  <c r="I380" i="16"/>
  <c r="B382" i="16"/>
  <c r="D383" i="16"/>
  <c r="H384" i="16"/>
  <c r="I385" i="16"/>
  <c r="C387" i="16"/>
  <c r="F388" i="16"/>
  <c r="H389" i="16"/>
  <c r="B391" i="16"/>
  <c r="C392" i="16"/>
  <c r="G393" i="16"/>
  <c r="J394" i="16"/>
  <c r="B396" i="16"/>
  <c r="F397" i="16"/>
  <c r="G398" i="16"/>
  <c r="K399" i="16"/>
  <c r="D401" i="16"/>
  <c r="F402" i="16"/>
  <c r="J403" i="16"/>
  <c r="K404" i="16"/>
  <c r="E406" i="16"/>
  <c r="H407" i="16"/>
  <c r="J408" i="16"/>
  <c r="D410" i="16"/>
  <c r="E411" i="16"/>
  <c r="I412" i="16"/>
  <c r="B414" i="16"/>
  <c r="D415" i="16"/>
  <c r="H416" i="16"/>
  <c r="I417" i="16"/>
  <c r="C419" i="16"/>
  <c r="F420" i="16"/>
  <c r="H421" i="16"/>
  <c r="B423" i="16"/>
  <c r="C424" i="16"/>
  <c r="G425" i="16"/>
  <c r="J426" i="16"/>
  <c r="B428" i="16"/>
  <c r="F429" i="16"/>
  <c r="G430" i="16"/>
  <c r="K431" i="16"/>
  <c r="D433" i="16"/>
  <c r="F434" i="16"/>
  <c r="J435" i="16"/>
  <c r="K436" i="16"/>
  <c r="E438" i="16"/>
  <c r="H439" i="16"/>
  <c r="J440" i="16"/>
  <c r="D442" i="16"/>
  <c r="E443" i="16"/>
  <c r="I444" i="16"/>
  <c r="B446" i="16"/>
  <c r="D447" i="16"/>
  <c r="H448" i="16"/>
  <c r="H449" i="16"/>
  <c r="E123" i="16"/>
  <c r="D165" i="16"/>
  <c r="F200" i="16"/>
  <c r="E223" i="16"/>
  <c r="I238" i="16"/>
  <c r="D248" i="16"/>
  <c r="I255" i="16"/>
  <c r="B265" i="16"/>
  <c r="B274" i="16"/>
  <c r="G282" i="16"/>
  <c r="G291" i="16"/>
  <c r="I298" i="16"/>
  <c r="F303" i="16"/>
  <c r="E309" i="16"/>
  <c r="J314" i="16"/>
  <c r="I319" i="16"/>
  <c r="J325" i="16"/>
  <c r="F331" i="16"/>
  <c r="E336" i="16"/>
  <c r="C342" i="16"/>
  <c r="I346" i="16"/>
  <c r="B350" i="16"/>
  <c r="G354" i="16"/>
  <c r="K357" i="16"/>
  <c r="B361" i="16"/>
  <c r="G364" i="16"/>
  <c r="D368" i="16"/>
  <c r="G370" i="16"/>
  <c r="B372" i="16"/>
  <c r="F373" i="16"/>
  <c r="G374" i="16"/>
  <c r="K375" i="16"/>
  <c r="D377" i="16"/>
  <c r="F378" i="16"/>
  <c r="J379" i="16"/>
  <c r="K380" i="16"/>
  <c r="E382" i="16"/>
  <c r="H383" i="16"/>
  <c r="J384" i="16"/>
  <c r="D386" i="16"/>
  <c r="E387" i="16"/>
  <c r="I388" i="16"/>
  <c r="B390" i="16"/>
  <c r="D391" i="16"/>
  <c r="H392" i="16"/>
  <c r="I393" i="16"/>
  <c r="C395" i="16"/>
  <c r="F396" i="16"/>
  <c r="H397" i="16"/>
  <c r="B399" i="16"/>
  <c r="C400" i="16"/>
  <c r="G401" i="16"/>
  <c r="J402" i="16"/>
  <c r="B404" i="16"/>
  <c r="F405" i="16"/>
  <c r="G406" i="16"/>
  <c r="K407" i="16"/>
  <c r="D409" i="16"/>
  <c r="F410" i="16"/>
  <c r="J411" i="16"/>
  <c r="K412" i="16"/>
  <c r="E414" i="16"/>
  <c r="H415" i="16"/>
  <c r="J416" i="16"/>
  <c r="D418" i="16"/>
  <c r="E419" i="16"/>
  <c r="I420" i="16"/>
  <c r="B422" i="16"/>
  <c r="D423" i="16"/>
  <c r="H424" i="16"/>
  <c r="I425" i="16"/>
  <c r="C427" i="16"/>
  <c r="F428" i="16"/>
  <c r="H429" i="16"/>
  <c r="B431" i="16"/>
  <c r="C432" i="16"/>
  <c r="G433" i="16"/>
  <c r="J434" i="16"/>
  <c r="B436" i="16"/>
  <c r="F437" i="16"/>
  <c r="G438" i="16"/>
  <c r="K439" i="16"/>
  <c r="D441" i="16"/>
  <c r="F442" i="16"/>
  <c r="J443" i="16"/>
  <c r="K444" i="16"/>
  <c r="E446" i="16"/>
  <c r="H447" i="16"/>
  <c r="J448" i="16"/>
  <c r="J449" i="16"/>
  <c r="H450" i="16"/>
  <c r="F451" i="16"/>
  <c r="D452" i="16"/>
  <c r="B453" i="16"/>
  <c r="J453" i="16"/>
  <c r="H454" i="16"/>
  <c r="F455" i="16"/>
  <c r="D456" i="16"/>
  <c r="B457" i="16"/>
  <c r="J457" i="16"/>
  <c r="H458" i="16"/>
  <c r="F459" i="16"/>
  <c r="D460" i="16"/>
  <c r="B461" i="16"/>
  <c r="J461" i="16"/>
  <c r="H462" i="16"/>
  <c r="F463" i="16"/>
  <c r="D464" i="16"/>
  <c r="B465" i="16"/>
  <c r="J465" i="16"/>
  <c r="H466" i="16"/>
  <c r="F467" i="16"/>
  <c r="D468" i="16"/>
  <c r="B469" i="16"/>
  <c r="J469" i="16"/>
  <c r="H470" i="16"/>
  <c r="F471" i="16"/>
  <c r="D472" i="16"/>
  <c r="B473" i="16"/>
  <c r="J473" i="16"/>
  <c r="H474" i="16"/>
  <c r="F475" i="16"/>
  <c r="D476" i="16"/>
  <c r="B477" i="16"/>
  <c r="J477" i="16"/>
  <c r="H478" i="16"/>
  <c r="F479" i="16"/>
  <c r="D480" i="16"/>
  <c r="B481" i="16"/>
  <c r="J481" i="16"/>
  <c r="H482" i="16"/>
  <c r="F483" i="16"/>
  <c r="D484" i="16"/>
  <c r="B485" i="16"/>
  <c r="J485" i="16"/>
  <c r="H486" i="16"/>
  <c r="F487" i="16"/>
  <c r="D488" i="16"/>
  <c r="B489" i="16"/>
  <c r="J489" i="16"/>
  <c r="H490" i="16"/>
  <c r="F491" i="16"/>
  <c r="D492" i="16"/>
  <c r="B493" i="16"/>
  <c r="J493" i="16"/>
  <c r="H494" i="16"/>
  <c r="F495" i="16"/>
  <c r="D496" i="16"/>
  <c r="B497" i="16"/>
  <c r="J497" i="16"/>
  <c r="H498" i="16"/>
  <c r="F499" i="16"/>
  <c r="D500" i="16"/>
  <c r="B501" i="16"/>
  <c r="J501" i="16"/>
  <c r="H502" i="16"/>
  <c r="F503" i="16"/>
  <c r="D504" i="16"/>
  <c r="B505" i="16"/>
  <c r="J505" i="16"/>
  <c r="H506" i="16"/>
  <c r="F507" i="16"/>
  <c r="D508" i="16"/>
  <c r="B509" i="16"/>
  <c r="J509" i="16"/>
  <c r="H510" i="16"/>
  <c r="F511" i="16"/>
  <c r="D512" i="16"/>
  <c r="B513" i="16"/>
  <c r="J513" i="16"/>
  <c r="H514" i="16"/>
  <c r="E135" i="16"/>
  <c r="G168" i="16"/>
  <c r="G204" i="16"/>
  <c r="C226" i="16"/>
  <c r="K238" i="16"/>
  <c r="F248" i="16"/>
  <c r="B258" i="16"/>
  <c r="K265" i="16"/>
  <c r="K274" i="16"/>
  <c r="D284" i="16"/>
  <c r="H291" i="16"/>
  <c r="E299" i="16"/>
  <c r="G304" i="16"/>
  <c r="I309" i="16"/>
  <c r="G315" i="16"/>
  <c r="C321" i="16"/>
  <c r="B326" i="16"/>
  <c r="C332" i="16"/>
  <c r="I337" i="16"/>
  <c r="G342" i="16"/>
  <c r="K346" i="16"/>
  <c r="K350" i="16"/>
  <c r="H354" i="16"/>
  <c r="C358" i="16"/>
  <c r="J361" i="16"/>
  <c r="K364" i="16"/>
  <c r="F368" i="16"/>
  <c r="I370" i="16"/>
  <c r="C372" i="16"/>
  <c r="G373" i="16"/>
  <c r="J374" i="16"/>
  <c r="B376" i="16"/>
  <c r="F377" i="16"/>
  <c r="G378" i="16"/>
  <c r="K379" i="16"/>
  <c r="D381" i="16"/>
  <c r="F382" i="16"/>
  <c r="J383" i="16"/>
  <c r="K384" i="16"/>
  <c r="E386" i="16"/>
  <c r="H387" i="16"/>
  <c r="J388" i="16"/>
  <c r="D390" i="16"/>
  <c r="E391" i="16"/>
  <c r="I392" i="16"/>
  <c r="B394" i="16"/>
  <c r="D395" i="16"/>
  <c r="H396" i="16"/>
  <c r="I397" i="16"/>
  <c r="C399" i="16"/>
  <c r="F400" i="16"/>
  <c r="H401" i="16"/>
  <c r="B403" i="16"/>
  <c r="C404" i="16"/>
  <c r="G405" i="16"/>
  <c r="J406" i="16"/>
  <c r="B408" i="16"/>
  <c r="F409" i="16"/>
  <c r="G410" i="16"/>
  <c r="K411" i="16"/>
  <c r="D413" i="16"/>
  <c r="F414" i="16"/>
  <c r="J415" i="16"/>
  <c r="K416" i="16"/>
  <c r="E418" i="16"/>
  <c r="H419" i="16"/>
  <c r="J420" i="16"/>
  <c r="D422" i="16"/>
  <c r="E423" i="16"/>
  <c r="I424" i="16"/>
  <c r="B426" i="16"/>
  <c r="D427" i="16"/>
  <c r="H428" i="16"/>
  <c r="I429" i="16"/>
  <c r="C431" i="16"/>
  <c r="F432" i="16"/>
  <c r="H433" i="16"/>
  <c r="B435" i="16"/>
  <c r="C436" i="16"/>
  <c r="G437" i="16"/>
  <c r="J438" i="16"/>
  <c r="B440" i="16"/>
  <c r="F441" i="16"/>
  <c r="G442" i="16"/>
  <c r="K443" i="16"/>
  <c r="D445" i="16"/>
  <c r="F446" i="16"/>
  <c r="J447" i="16"/>
  <c r="K448" i="16"/>
  <c r="K449" i="16"/>
  <c r="I450" i="16"/>
  <c r="G451" i="16"/>
  <c r="E452" i="16"/>
  <c r="C453" i="16"/>
  <c r="K453" i="16"/>
  <c r="I454" i="16"/>
  <c r="G455" i="16"/>
  <c r="E456" i="16"/>
  <c r="C457" i="16"/>
  <c r="K457" i="16"/>
  <c r="I458" i="16"/>
  <c r="G459" i="16"/>
  <c r="E460" i="16"/>
  <c r="C461" i="16"/>
  <c r="K461" i="16"/>
  <c r="I462" i="16"/>
  <c r="G463" i="16"/>
  <c r="E464" i="16"/>
  <c r="C465" i="16"/>
  <c r="K465" i="16"/>
  <c r="I466" i="16"/>
  <c r="G467" i="16"/>
  <c r="E468" i="16"/>
  <c r="C469" i="16"/>
  <c r="K469" i="16"/>
  <c r="I470" i="16"/>
  <c r="G471" i="16"/>
  <c r="E472" i="16"/>
  <c r="C473" i="16"/>
  <c r="K473" i="16"/>
  <c r="I474" i="16"/>
  <c r="G475" i="16"/>
  <c r="E476" i="16"/>
  <c r="C477" i="16"/>
  <c r="K477" i="16"/>
  <c r="I478" i="16"/>
  <c r="G479" i="16"/>
  <c r="E480" i="16"/>
  <c r="C481" i="16"/>
  <c r="K481" i="16"/>
  <c r="I482" i="16"/>
  <c r="G483" i="16"/>
  <c r="E484" i="16"/>
  <c r="C485" i="16"/>
  <c r="K485" i="16"/>
  <c r="I486" i="16"/>
  <c r="G487" i="16"/>
  <c r="E488" i="16"/>
  <c r="C489" i="16"/>
  <c r="K489" i="16"/>
  <c r="I490" i="16"/>
  <c r="G491" i="16"/>
  <c r="E492" i="16"/>
  <c r="C493" i="16"/>
  <c r="K493" i="16"/>
  <c r="I494" i="16"/>
  <c r="G495" i="16"/>
  <c r="E496" i="16"/>
  <c r="C497" i="16"/>
  <c r="K497" i="16"/>
  <c r="I498" i="16"/>
  <c r="G499" i="16"/>
  <c r="E500" i="16"/>
  <c r="C501" i="16"/>
  <c r="K501" i="16"/>
  <c r="I502" i="16"/>
  <c r="G503" i="16"/>
  <c r="E504" i="16"/>
  <c r="C505" i="16"/>
  <c r="K505" i="16"/>
  <c r="I506" i="16"/>
  <c r="G507" i="16"/>
  <c r="E508" i="16"/>
  <c r="C509" i="16"/>
  <c r="K509" i="16"/>
  <c r="I510" i="16"/>
  <c r="G511" i="16"/>
  <c r="E512" i="16"/>
  <c r="C513" i="16"/>
  <c r="K513" i="16"/>
  <c r="K137" i="16"/>
  <c r="E176" i="16"/>
  <c r="K204" i="16"/>
  <c r="G227" i="16"/>
  <c r="I241" i="16"/>
  <c r="E249" i="16"/>
  <c r="H258" i="16"/>
  <c r="H267" i="16"/>
  <c r="E275" i="16"/>
  <c r="C285" i="16"/>
  <c r="K293" i="16"/>
  <c r="F299" i="16"/>
  <c r="D305" i="16"/>
  <c r="J310" i="16"/>
  <c r="I315" i="16"/>
  <c r="J321" i="16"/>
  <c r="F327" i="16"/>
  <c r="D332" i="16"/>
  <c r="K337" i="16"/>
  <c r="H343" i="16"/>
  <c r="E347" i="16"/>
  <c r="F351" i="16"/>
  <c r="F355" i="16"/>
  <c r="G358" i="16"/>
  <c r="B362" i="16"/>
  <c r="I365" i="16"/>
  <c r="G368" i="16"/>
  <c r="J370" i="16"/>
  <c r="F372" i="16"/>
  <c r="H373" i="16"/>
  <c r="B375" i="16"/>
  <c r="C376" i="16"/>
  <c r="G377" i="16"/>
  <c r="J378" i="16"/>
  <c r="B380" i="16"/>
  <c r="F381" i="16"/>
  <c r="G382" i="16"/>
  <c r="K383" i="16"/>
  <c r="D385" i="16"/>
  <c r="F386" i="16"/>
  <c r="J387" i="16"/>
  <c r="K388" i="16"/>
  <c r="E390" i="16"/>
  <c r="H391" i="16"/>
  <c r="J392" i="16"/>
  <c r="D394" i="16"/>
  <c r="E395" i="16"/>
  <c r="I396" i="16"/>
  <c r="B398" i="16"/>
  <c r="D399" i="16"/>
  <c r="H400" i="16"/>
  <c r="I401" i="16"/>
  <c r="C403" i="16"/>
  <c r="F404" i="16"/>
  <c r="H405" i="16"/>
  <c r="B407" i="16"/>
  <c r="C408" i="16"/>
  <c r="G409" i="16"/>
  <c r="J410" i="16"/>
  <c r="B412" i="16"/>
  <c r="F413" i="16"/>
  <c r="G414" i="16"/>
  <c r="K415" i="16"/>
  <c r="D417" i="16"/>
  <c r="F418" i="16"/>
  <c r="J419" i="16"/>
  <c r="K420" i="16"/>
  <c r="E422" i="16"/>
  <c r="H423" i="16"/>
  <c r="J424" i="16"/>
  <c r="D426" i="16"/>
  <c r="E427" i="16"/>
  <c r="I428" i="16"/>
  <c r="B430" i="16"/>
  <c r="D431" i="16"/>
  <c r="H432" i="16"/>
  <c r="I433" i="16"/>
  <c r="C435" i="16"/>
  <c r="F436" i="16"/>
  <c r="H437" i="16"/>
  <c r="B439" i="16"/>
  <c r="C440" i="16"/>
  <c r="G441" i="16"/>
  <c r="J442" i="16"/>
  <c r="B444" i="16"/>
  <c r="F445" i="16"/>
  <c r="G446" i="16"/>
  <c r="K447" i="16"/>
  <c r="D449" i="16"/>
  <c r="B450" i="16"/>
  <c r="J450" i="16"/>
  <c r="H451" i="16"/>
  <c r="F452" i="16"/>
  <c r="D453" i="16"/>
  <c r="B454" i="16"/>
  <c r="J454" i="16"/>
  <c r="H455" i="16"/>
  <c r="F456" i="16"/>
  <c r="D457" i="16"/>
  <c r="B458" i="16"/>
  <c r="J458" i="16"/>
  <c r="H459" i="16"/>
  <c r="F460" i="16"/>
  <c r="D461" i="16"/>
  <c r="B462" i="16"/>
  <c r="J462" i="16"/>
  <c r="H463" i="16"/>
  <c r="F464" i="16"/>
  <c r="D465" i="16"/>
  <c r="B466" i="16"/>
  <c r="J466" i="16"/>
  <c r="H467" i="16"/>
  <c r="F468" i="16"/>
  <c r="D469" i="16"/>
  <c r="B470" i="16"/>
  <c r="J470" i="16"/>
  <c r="H471" i="16"/>
  <c r="F472" i="16"/>
  <c r="D473" i="16"/>
  <c r="B474" i="16"/>
  <c r="J474" i="16"/>
  <c r="H475" i="16"/>
  <c r="F476" i="16"/>
  <c r="D477" i="16"/>
  <c r="B478" i="16"/>
  <c r="J478" i="16"/>
  <c r="H479" i="16"/>
  <c r="F480" i="16"/>
  <c r="D481" i="16"/>
  <c r="B482" i="16"/>
  <c r="J482" i="16"/>
  <c r="H483" i="16"/>
  <c r="F484" i="16"/>
  <c r="D485" i="16"/>
  <c r="B486" i="16"/>
  <c r="J486" i="16"/>
  <c r="H487" i="16"/>
  <c r="F488" i="16"/>
  <c r="D489" i="16"/>
  <c r="B490" i="16"/>
  <c r="J490" i="16"/>
  <c r="H491" i="16"/>
  <c r="F492" i="16"/>
  <c r="D493" i="16"/>
  <c r="B494" i="16"/>
  <c r="J494" i="16"/>
  <c r="H495" i="16"/>
  <c r="F496" i="16"/>
  <c r="D497" i="16"/>
  <c r="B498" i="16"/>
  <c r="J498" i="16"/>
  <c r="H499" i="16"/>
  <c r="F500" i="16"/>
  <c r="D501" i="16"/>
  <c r="B502" i="16"/>
  <c r="J502" i="16"/>
  <c r="H503" i="16"/>
  <c r="F504" i="16"/>
  <c r="D505" i="16"/>
  <c r="B506" i="16"/>
  <c r="J506" i="16"/>
  <c r="H507" i="16"/>
  <c r="F508" i="16"/>
  <c r="D509" i="16"/>
  <c r="B510" i="16"/>
  <c r="J510" i="16"/>
  <c r="H511" i="16"/>
  <c r="F512" i="16"/>
  <c r="D513" i="16"/>
  <c r="B514" i="16"/>
  <c r="H59" i="16"/>
  <c r="D213" i="16"/>
  <c r="K245" i="16"/>
  <c r="K270" i="16"/>
  <c r="H294" i="16"/>
  <c r="B309" i="16"/>
  <c r="H323" i="16"/>
  <c r="G338" i="16"/>
  <c r="K349" i="16"/>
  <c r="H359" i="16"/>
  <c r="C369" i="16"/>
  <c r="D373" i="16"/>
  <c r="I376" i="16"/>
  <c r="C380" i="16"/>
  <c r="E383" i="16"/>
  <c r="B387" i="16"/>
  <c r="F390" i="16"/>
  <c r="H393" i="16"/>
  <c r="D397" i="16"/>
  <c r="I400" i="16"/>
  <c r="K403" i="16"/>
  <c r="E407" i="16"/>
  <c r="B411" i="16"/>
  <c r="D414" i="16"/>
  <c r="H417" i="16"/>
  <c r="D421" i="16"/>
  <c r="F424" i="16"/>
  <c r="K427" i="16"/>
  <c r="E431" i="16"/>
  <c r="G434" i="16"/>
  <c r="D438" i="16"/>
  <c r="H441" i="16"/>
  <c r="J444" i="16"/>
  <c r="F448" i="16"/>
  <c r="F450" i="16"/>
  <c r="J451" i="16"/>
  <c r="K452" i="16"/>
  <c r="E454" i="16"/>
  <c r="I455" i="16"/>
  <c r="J456" i="16"/>
  <c r="D458" i="16"/>
  <c r="E459" i="16"/>
  <c r="I460" i="16"/>
  <c r="C462" i="16"/>
  <c r="D463" i="16"/>
  <c r="H464" i="16"/>
  <c r="I465" i="16"/>
  <c r="C467" i="16"/>
  <c r="G468" i="16"/>
  <c r="H469" i="16"/>
  <c r="B471" i="16"/>
  <c r="C472" i="16"/>
  <c r="G473" i="16"/>
  <c r="K474" i="16"/>
  <c r="B476" i="16"/>
  <c r="F477" i="16"/>
  <c r="G478" i="16"/>
  <c r="K479" i="16"/>
  <c r="E481" i="16"/>
  <c r="F482" i="16"/>
  <c r="J483" i="16"/>
  <c r="K484" i="16"/>
  <c r="E486" i="16"/>
  <c r="I487" i="16"/>
  <c r="J488" i="16"/>
  <c r="D490" i="16"/>
  <c r="E491" i="16"/>
  <c r="I492" i="16"/>
  <c r="C494" i="16"/>
  <c r="D495" i="16"/>
  <c r="H496" i="16"/>
  <c r="I497" i="16"/>
  <c r="C499" i="16"/>
  <c r="G500" i="16"/>
  <c r="H501" i="16"/>
  <c r="B503" i="16"/>
  <c r="C504" i="16"/>
  <c r="G505" i="16"/>
  <c r="K506" i="16"/>
  <c r="B508" i="16"/>
  <c r="F509" i="16"/>
  <c r="G510" i="16"/>
  <c r="K511" i="16"/>
  <c r="E513" i="16"/>
  <c r="F514" i="16"/>
  <c r="E515" i="16"/>
  <c r="C516" i="16"/>
  <c r="K516" i="16"/>
  <c r="I517" i="16"/>
  <c r="G518" i="16"/>
  <c r="E519" i="16"/>
  <c r="C520" i="16"/>
  <c r="K520" i="16"/>
  <c r="I521" i="16"/>
  <c r="G522" i="16"/>
  <c r="E523" i="16"/>
  <c r="C524" i="16"/>
  <c r="K524" i="16"/>
  <c r="I525" i="16"/>
  <c r="G526" i="16"/>
  <c r="E527" i="16"/>
  <c r="C528" i="16"/>
  <c r="K528" i="16"/>
  <c r="I529" i="16"/>
  <c r="G530" i="16"/>
  <c r="E531" i="16"/>
  <c r="C532" i="16"/>
  <c r="K532" i="16"/>
  <c r="I533" i="16"/>
  <c r="G534" i="16"/>
  <c r="E535" i="16"/>
  <c r="C536" i="16"/>
  <c r="K536" i="16"/>
  <c r="I537" i="16"/>
  <c r="G538" i="16"/>
  <c r="E539" i="16"/>
  <c r="C540" i="16"/>
  <c r="K540" i="16"/>
  <c r="I541" i="16"/>
  <c r="G542" i="16"/>
  <c r="E543" i="16"/>
  <c r="C544" i="16"/>
  <c r="K544" i="16"/>
  <c r="I545" i="16"/>
  <c r="G546" i="16"/>
  <c r="E547" i="16"/>
  <c r="C548" i="16"/>
  <c r="K548" i="16"/>
  <c r="I549" i="16"/>
  <c r="G550" i="16"/>
  <c r="E551" i="16"/>
  <c r="C552" i="16"/>
  <c r="K552" i="16"/>
  <c r="I553" i="16"/>
  <c r="G554" i="16"/>
  <c r="E555" i="16"/>
  <c r="C556" i="16"/>
  <c r="K556" i="16"/>
  <c r="I557" i="16"/>
  <c r="G558" i="16"/>
  <c r="E559" i="16"/>
  <c r="C560" i="16"/>
  <c r="K560" i="16"/>
  <c r="I561" i="16"/>
  <c r="G562" i="16"/>
  <c r="E563" i="16"/>
  <c r="C564" i="16"/>
  <c r="K564" i="16"/>
  <c r="I565" i="16"/>
  <c r="G566" i="16"/>
  <c r="E567" i="16"/>
  <c r="C568" i="16"/>
  <c r="K568" i="16"/>
  <c r="I569" i="16"/>
  <c r="G570" i="16"/>
  <c r="E571" i="16"/>
  <c r="C572" i="16"/>
  <c r="K572" i="16"/>
  <c r="I573" i="16"/>
  <c r="G574" i="16"/>
  <c r="E575" i="16"/>
  <c r="C576" i="16"/>
  <c r="K576" i="16"/>
  <c r="I577" i="16"/>
  <c r="G578" i="16"/>
  <c r="E579" i="16"/>
  <c r="C580" i="16"/>
  <c r="K580" i="16"/>
  <c r="I581" i="16"/>
  <c r="G582" i="16"/>
  <c r="H140" i="16"/>
  <c r="K221" i="16"/>
  <c r="E252" i="16"/>
  <c r="E277" i="16"/>
  <c r="E297" i="16"/>
  <c r="B313" i="16"/>
  <c r="H327" i="16"/>
  <c r="I341" i="16"/>
  <c r="B353" i="16"/>
  <c r="C362" i="16"/>
  <c r="K369" i="16"/>
  <c r="D374" i="16"/>
  <c r="H377" i="16"/>
  <c r="J380" i="16"/>
  <c r="F384" i="16"/>
  <c r="K387" i="16"/>
  <c r="C391" i="16"/>
  <c r="G394" i="16"/>
  <c r="D398" i="16"/>
  <c r="F401" i="16"/>
  <c r="J404" i="16"/>
  <c r="F408" i="16"/>
  <c r="H411" i="16"/>
  <c r="C415" i="16"/>
  <c r="G418" i="16"/>
  <c r="I421" i="16"/>
  <c r="F425" i="16"/>
  <c r="J428" i="16"/>
  <c r="B432" i="16"/>
  <c r="H435" i="16"/>
  <c r="C439" i="16"/>
  <c r="E442" i="16"/>
  <c r="I445" i="16"/>
  <c r="E449" i="16"/>
  <c r="K450" i="16"/>
  <c r="B452" i="16"/>
  <c r="F453" i="16"/>
  <c r="G454" i="16"/>
  <c r="K455" i="16"/>
  <c r="E457" i="16"/>
  <c r="F458" i="16"/>
  <c r="J459" i="16"/>
  <c r="K460" i="16"/>
  <c r="E462" i="16"/>
  <c r="I463" i="16"/>
  <c r="J464" i="16"/>
  <c r="D466" i="16"/>
  <c r="E467" i="16"/>
  <c r="I468" i="16"/>
  <c r="C470" i="16"/>
  <c r="D471" i="16"/>
  <c r="H472" i="16"/>
  <c r="I473" i="16"/>
  <c r="C475" i="16"/>
  <c r="G476" i="16"/>
  <c r="H477" i="16"/>
  <c r="B479" i="16"/>
  <c r="C480" i="16"/>
  <c r="G481" i="16"/>
  <c r="K482" i="16"/>
  <c r="B484" i="16"/>
  <c r="F485" i="16"/>
  <c r="G486" i="16"/>
  <c r="K487" i="16"/>
  <c r="E489" i="16"/>
  <c r="F490" i="16"/>
  <c r="J491" i="16"/>
  <c r="K492" i="16"/>
  <c r="E494" i="16"/>
  <c r="I495" i="16"/>
  <c r="J496" i="16"/>
  <c r="D498" i="16"/>
  <c r="E499" i="16"/>
  <c r="I500" i="16"/>
  <c r="C502" i="16"/>
  <c r="D503" i="16"/>
  <c r="H504" i="16"/>
  <c r="I505" i="16"/>
  <c r="C507" i="16"/>
  <c r="G508" i="16"/>
  <c r="H509" i="16"/>
  <c r="B511" i="16"/>
  <c r="C512" i="16"/>
  <c r="G513" i="16"/>
  <c r="I514" i="16"/>
  <c r="G515" i="16"/>
  <c r="E516" i="16"/>
  <c r="C517" i="16"/>
  <c r="K517" i="16"/>
  <c r="I518" i="16"/>
  <c r="G519" i="16"/>
  <c r="E520" i="16"/>
  <c r="C521" i="16"/>
  <c r="K521" i="16"/>
  <c r="I522" i="16"/>
  <c r="G523" i="16"/>
  <c r="E524" i="16"/>
  <c r="C525" i="16"/>
  <c r="K525" i="16"/>
  <c r="I526" i="16"/>
  <c r="G527" i="16"/>
  <c r="E528" i="16"/>
  <c r="C529" i="16"/>
  <c r="K529" i="16"/>
  <c r="I530" i="16"/>
  <c r="G531" i="16"/>
  <c r="E532" i="16"/>
  <c r="C533" i="16"/>
  <c r="K533" i="16"/>
  <c r="I534" i="16"/>
  <c r="G535" i="16"/>
  <c r="E536" i="16"/>
  <c r="C537" i="16"/>
  <c r="K537" i="16"/>
  <c r="I538" i="16"/>
  <c r="G539" i="16"/>
  <c r="E540" i="16"/>
  <c r="C541" i="16"/>
  <c r="K541" i="16"/>
  <c r="I542" i="16"/>
  <c r="G543" i="16"/>
  <c r="E544" i="16"/>
  <c r="C545" i="16"/>
  <c r="K545" i="16"/>
  <c r="I546" i="16"/>
  <c r="G547" i="16"/>
  <c r="E548" i="16"/>
  <c r="C549" i="16"/>
  <c r="K549" i="16"/>
  <c r="I550" i="16"/>
  <c r="G551" i="16"/>
  <c r="E552" i="16"/>
  <c r="C553" i="16"/>
  <c r="K553" i="16"/>
  <c r="I554" i="16"/>
  <c r="G555" i="16"/>
  <c r="E556" i="16"/>
  <c r="C557" i="16"/>
  <c r="K557" i="16"/>
  <c r="I558" i="16"/>
  <c r="G559" i="16"/>
  <c r="E560" i="16"/>
  <c r="C561" i="16"/>
  <c r="K561" i="16"/>
  <c r="I562" i="16"/>
  <c r="G563" i="16"/>
  <c r="E564" i="16"/>
  <c r="C565" i="16"/>
  <c r="K565" i="16"/>
  <c r="I566" i="16"/>
  <c r="G567" i="16"/>
  <c r="E568" i="16"/>
  <c r="C569" i="16"/>
  <c r="K569" i="16"/>
  <c r="I570" i="16"/>
  <c r="G571" i="16"/>
  <c r="E572" i="16"/>
  <c r="C573" i="16"/>
  <c r="K573" i="16"/>
  <c r="I574" i="16"/>
  <c r="G575" i="16"/>
  <c r="E576" i="16"/>
  <c r="C577" i="16"/>
  <c r="K577" i="16"/>
  <c r="I578" i="16"/>
  <c r="G579" i="16"/>
  <c r="E580" i="16"/>
  <c r="C581" i="16"/>
  <c r="K581" i="16"/>
  <c r="I582" i="16"/>
  <c r="D162" i="16"/>
  <c r="K232" i="16"/>
  <c r="I258" i="16"/>
  <c r="E281" i="16"/>
  <c r="E301" i="16"/>
  <c r="C317" i="16"/>
  <c r="B330" i="16"/>
  <c r="D345" i="16"/>
  <c r="H355" i="16"/>
  <c r="E364" i="16"/>
  <c r="H371" i="16"/>
  <c r="C375" i="16"/>
  <c r="E378" i="16"/>
  <c r="I381" i="16"/>
  <c r="F385" i="16"/>
  <c r="H388" i="16"/>
  <c r="B392" i="16"/>
  <c r="H395" i="16"/>
  <c r="J398" i="16"/>
  <c r="E402" i="16"/>
  <c r="I405" i="16"/>
  <c r="K408" i="16"/>
  <c r="H412" i="16"/>
  <c r="B416" i="16"/>
  <c r="D419" i="16"/>
  <c r="J422" i="16"/>
  <c r="E426" i="16"/>
  <c r="G429" i="16"/>
  <c r="K432" i="16"/>
  <c r="H436" i="16"/>
  <c r="J439" i="16"/>
  <c r="D443" i="16"/>
  <c r="J446" i="16"/>
  <c r="I449" i="16"/>
  <c r="C451" i="16"/>
  <c r="G452" i="16"/>
  <c r="H453" i="16"/>
  <c r="B455" i="16"/>
  <c r="C456" i="16"/>
  <c r="G457" i="16"/>
  <c r="K458" i="16"/>
  <c r="B460" i="16"/>
  <c r="F461" i="16"/>
  <c r="G462" i="16"/>
  <c r="K463" i="16"/>
  <c r="E465" i="16"/>
  <c r="F466" i="16"/>
  <c r="J467" i="16"/>
  <c r="K468" i="16"/>
  <c r="E470" i="16"/>
  <c r="I471" i="16"/>
  <c r="J472" i="16"/>
  <c r="D474" i="16"/>
  <c r="E475" i="16"/>
  <c r="I476" i="16"/>
  <c r="C478" i="16"/>
  <c r="D479" i="16"/>
  <c r="H480" i="16"/>
  <c r="I481" i="16"/>
  <c r="C483" i="16"/>
  <c r="G484" i="16"/>
  <c r="H485" i="16"/>
  <c r="B487" i="16"/>
  <c r="C488" i="16"/>
  <c r="G489" i="16"/>
  <c r="K490" i="16"/>
  <c r="B492" i="16"/>
  <c r="F493" i="16"/>
  <c r="G494" i="16"/>
  <c r="K495" i="16"/>
  <c r="E497" i="16"/>
  <c r="F498" i="16"/>
  <c r="J499" i="16"/>
  <c r="K500" i="16"/>
  <c r="E502" i="16"/>
  <c r="I503" i="16"/>
  <c r="J504" i="16"/>
  <c r="D506" i="16"/>
  <c r="E507" i="16"/>
  <c r="I508" i="16"/>
  <c r="C510" i="16"/>
  <c r="D511" i="16"/>
  <c r="H512" i="16"/>
  <c r="I513" i="16"/>
  <c r="K514" i="16"/>
  <c r="I515" i="16"/>
  <c r="G516" i="16"/>
  <c r="E517" i="16"/>
  <c r="C518" i="16"/>
  <c r="K518" i="16"/>
  <c r="I519" i="16"/>
  <c r="G520" i="16"/>
  <c r="E521" i="16"/>
  <c r="C522" i="16"/>
  <c r="K522" i="16"/>
  <c r="I523" i="16"/>
  <c r="G524" i="16"/>
  <c r="E525" i="16"/>
  <c r="C526" i="16"/>
  <c r="K526" i="16"/>
  <c r="I527" i="16"/>
  <c r="G528" i="16"/>
  <c r="E529" i="16"/>
  <c r="C530" i="16"/>
  <c r="K530" i="16"/>
  <c r="I531" i="16"/>
  <c r="G532" i="16"/>
  <c r="E533" i="16"/>
  <c r="C534" i="16"/>
  <c r="K534" i="16"/>
  <c r="I535" i="16"/>
  <c r="G536" i="16"/>
  <c r="E537" i="16"/>
  <c r="C538" i="16"/>
  <c r="K538" i="16"/>
  <c r="I539" i="16"/>
  <c r="G540" i="16"/>
  <c r="E541" i="16"/>
  <c r="C542" i="16"/>
  <c r="K542" i="16"/>
  <c r="I543" i="16"/>
  <c r="G544" i="16"/>
  <c r="E545" i="16"/>
  <c r="C546" i="16"/>
  <c r="K546" i="16"/>
  <c r="I547" i="16"/>
  <c r="G548" i="16"/>
  <c r="E549" i="16"/>
  <c r="C550" i="16"/>
  <c r="K550" i="16"/>
  <c r="I551" i="16"/>
  <c r="G552" i="16"/>
  <c r="E553" i="16"/>
  <c r="C554" i="16"/>
  <c r="K554" i="16"/>
  <c r="I555" i="16"/>
  <c r="G556" i="16"/>
  <c r="E557" i="16"/>
  <c r="C558" i="16"/>
  <c r="K558" i="16"/>
  <c r="I559" i="16"/>
  <c r="G560" i="16"/>
  <c r="E561" i="16"/>
  <c r="C562" i="16"/>
  <c r="K562" i="16"/>
  <c r="I563" i="16"/>
  <c r="G564" i="16"/>
  <c r="E565" i="16"/>
  <c r="C566" i="16"/>
  <c r="K566" i="16"/>
  <c r="I567" i="16"/>
  <c r="G568" i="16"/>
  <c r="E569" i="16"/>
  <c r="C570" i="16"/>
  <c r="K570" i="16"/>
  <c r="I571" i="16"/>
  <c r="G572" i="16"/>
  <c r="E573" i="16"/>
  <c r="C574" i="16"/>
  <c r="K574" i="16"/>
  <c r="I575" i="16"/>
  <c r="G576" i="16"/>
  <c r="E577" i="16"/>
  <c r="C578" i="16"/>
  <c r="K578" i="16"/>
  <c r="I579" i="16"/>
  <c r="G580" i="16"/>
  <c r="E581" i="16"/>
  <c r="C582" i="16"/>
  <c r="K582" i="16"/>
  <c r="J179" i="16"/>
  <c r="K236" i="16"/>
  <c r="B262" i="16"/>
  <c r="D285" i="16"/>
  <c r="E303" i="16"/>
  <c r="K317" i="16"/>
  <c r="E333" i="16"/>
  <c r="J345" i="16"/>
  <c r="G356" i="16"/>
  <c r="K365" i="16"/>
  <c r="K371" i="16"/>
  <c r="E375" i="16"/>
  <c r="B379" i="16"/>
  <c r="D382" i="16"/>
  <c r="H385" i="16"/>
  <c r="D389" i="16"/>
  <c r="F392" i="16"/>
  <c r="K395" i="16"/>
  <c r="E399" i="16"/>
  <c r="G402" i="16"/>
  <c r="D406" i="16"/>
  <c r="H409" i="16"/>
  <c r="J412" i="16"/>
  <c r="F416" i="16"/>
  <c r="K419" i="16"/>
  <c r="C423" i="16"/>
  <c r="G426" i="16"/>
  <c r="D430" i="16"/>
  <c r="F433" i="16"/>
  <c r="J436" i="16"/>
  <c r="F440" i="16"/>
  <c r="H443" i="16"/>
  <c r="C447" i="16"/>
  <c r="C450" i="16"/>
  <c r="D451" i="16"/>
  <c r="H452" i="16"/>
  <c r="I453" i="16"/>
  <c r="C455" i="16"/>
  <c r="G456" i="16"/>
  <c r="H457" i="16"/>
  <c r="B459" i="16"/>
  <c r="C460" i="16"/>
  <c r="G461" i="16"/>
  <c r="K462" i="16"/>
  <c r="B464" i="16"/>
  <c r="F465" i="16"/>
  <c r="G466" i="16"/>
  <c r="K467" i="16"/>
  <c r="E469" i="16"/>
  <c r="F470" i="16"/>
  <c r="J471" i="16"/>
  <c r="K472" i="16"/>
  <c r="E474" i="16"/>
  <c r="I475" i="16"/>
  <c r="J476" i="16"/>
  <c r="D478" i="16"/>
  <c r="E479" i="16"/>
  <c r="I480" i="16"/>
  <c r="C482" i="16"/>
  <c r="D483" i="16"/>
  <c r="H484" i="16"/>
  <c r="I485" i="16"/>
  <c r="C487" i="16"/>
  <c r="G488" i="16"/>
  <c r="H489" i="16"/>
  <c r="B491" i="16"/>
  <c r="C492" i="16"/>
  <c r="G493" i="16"/>
  <c r="K494" i="16"/>
  <c r="B496" i="16"/>
  <c r="F497" i="16"/>
  <c r="G498" i="16"/>
  <c r="K499" i="16"/>
  <c r="E501" i="16"/>
  <c r="F502" i="16"/>
  <c r="J503" i="16"/>
  <c r="K504" i="16"/>
  <c r="E506" i="16"/>
  <c r="I507" i="16"/>
  <c r="J508" i="16"/>
  <c r="D510" i="16"/>
  <c r="E511" i="16"/>
  <c r="I512" i="16"/>
  <c r="C514" i="16"/>
  <c r="B515" i="16"/>
  <c r="J515" i="16"/>
  <c r="H516" i="16"/>
  <c r="F517" i="16"/>
  <c r="D518" i="16"/>
  <c r="B519" i="16"/>
  <c r="J519" i="16"/>
  <c r="H520" i="16"/>
  <c r="F521" i="16"/>
  <c r="D522" i="16"/>
  <c r="B523" i="16"/>
  <c r="J523" i="16"/>
  <c r="H524" i="16"/>
  <c r="F525" i="16"/>
  <c r="D526" i="16"/>
  <c r="B527" i="16"/>
  <c r="J527" i="16"/>
  <c r="H528" i="16"/>
  <c r="F529" i="16"/>
  <c r="D530" i="16"/>
  <c r="B531" i="16"/>
  <c r="J531" i="16"/>
  <c r="H532" i="16"/>
  <c r="F533" i="16"/>
  <c r="D534" i="16"/>
  <c r="B535" i="16"/>
  <c r="J535" i="16"/>
  <c r="H536" i="16"/>
  <c r="F537" i="16"/>
  <c r="D538" i="16"/>
  <c r="B539" i="16"/>
  <c r="J539" i="16"/>
  <c r="H540" i="16"/>
  <c r="F541" i="16"/>
  <c r="D542" i="16"/>
  <c r="B543" i="16"/>
  <c r="J543" i="16"/>
  <c r="H544" i="16"/>
  <c r="F545" i="16"/>
  <c r="D546" i="16"/>
  <c r="B547" i="16"/>
  <c r="J547" i="16"/>
  <c r="H548" i="16"/>
  <c r="F549" i="16"/>
  <c r="D550" i="16"/>
  <c r="B551" i="16"/>
  <c r="J551" i="16"/>
  <c r="H552" i="16"/>
  <c r="F553" i="16"/>
  <c r="D554" i="16"/>
  <c r="B555" i="16"/>
  <c r="J555" i="16"/>
  <c r="H556" i="16"/>
  <c r="F557" i="16"/>
  <c r="D558" i="16"/>
  <c r="B559" i="16"/>
  <c r="J559" i="16"/>
  <c r="H560" i="16"/>
  <c r="F561" i="16"/>
  <c r="D562" i="16"/>
  <c r="B563" i="16"/>
  <c r="J563" i="16"/>
  <c r="H564" i="16"/>
  <c r="F565" i="16"/>
  <c r="D566" i="16"/>
  <c r="B567" i="16"/>
  <c r="J567" i="16"/>
  <c r="H568" i="16"/>
  <c r="F569" i="16"/>
  <c r="D570" i="16"/>
  <c r="B571" i="16"/>
  <c r="J571" i="16"/>
  <c r="H572" i="16"/>
  <c r="F573" i="16"/>
  <c r="D574" i="16"/>
  <c r="B575" i="16"/>
  <c r="J575" i="16"/>
  <c r="H576" i="16"/>
  <c r="F577" i="16"/>
  <c r="D578" i="16"/>
  <c r="B579" i="16"/>
  <c r="J579" i="16"/>
  <c r="H580" i="16"/>
  <c r="F581" i="16"/>
  <c r="D582" i="16"/>
  <c r="B583" i="16"/>
  <c r="C190" i="16"/>
  <c r="B242" i="16"/>
  <c r="G264" i="16"/>
  <c r="D288" i="16"/>
  <c r="I305" i="16"/>
  <c r="H319" i="16"/>
  <c r="B334" i="16"/>
  <c r="D348" i="16"/>
  <c r="C357" i="16"/>
  <c r="J366" i="16"/>
  <c r="H372" i="16"/>
  <c r="J375" i="16"/>
  <c r="D379" i="16"/>
  <c r="J382" i="16"/>
  <c r="B386" i="16"/>
  <c r="G389" i="16"/>
  <c r="K392" i="16"/>
  <c r="C396" i="16"/>
  <c r="J399" i="16"/>
  <c r="D403" i="16"/>
  <c r="F406" i="16"/>
  <c r="B410" i="16"/>
  <c r="G413" i="16"/>
  <c r="I416" i="16"/>
  <c r="C420" i="16"/>
  <c r="J423" i="16"/>
  <c r="B427" i="16"/>
  <c r="F430" i="16"/>
  <c r="B434" i="16"/>
  <c r="D437" i="16"/>
  <c r="I440" i="16"/>
  <c r="C444" i="16"/>
  <c r="E447" i="16"/>
  <c r="D450" i="16"/>
  <c r="E451" i="16"/>
  <c r="I452" i="16"/>
  <c r="C454" i="16"/>
  <c r="D455" i="16"/>
  <c r="H456" i="16"/>
  <c r="I457" i="16"/>
  <c r="C459" i="16"/>
  <c r="G460" i="16"/>
  <c r="H461" i="16"/>
  <c r="B463" i="16"/>
  <c r="C464" i="16"/>
  <c r="G465" i="16"/>
  <c r="K466" i="16"/>
  <c r="B468" i="16"/>
  <c r="F469" i="16"/>
  <c r="G470" i="16"/>
  <c r="K471" i="16"/>
  <c r="E473" i="16"/>
  <c r="F474" i="16"/>
  <c r="J475" i="16"/>
  <c r="K476" i="16"/>
  <c r="E478" i="16"/>
  <c r="I479" i="16"/>
  <c r="J480" i="16"/>
  <c r="D482" i="16"/>
  <c r="E483" i="16"/>
  <c r="I484" i="16"/>
  <c r="C486" i="16"/>
  <c r="D487" i="16"/>
  <c r="H488" i="16"/>
  <c r="I489" i="16"/>
  <c r="C491" i="16"/>
  <c r="G492" i="16"/>
  <c r="H493" i="16"/>
  <c r="B495" i="16"/>
  <c r="C496" i="16"/>
  <c r="G497" i="16"/>
  <c r="K498" i="16"/>
  <c r="B500" i="16"/>
  <c r="F501" i="16"/>
  <c r="G502" i="16"/>
  <c r="K503" i="16"/>
  <c r="E505" i="16"/>
  <c r="F506" i="16"/>
  <c r="J507" i="16"/>
  <c r="K508" i="16"/>
  <c r="E510" i="16"/>
  <c r="I511" i="16"/>
  <c r="J512" i="16"/>
  <c r="D514" i="16"/>
  <c r="C515" i="16"/>
  <c r="K515" i="16"/>
  <c r="I516" i="16"/>
  <c r="G517" i="16"/>
  <c r="E518" i="16"/>
  <c r="C519" i="16"/>
  <c r="K519" i="16"/>
  <c r="I520" i="16"/>
  <c r="G521" i="16"/>
  <c r="E522" i="16"/>
  <c r="C523" i="16"/>
  <c r="K523" i="16"/>
  <c r="I524" i="16"/>
  <c r="G525" i="16"/>
  <c r="E526" i="16"/>
  <c r="C527" i="16"/>
  <c r="K527" i="16"/>
  <c r="I528" i="16"/>
  <c r="G529" i="16"/>
  <c r="E530" i="16"/>
  <c r="C531" i="16"/>
  <c r="K531" i="16"/>
  <c r="I532" i="16"/>
  <c r="G533" i="16"/>
  <c r="E534" i="16"/>
  <c r="C535" i="16"/>
  <c r="K535" i="16"/>
  <c r="I536" i="16"/>
  <c r="G537" i="16"/>
  <c r="E538" i="16"/>
  <c r="C539" i="16"/>
  <c r="K539" i="16"/>
  <c r="I540" i="16"/>
  <c r="G541" i="16"/>
  <c r="E542" i="16"/>
  <c r="C543" i="16"/>
  <c r="K543" i="16"/>
  <c r="I544" i="16"/>
  <c r="G545" i="16"/>
  <c r="E546" i="16"/>
  <c r="C547" i="16"/>
  <c r="K547" i="16"/>
  <c r="I548" i="16"/>
  <c r="G549" i="16"/>
  <c r="E550" i="16"/>
  <c r="C551" i="16"/>
  <c r="K551" i="16"/>
  <c r="I552" i="16"/>
  <c r="G553" i="16"/>
  <c r="E554" i="16"/>
  <c r="C555" i="16"/>
  <c r="K555" i="16"/>
  <c r="I556" i="16"/>
  <c r="G557" i="16"/>
  <c r="E558" i="16"/>
  <c r="C559" i="16"/>
  <c r="K559" i="16"/>
  <c r="I560" i="16"/>
  <c r="G561" i="16"/>
  <c r="E562" i="16"/>
  <c r="C563" i="16"/>
  <c r="K563" i="16"/>
  <c r="I564" i="16"/>
  <c r="G565" i="16"/>
  <c r="E566" i="16"/>
  <c r="C567" i="16"/>
  <c r="K567" i="16"/>
  <c r="I568" i="16"/>
  <c r="G569" i="16"/>
  <c r="E570" i="16"/>
  <c r="C571" i="16"/>
  <c r="K571" i="16"/>
  <c r="I572" i="16"/>
  <c r="G573" i="16"/>
  <c r="E574" i="16"/>
  <c r="C575" i="16"/>
  <c r="K575" i="16"/>
  <c r="I576" i="16"/>
  <c r="G577" i="16"/>
  <c r="E578" i="16"/>
  <c r="C579" i="16"/>
  <c r="K579" i="16"/>
  <c r="I580" i="16"/>
  <c r="G581" i="16"/>
  <c r="E582" i="16"/>
  <c r="C583" i="16"/>
  <c r="C122" i="16"/>
  <c r="G268" i="16"/>
  <c r="I313" i="16"/>
  <c r="H351" i="16"/>
  <c r="J372" i="16"/>
  <c r="G381" i="16"/>
  <c r="J390" i="16"/>
  <c r="B400" i="16"/>
  <c r="I408" i="16"/>
  <c r="B418" i="16"/>
  <c r="H427" i="16"/>
  <c r="K435" i="16"/>
  <c r="G445" i="16"/>
  <c r="I451" i="16"/>
  <c r="K454" i="16"/>
  <c r="E458" i="16"/>
  <c r="I461" i="16"/>
  <c r="K464" i="16"/>
  <c r="H468" i="16"/>
  <c r="B472" i="16"/>
  <c r="D475" i="16"/>
  <c r="K478" i="16"/>
  <c r="E482" i="16"/>
  <c r="G485" i="16"/>
  <c r="K488" i="16"/>
  <c r="H492" i="16"/>
  <c r="J495" i="16"/>
  <c r="D499" i="16"/>
  <c r="K502" i="16"/>
  <c r="C506" i="16"/>
  <c r="G509" i="16"/>
  <c r="K512" i="16"/>
  <c r="H515" i="16"/>
  <c r="J517" i="16"/>
  <c r="B520" i="16"/>
  <c r="B522" i="16"/>
  <c r="D524" i="16"/>
  <c r="F526" i="16"/>
  <c r="F528" i="16"/>
  <c r="H530" i="16"/>
  <c r="J532" i="16"/>
  <c r="J534" i="16"/>
  <c r="B537" i="16"/>
  <c r="D539" i="16"/>
  <c r="D541" i="16"/>
  <c r="F543" i="16"/>
  <c r="H545" i="16"/>
  <c r="H547" i="16"/>
  <c r="J549" i="16"/>
  <c r="B552" i="16"/>
  <c r="B554" i="16"/>
  <c r="D556" i="16"/>
  <c r="F558" i="16"/>
  <c r="F560" i="16"/>
  <c r="H562" i="16"/>
  <c r="J564" i="16"/>
  <c r="J566" i="16"/>
  <c r="B569" i="16"/>
  <c r="D571" i="16"/>
  <c r="D573" i="16"/>
  <c r="F575" i="16"/>
  <c r="H577" i="16"/>
  <c r="H579" i="16"/>
  <c r="J581" i="16"/>
  <c r="G583" i="16"/>
  <c r="E584" i="16"/>
  <c r="C585" i="16"/>
  <c r="K585" i="16"/>
  <c r="I586" i="16"/>
  <c r="G587" i="16"/>
  <c r="E588" i="16"/>
  <c r="C589" i="16"/>
  <c r="K589" i="16"/>
  <c r="I590" i="16"/>
  <c r="G591" i="16"/>
  <c r="E592" i="16"/>
  <c r="C593" i="16"/>
  <c r="K593" i="16"/>
  <c r="I594" i="16"/>
  <c r="G595" i="16"/>
  <c r="E596" i="16"/>
  <c r="C597" i="16"/>
  <c r="K597" i="16"/>
  <c r="I598" i="16"/>
  <c r="G599" i="16"/>
  <c r="E600" i="16"/>
  <c r="C601" i="16"/>
  <c r="K601" i="16"/>
  <c r="I602" i="16"/>
  <c r="G603" i="16"/>
  <c r="E604" i="16"/>
  <c r="C605" i="16"/>
  <c r="K605" i="16"/>
  <c r="I606" i="16"/>
  <c r="G607" i="16"/>
  <c r="E608" i="16"/>
  <c r="C609" i="16"/>
  <c r="K609" i="16"/>
  <c r="I610" i="16"/>
  <c r="G611" i="16"/>
  <c r="E612" i="16"/>
  <c r="C613" i="16"/>
  <c r="K613" i="16"/>
  <c r="I614" i="16"/>
  <c r="G615" i="16"/>
  <c r="E616" i="16"/>
  <c r="C617" i="16"/>
  <c r="K617" i="16"/>
  <c r="I618" i="16"/>
  <c r="G619" i="16"/>
  <c r="E620" i="16"/>
  <c r="C621" i="16"/>
  <c r="K621" i="16"/>
  <c r="I622" i="16"/>
  <c r="G623" i="16"/>
  <c r="E624" i="16"/>
  <c r="C625" i="16"/>
  <c r="K625" i="16"/>
  <c r="I626" i="16"/>
  <c r="G627" i="16"/>
  <c r="E628" i="16"/>
  <c r="C629" i="16"/>
  <c r="K629" i="16"/>
  <c r="I630" i="16"/>
  <c r="G631" i="16"/>
  <c r="E632" i="16"/>
  <c r="C633" i="16"/>
  <c r="K633" i="16"/>
  <c r="I634" i="16"/>
  <c r="G635" i="16"/>
  <c r="E636" i="16"/>
  <c r="C637" i="16"/>
  <c r="K637" i="16"/>
  <c r="I638" i="16"/>
  <c r="G639" i="16"/>
  <c r="E640" i="16"/>
  <c r="C641" i="16"/>
  <c r="K641" i="16"/>
  <c r="I642" i="16"/>
  <c r="G643" i="16"/>
  <c r="E644" i="16"/>
  <c r="C645" i="16"/>
  <c r="K645" i="16"/>
  <c r="I646" i="16"/>
  <c r="G647" i="16"/>
  <c r="E648" i="16"/>
  <c r="C649" i="16"/>
  <c r="K649" i="16"/>
  <c r="I650" i="16"/>
  <c r="G651" i="16"/>
  <c r="E652" i="16"/>
  <c r="C653" i="16"/>
  <c r="K653" i="16"/>
  <c r="I654" i="16"/>
  <c r="G655" i="16"/>
  <c r="E656" i="16"/>
  <c r="C657" i="16"/>
  <c r="K657" i="16"/>
  <c r="I658" i="16"/>
  <c r="G659" i="16"/>
  <c r="E660" i="16"/>
  <c r="C661" i="16"/>
  <c r="K661" i="16"/>
  <c r="I662" i="16"/>
  <c r="G663" i="16"/>
  <c r="E664" i="16"/>
  <c r="C665" i="16"/>
  <c r="K665" i="16"/>
  <c r="I666" i="16"/>
  <c r="G667" i="16"/>
  <c r="E668" i="16"/>
  <c r="D194" i="16"/>
  <c r="J278" i="16"/>
  <c r="C325" i="16"/>
  <c r="E359" i="16"/>
  <c r="F374" i="16"/>
  <c r="B384" i="16"/>
  <c r="F393" i="16"/>
  <c r="B402" i="16"/>
  <c r="D411" i="16"/>
  <c r="H420" i="16"/>
  <c r="D429" i="16"/>
  <c r="F438" i="16"/>
  <c r="B448" i="16"/>
  <c r="C452" i="16"/>
  <c r="J455" i="16"/>
  <c r="D459" i="16"/>
  <c r="F462" i="16"/>
  <c r="C466" i="16"/>
  <c r="G469" i="16"/>
  <c r="I472" i="16"/>
  <c r="C476" i="16"/>
  <c r="J479" i="16"/>
  <c r="B483" i="16"/>
  <c r="F486" i="16"/>
  <c r="C490" i="16"/>
  <c r="E493" i="16"/>
  <c r="I496" i="16"/>
  <c r="C500" i="16"/>
  <c r="E503" i="16"/>
  <c r="B507" i="16"/>
  <c r="F510" i="16"/>
  <c r="H513" i="16"/>
  <c r="D516" i="16"/>
  <c r="F518" i="16"/>
  <c r="F520" i="16"/>
  <c r="H522" i="16"/>
  <c r="J524" i="16"/>
  <c r="J526" i="16"/>
  <c r="B529" i="16"/>
  <c r="D531" i="16"/>
  <c r="D533" i="16"/>
  <c r="F535" i="16"/>
  <c r="H537" i="16"/>
  <c r="H539" i="16"/>
  <c r="J541" i="16"/>
  <c r="B544" i="16"/>
  <c r="B546" i="16"/>
  <c r="D548" i="16"/>
  <c r="F550" i="16"/>
  <c r="F552" i="16"/>
  <c r="H554" i="16"/>
  <c r="J556" i="16"/>
  <c r="J558" i="16"/>
  <c r="B561" i="16"/>
  <c r="D563" i="16"/>
  <c r="D565" i="16"/>
  <c r="F567" i="16"/>
  <c r="H569" i="16"/>
  <c r="H571" i="16"/>
  <c r="J573" i="16"/>
  <c r="B576" i="16"/>
  <c r="B578" i="16"/>
  <c r="D580" i="16"/>
  <c r="F582" i="16"/>
  <c r="I583" i="16"/>
  <c r="G584" i="16"/>
  <c r="E585" i="16"/>
  <c r="C586" i="16"/>
  <c r="K586" i="16"/>
  <c r="I587" i="16"/>
  <c r="G588" i="16"/>
  <c r="E589" i="16"/>
  <c r="C590" i="16"/>
  <c r="K590" i="16"/>
  <c r="I591" i="16"/>
  <c r="G592" i="16"/>
  <c r="E593" i="16"/>
  <c r="C594" i="16"/>
  <c r="K594" i="16"/>
  <c r="I595" i="16"/>
  <c r="G596" i="16"/>
  <c r="E597" i="16"/>
  <c r="C598" i="16"/>
  <c r="K598" i="16"/>
  <c r="I599" i="16"/>
  <c r="G600" i="16"/>
  <c r="E601" i="16"/>
  <c r="C602" i="16"/>
  <c r="K602" i="16"/>
  <c r="I603" i="16"/>
  <c r="G604" i="16"/>
  <c r="E605" i="16"/>
  <c r="C606" i="16"/>
  <c r="K606" i="16"/>
  <c r="I607" i="16"/>
  <c r="G608" i="16"/>
  <c r="E609" i="16"/>
  <c r="C610" i="16"/>
  <c r="K610" i="16"/>
  <c r="I611" i="16"/>
  <c r="G612" i="16"/>
  <c r="E613" i="16"/>
  <c r="C614" i="16"/>
  <c r="K614" i="16"/>
  <c r="I615" i="16"/>
  <c r="G616" i="16"/>
  <c r="E617" i="16"/>
  <c r="C618" i="16"/>
  <c r="K618" i="16"/>
  <c r="I619" i="16"/>
  <c r="G620" i="16"/>
  <c r="E621" i="16"/>
  <c r="C622" i="16"/>
  <c r="K622" i="16"/>
  <c r="I623" i="16"/>
  <c r="G624" i="16"/>
  <c r="E625" i="16"/>
  <c r="C626" i="16"/>
  <c r="K626" i="16"/>
  <c r="I627" i="16"/>
  <c r="G628" i="16"/>
  <c r="E629" i="16"/>
  <c r="C630" i="16"/>
  <c r="K630" i="16"/>
  <c r="I631" i="16"/>
  <c r="G632" i="16"/>
  <c r="E633" i="16"/>
  <c r="C634" i="16"/>
  <c r="K634" i="16"/>
  <c r="I635" i="16"/>
  <c r="G636" i="16"/>
  <c r="E637" i="16"/>
  <c r="C638" i="16"/>
  <c r="K638" i="16"/>
  <c r="I639" i="16"/>
  <c r="G640" i="16"/>
  <c r="E641" i="16"/>
  <c r="C642" i="16"/>
  <c r="K642" i="16"/>
  <c r="I643" i="16"/>
  <c r="G644" i="16"/>
  <c r="E645" i="16"/>
  <c r="C646" i="16"/>
  <c r="K646" i="16"/>
  <c r="I647" i="16"/>
  <c r="G648" i="16"/>
  <c r="E649" i="16"/>
  <c r="C650" i="16"/>
  <c r="K650" i="16"/>
  <c r="I651" i="16"/>
  <c r="G652" i="16"/>
  <c r="E653" i="16"/>
  <c r="C654" i="16"/>
  <c r="K654" i="16"/>
  <c r="I655" i="16"/>
  <c r="G656" i="16"/>
  <c r="E657" i="16"/>
  <c r="C658" i="16"/>
  <c r="K658" i="16"/>
  <c r="I659" i="16"/>
  <c r="G660" i="16"/>
  <c r="E661" i="16"/>
  <c r="C662" i="16"/>
  <c r="K662" i="16"/>
  <c r="I663" i="16"/>
  <c r="G664" i="16"/>
  <c r="E665" i="16"/>
  <c r="C666" i="16"/>
  <c r="K666" i="16"/>
  <c r="I667" i="16"/>
  <c r="E228" i="16"/>
  <c r="G296" i="16"/>
  <c r="C336" i="16"/>
  <c r="F363" i="16"/>
  <c r="K376" i="16"/>
  <c r="G386" i="16"/>
  <c r="B395" i="16"/>
  <c r="H404" i="16"/>
  <c r="I413" i="16"/>
  <c r="F422" i="16"/>
  <c r="J431" i="16"/>
  <c r="K440" i="16"/>
  <c r="G449" i="16"/>
  <c r="E453" i="16"/>
  <c r="I456" i="16"/>
  <c r="K459" i="16"/>
  <c r="E463" i="16"/>
  <c r="B467" i="16"/>
  <c r="D470" i="16"/>
  <c r="H473" i="16"/>
  <c r="E477" i="16"/>
  <c r="G480" i="16"/>
  <c r="K483" i="16"/>
  <c r="E487" i="16"/>
  <c r="G490" i="16"/>
  <c r="D494" i="16"/>
  <c r="H497" i="16"/>
  <c r="J500" i="16"/>
  <c r="G504" i="16"/>
  <c r="K507" i="16"/>
  <c r="C511" i="16"/>
  <c r="G514" i="16"/>
  <c r="J516" i="16"/>
  <c r="J518" i="16"/>
  <c r="B521" i="16"/>
  <c r="D523" i="16"/>
  <c r="D525" i="16"/>
  <c r="F527" i="16"/>
  <c r="H529" i="16"/>
  <c r="H531" i="16"/>
  <c r="J533" i="16"/>
  <c r="B536" i="16"/>
  <c r="B538" i="16"/>
  <c r="D540" i="16"/>
  <c r="F542" i="16"/>
  <c r="F544" i="16"/>
  <c r="H546" i="16"/>
  <c r="J548" i="16"/>
  <c r="J550" i="16"/>
  <c r="B553" i="16"/>
  <c r="D555" i="16"/>
  <c r="D557" i="16"/>
  <c r="F559" i="16"/>
  <c r="H561" i="16"/>
  <c r="H563" i="16"/>
  <c r="J565" i="16"/>
  <c r="B568" i="16"/>
  <c r="B570" i="16"/>
  <c r="D572" i="16"/>
  <c r="F574" i="16"/>
  <c r="F576" i="16"/>
  <c r="H578" i="16"/>
  <c r="J580" i="16"/>
  <c r="J582" i="16"/>
  <c r="K583" i="16"/>
  <c r="I584" i="16"/>
  <c r="G585" i="16"/>
  <c r="E586" i="16"/>
  <c r="C587" i="16"/>
  <c r="K587" i="16"/>
  <c r="I588" i="16"/>
  <c r="G589" i="16"/>
  <c r="E590" i="16"/>
  <c r="C591" i="16"/>
  <c r="K591" i="16"/>
  <c r="I592" i="16"/>
  <c r="G593" i="16"/>
  <c r="E594" i="16"/>
  <c r="C595" i="16"/>
  <c r="K595" i="16"/>
  <c r="I596" i="16"/>
  <c r="G597" i="16"/>
  <c r="E598" i="16"/>
  <c r="C599" i="16"/>
  <c r="K599" i="16"/>
  <c r="I600" i="16"/>
  <c r="G601" i="16"/>
  <c r="E602" i="16"/>
  <c r="C603" i="16"/>
  <c r="K603" i="16"/>
  <c r="I604" i="16"/>
  <c r="G605" i="16"/>
  <c r="E606" i="16"/>
  <c r="C607" i="16"/>
  <c r="K607" i="16"/>
  <c r="I608" i="16"/>
  <c r="G609" i="16"/>
  <c r="E610" i="16"/>
  <c r="C611" i="16"/>
  <c r="K611" i="16"/>
  <c r="I612" i="16"/>
  <c r="G613" i="16"/>
  <c r="E614" i="16"/>
  <c r="C615" i="16"/>
  <c r="K615" i="16"/>
  <c r="I616" i="16"/>
  <c r="G617" i="16"/>
  <c r="E618" i="16"/>
  <c r="C619" i="16"/>
  <c r="K619" i="16"/>
  <c r="I620" i="16"/>
  <c r="G621" i="16"/>
  <c r="E622" i="16"/>
  <c r="C623" i="16"/>
  <c r="K623" i="16"/>
  <c r="I624" i="16"/>
  <c r="G625" i="16"/>
  <c r="E626" i="16"/>
  <c r="C627" i="16"/>
  <c r="K627" i="16"/>
  <c r="I628" i="16"/>
  <c r="G629" i="16"/>
  <c r="E630" i="16"/>
  <c r="C631" i="16"/>
  <c r="K631" i="16"/>
  <c r="I632" i="16"/>
  <c r="G633" i="16"/>
  <c r="E634" i="16"/>
  <c r="C635" i="16"/>
  <c r="K635" i="16"/>
  <c r="I636" i="16"/>
  <c r="G637" i="16"/>
  <c r="E638" i="16"/>
  <c r="C639" i="16"/>
  <c r="K639" i="16"/>
  <c r="I640" i="16"/>
  <c r="G641" i="16"/>
  <c r="E642" i="16"/>
  <c r="C643" i="16"/>
  <c r="K643" i="16"/>
  <c r="I644" i="16"/>
  <c r="G645" i="16"/>
  <c r="E646" i="16"/>
  <c r="C647" i="16"/>
  <c r="K647" i="16"/>
  <c r="I648" i="16"/>
  <c r="G649" i="16"/>
  <c r="E650" i="16"/>
  <c r="C651" i="16"/>
  <c r="K651" i="16"/>
  <c r="I652" i="16"/>
  <c r="G653" i="16"/>
  <c r="E654" i="16"/>
  <c r="C655" i="16"/>
  <c r="K655" i="16"/>
  <c r="I656" i="16"/>
  <c r="G657" i="16"/>
  <c r="E658" i="16"/>
  <c r="C659" i="16"/>
  <c r="K659" i="16"/>
  <c r="I660" i="16"/>
  <c r="G661" i="16"/>
  <c r="E662" i="16"/>
  <c r="C663" i="16"/>
  <c r="K663" i="16"/>
  <c r="I664" i="16"/>
  <c r="G665" i="16"/>
  <c r="E666" i="16"/>
  <c r="C667" i="16"/>
  <c r="K667" i="16"/>
  <c r="I668" i="16"/>
  <c r="G669" i="16"/>
  <c r="E670" i="16"/>
  <c r="F244" i="16"/>
  <c r="G300" i="16"/>
  <c r="D340" i="16"/>
  <c r="F367" i="16"/>
  <c r="B378" i="16"/>
  <c r="D387" i="16"/>
  <c r="J396" i="16"/>
  <c r="D405" i="16"/>
  <c r="J414" i="16"/>
  <c r="B424" i="16"/>
  <c r="I432" i="16"/>
  <c r="B442" i="16"/>
  <c r="E450" i="16"/>
  <c r="G453" i="16"/>
  <c r="K456" i="16"/>
  <c r="H460" i="16"/>
  <c r="J463" i="16"/>
  <c r="D467" i="16"/>
  <c r="K470" i="16"/>
  <c r="C474" i="16"/>
  <c r="G477" i="16"/>
  <c r="K480" i="16"/>
  <c r="C484" i="16"/>
  <c r="J487" i="16"/>
  <c r="D491" i="16"/>
  <c r="F494" i="16"/>
  <c r="C498" i="16"/>
  <c r="G501" i="16"/>
  <c r="I504" i="16"/>
  <c r="C508" i="16"/>
  <c r="J511" i="16"/>
  <c r="J514" i="16"/>
  <c r="B517" i="16"/>
  <c r="D519" i="16"/>
  <c r="D521" i="16"/>
  <c r="F523" i="16"/>
  <c r="H525" i="16"/>
  <c r="H527" i="16"/>
  <c r="J529" i="16"/>
  <c r="B532" i="16"/>
  <c r="B534" i="16"/>
  <c r="D536" i="16"/>
  <c r="F538" i="16"/>
  <c r="F540" i="16"/>
  <c r="H542" i="16"/>
  <c r="J544" i="16"/>
  <c r="J546" i="16"/>
  <c r="B549" i="16"/>
  <c r="D551" i="16"/>
  <c r="D553" i="16"/>
  <c r="F555" i="16"/>
  <c r="H557" i="16"/>
  <c r="H559" i="16"/>
  <c r="J561" i="16"/>
  <c r="B564" i="16"/>
  <c r="B566" i="16"/>
  <c r="D568" i="16"/>
  <c r="F570" i="16"/>
  <c r="F572" i="16"/>
  <c r="H574" i="16"/>
  <c r="J576" i="16"/>
  <c r="J578" i="16"/>
  <c r="B581" i="16"/>
  <c r="D583" i="16"/>
  <c r="B584" i="16"/>
  <c r="J584" i="16"/>
  <c r="H585" i="16"/>
  <c r="F586" i="16"/>
  <c r="D587" i="16"/>
  <c r="B588" i="16"/>
  <c r="J588" i="16"/>
  <c r="H589" i="16"/>
  <c r="F590" i="16"/>
  <c r="D591" i="16"/>
  <c r="B592" i="16"/>
  <c r="J592" i="16"/>
  <c r="H593" i="16"/>
  <c r="F594" i="16"/>
  <c r="D595" i="16"/>
  <c r="B596" i="16"/>
  <c r="J596" i="16"/>
  <c r="H597" i="16"/>
  <c r="F598" i="16"/>
  <c r="D599" i="16"/>
  <c r="B600" i="16"/>
  <c r="J600" i="16"/>
  <c r="H601" i="16"/>
  <c r="F602" i="16"/>
  <c r="D603" i="16"/>
  <c r="B604" i="16"/>
  <c r="J604" i="16"/>
  <c r="H605" i="16"/>
  <c r="F606" i="16"/>
  <c r="D607" i="16"/>
  <c r="B608" i="16"/>
  <c r="J608" i="16"/>
  <c r="H609" i="16"/>
  <c r="F610" i="16"/>
  <c r="D611" i="16"/>
  <c r="B612" i="16"/>
  <c r="J612" i="16"/>
  <c r="H613" i="16"/>
  <c r="F614" i="16"/>
  <c r="D615" i="16"/>
  <c r="B616" i="16"/>
  <c r="J616" i="16"/>
  <c r="H617" i="16"/>
  <c r="F618" i="16"/>
  <c r="D619" i="16"/>
  <c r="B620" i="16"/>
  <c r="J620" i="16"/>
  <c r="H621" i="16"/>
  <c r="F622" i="16"/>
  <c r="D623" i="16"/>
  <c r="B624" i="16"/>
  <c r="J624" i="16"/>
  <c r="H625" i="16"/>
  <c r="F626" i="16"/>
  <c r="D627" i="16"/>
  <c r="B628" i="16"/>
  <c r="J628" i="16"/>
  <c r="H629" i="16"/>
  <c r="F630" i="16"/>
  <c r="D631" i="16"/>
  <c r="B632" i="16"/>
  <c r="J632" i="16"/>
  <c r="H633" i="16"/>
  <c r="F634" i="16"/>
  <c r="D635" i="16"/>
  <c r="B636" i="16"/>
  <c r="J636" i="16"/>
  <c r="H637" i="16"/>
  <c r="F638" i="16"/>
  <c r="D639" i="16"/>
  <c r="B640" i="16"/>
  <c r="J640" i="16"/>
  <c r="H641" i="16"/>
  <c r="F642" i="16"/>
  <c r="D643" i="16"/>
  <c r="B644" i="16"/>
  <c r="J644" i="16"/>
  <c r="H645" i="16"/>
  <c r="F646" i="16"/>
  <c r="D647" i="16"/>
  <c r="B648" i="16"/>
  <c r="J648" i="16"/>
  <c r="H649" i="16"/>
  <c r="F650" i="16"/>
  <c r="D651" i="16"/>
  <c r="B652" i="16"/>
  <c r="J652" i="16"/>
  <c r="H653" i="16"/>
  <c r="F654" i="16"/>
  <c r="D655" i="16"/>
  <c r="B656" i="16"/>
  <c r="J656" i="16"/>
  <c r="H657" i="16"/>
  <c r="F658" i="16"/>
  <c r="D659" i="16"/>
  <c r="B660" i="16"/>
  <c r="J660" i="16"/>
  <c r="H661" i="16"/>
  <c r="F662" i="16"/>
  <c r="D663" i="16"/>
  <c r="B664" i="16"/>
  <c r="J664" i="16"/>
  <c r="H665" i="16"/>
  <c r="F666" i="16"/>
  <c r="D667" i="16"/>
  <c r="B668" i="16"/>
  <c r="J668" i="16"/>
  <c r="H669" i="16"/>
  <c r="H251" i="16"/>
  <c r="E307" i="16"/>
  <c r="D344" i="16"/>
  <c r="I369" i="16"/>
  <c r="H379" i="16"/>
  <c r="C388" i="16"/>
  <c r="G397" i="16"/>
  <c r="C407" i="16"/>
  <c r="E415" i="16"/>
  <c r="K424" i="16"/>
  <c r="E434" i="16"/>
  <c r="B443" i="16"/>
  <c r="G450" i="16"/>
  <c r="D454" i="16"/>
  <c r="F457" i="16"/>
  <c r="J460" i="16"/>
  <c r="G464" i="16"/>
  <c r="I467" i="16"/>
  <c r="C471" i="16"/>
  <c r="G474" i="16"/>
  <c r="I477" i="16"/>
  <c r="F481" i="16"/>
  <c r="J484" i="16"/>
  <c r="B488" i="16"/>
  <c r="I491" i="16"/>
  <c r="C495" i="16"/>
  <c r="E498" i="16"/>
  <c r="I501" i="16"/>
  <c r="F505" i="16"/>
  <c r="H508" i="16"/>
  <c r="B512" i="16"/>
  <c r="D515" i="16"/>
  <c r="D517" i="16"/>
  <c r="F519" i="16"/>
  <c r="H521" i="16"/>
  <c r="H523" i="16"/>
  <c r="J525" i="16"/>
  <c r="B528" i="16"/>
  <c r="B530" i="16"/>
  <c r="D532" i="16"/>
  <c r="F534" i="16"/>
  <c r="F536" i="16"/>
  <c r="H538" i="16"/>
  <c r="J540" i="16"/>
  <c r="J542" i="16"/>
  <c r="B545" i="16"/>
  <c r="D547" i="16"/>
  <c r="D549" i="16"/>
  <c r="F551" i="16"/>
  <c r="H553" i="16"/>
  <c r="H555" i="16"/>
  <c r="J557" i="16"/>
  <c r="B560" i="16"/>
  <c r="B562" i="16"/>
  <c r="D564" i="16"/>
  <c r="F566" i="16"/>
  <c r="F568" i="16"/>
  <c r="H570" i="16"/>
  <c r="J572" i="16"/>
  <c r="J574" i="16"/>
  <c r="B577" i="16"/>
  <c r="D579" i="16"/>
  <c r="D581" i="16"/>
  <c r="E583" i="16"/>
  <c r="C584" i="16"/>
  <c r="K584" i="16"/>
  <c r="I585" i="16"/>
  <c r="G586" i="16"/>
  <c r="E587" i="16"/>
  <c r="C588" i="16"/>
  <c r="K588" i="16"/>
  <c r="I589" i="16"/>
  <c r="G590" i="16"/>
  <c r="E591" i="16"/>
  <c r="C592" i="16"/>
  <c r="K592" i="16"/>
  <c r="I593" i="16"/>
  <c r="G594" i="16"/>
  <c r="E595" i="16"/>
  <c r="C596" i="16"/>
  <c r="K596" i="16"/>
  <c r="I597" i="16"/>
  <c r="G598" i="16"/>
  <c r="E599" i="16"/>
  <c r="C600" i="16"/>
  <c r="K600" i="16"/>
  <c r="I601" i="16"/>
  <c r="G602" i="16"/>
  <c r="E603" i="16"/>
  <c r="C604" i="16"/>
  <c r="K604" i="16"/>
  <c r="I605" i="16"/>
  <c r="G606" i="16"/>
  <c r="E607" i="16"/>
  <c r="C608" i="16"/>
  <c r="K608" i="16"/>
  <c r="I609" i="16"/>
  <c r="G610" i="16"/>
  <c r="E611" i="16"/>
  <c r="C612" i="16"/>
  <c r="K612" i="16"/>
  <c r="I613" i="16"/>
  <c r="G614" i="16"/>
  <c r="E615" i="16"/>
  <c r="C616" i="16"/>
  <c r="K616" i="16"/>
  <c r="I617" i="16"/>
  <c r="G618" i="16"/>
  <c r="E619" i="16"/>
  <c r="C620" i="16"/>
  <c r="K620" i="16"/>
  <c r="I621" i="16"/>
  <c r="G622" i="16"/>
  <c r="E623" i="16"/>
  <c r="C624" i="16"/>
  <c r="K624" i="16"/>
  <c r="I625" i="16"/>
  <c r="G626" i="16"/>
  <c r="E627" i="16"/>
  <c r="C628" i="16"/>
  <c r="K628" i="16"/>
  <c r="I629" i="16"/>
  <c r="G630" i="16"/>
  <c r="E631" i="16"/>
  <c r="C632" i="16"/>
  <c r="K632" i="16"/>
  <c r="I633" i="16"/>
  <c r="G634" i="16"/>
  <c r="E635" i="16"/>
  <c r="C636" i="16"/>
  <c r="K636" i="16"/>
  <c r="I637" i="16"/>
  <c r="G638" i="16"/>
  <c r="E639" i="16"/>
  <c r="C640" i="16"/>
  <c r="K640" i="16"/>
  <c r="I641" i="16"/>
  <c r="G642" i="16"/>
  <c r="E643" i="16"/>
  <c r="C644" i="16"/>
  <c r="K644" i="16"/>
  <c r="I645" i="16"/>
  <c r="G646" i="16"/>
  <c r="E647" i="16"/>
  <c r="C648" i="16"/>
  <c r="K648" i="16"/>
  <c r="I649" i="16"/>
  <c r="G650" i="16"/>
  <c r="E651" i="16"/>
  <c r="C652" i="16"/>
  <c r="K652" i="16"/>
  <c r="I653" i="16"/>
  <c r="G654" i="16"/>
  <c r="E655" i="16"/>
  <c r="C656" i="16"/>
  <c r="K656" i="16"/>
  <c r="I657" i="16"/>
  <c r="G658" i="16"/>
  <c r="E659" i="16"/>
  <c r="C660" i="16"/>
  <c r="K660" i="16"/>
  <c r="I661" i="16"/>
  <c r="G662" i="16"/>
  <c r="E663" i="16"/>
  <c r="C664" i="16"/>
  <c r="K664" i="16"/>
  <c r="I665" i="16"/>
  <c r="G666" i="16"/>
  <c r="E667" i="16"/>
  <c r="C668" i="16"/>
  <c r="K668" i="16"/>
  <c r="I669" i="16"/>
  <c r="C152" i="16"/>
  <c r="G348" i="16"/>
  <c r="I384" i="16"/>
  <c r="E410" i="16"/>
  <c r="D435" i="16"/>
  <c r="J452" i="16"/>
  <c r="D462" i="16"/>
  <c r="E471" i="16"/>
  <c r="B480" i="16"/>
  <c r="F489" i="16"/>
  <c r="B499" i="16"/>
  <c r="D507" i="16"/>
  <c r="B516" i="16"/>
  <c r="J521" i="16"/>
  <c r="D527" i="16"/>
  <c r="B533" i="16"/>
  <c r="J538" i="16"/>
  <c r="D544" i="16"/>
  <c r="B550" i="16"/>
  <c r="B556" i="16"/>
  <c r="D561" i="16"/>
  <c r="D567" i="16"/>
  <c r="B573" i="16"/>
  <c r="F578" i="16"/>
  <c r="H583" i="16"/>
  <c r="J585" i="16"/>
  <c r="J587" i="16"/>
  <c r="B590" i="16"/>
  <c r="D592" i="16"/>
  <c r="D594" i="16"/>
  <c r="F596" i="16"/>
  <c r="H598" i="16"/>
  <c r="H600" i="16"/>
  <c r="J602" i="16"/>
  <c r="B605" i="16"/>
  <c r="B607" i="16"/>
  <c r="D609" i="16"/>
  <c r="F611" i="16"/>
  <c r="F613" i="16"/>
  <c r="H615" i="16"/>
  <c r="J617" i="16"/>
  <c r="J619" i="16"/>
  <c r="B622" i="16"/>
  <c r="D624" i="16"/>
  <c r="D626" i="16"/>
  <c r="F628" i="16"/>
  <c r="H630" i="16"/>
  <c r="H632" i="16"/>
  <c r="J634" i="16"/>
  <c r="B637" i="16"/>
  <c r="B639" i="16"/>
  <c r="D641" i="16"/>
  <c r="F643" i="16"/>
  <c r="F645" i="16"/>
  <c r="H647" i="16"/>
  <c r="J649" i="16"/>
  <c r="J651" i="16"/>
  <c r="B654" i="16"/>
  <c r="D656" i="16"/>
  <c r="D658" i="16"/>
  <c r="F660" i="16"/>
  <c r="H662" i="16"/>
  <c r="H664" i="16"/>
  <c r="J666" i="16"/>
  <c r="H668" i="16"/>
  <c r="B670" i="16"/>
  <c r="K670" i="16"/>
  <c r="I671" i="16"/>
  <c r="G672" i="16"/>
  <c r="E673" i="16"/>
  <c r="C674" i="16"/>
  <c r="K674" i="16"/>
  <c r="I675" i="16"/>
  <c r="G676" i="16"/>
  <c r="E677" i="16"/>
  <c r="C678" i="16"/>
  <c r="K678" i="16"/>
  <c r="I679" i="16"/>
  <c r="G680" i="16"/>
  <c r="E681" i="16"/>
  <c r="C682" i="16"/>
  <c r="K682" i="16"/>
  <c r="I683" i="16"/>
  <c r="G684" i="16"/>
  <c r="E685" i="16"/>
  <c r="C686" i="16"/>
  <c r="K686" i="16"/>
  <c r="I687" i="16"/>
  <c r="G688" i="16"/>
  <c r="E689" i="16"/>
  <c r="C690" i="16"/>
  <c r="K690" i="16"/>
  <c r="I691" i="16"/>
  <c r="G692" i="16"/>
  <c r="E693" i="16"/>
  <c r="C694" i="16"/>
  <c r="K694" i="16"/>
  <c r="I695" i="16"/>
  <c r="G696" i="16"/>
  <c r="E697" i="16"/>
  <c r="C698" i="16"/>
  <c r="K698" i="16"/>
  <c r="C217" i="16"/>
  <c r="K353" i="16"/>
  <c r="I389" i="16"/>
  <c r="C412" i="16"/>
  <c r="I437" i="16"/>
  <c r="F454" i="16"/>
  <c r="C463" i="16"/>
  <c r="G472" i="16"/>
  <c r="H481" i="16"/>
  <c r="E490" i="16"/>
  <c r="I499" i="16"/>
  <c r="E509" i="16"/>
  <c r="F516" i="16"/>
  <c r="F522" i="16"/>
  <c r="D528" i="16"/>
  <c r="H533" i="16"/>
  <c r="F539" i="16"/>
  <c r="D545" i="16"/>
  <c r="H550" i="16"/>
  <c r="F556" i="16"/>
  <c r="F562" i="16"/>
  <c r="H567" i="16"/>
  <c r="H573" i="16"/>
  <c r="F579" i="16"/>
  <c r="J583" i="16"/>
  <c r="B586" i="16"/>
  <c r="D588" i="16"/>
  <c r="D590" i="16"/>
  <c r="F592" i="16"/>
  <c r="H594" i="16"/>
  <c r="H596" i="16"/>
  <c r="J598" i="16"/>
  <c r="B601" i="16"/>
  <c r="B603" i="16"/>
  <c r="D605" i="16"/>
  <c r="F607" i="16"/>
  <c r="F609" i="16"/>
  <c r="H611" i="16"/>
  <c r="J613" i="16"/>
  <c r="J615" i="16"/>
  <c r="B618" i="16"/>
  <c r="D620" i="16"/>
  <c r="D622" i="16"/>
  <c r="F624" i="16"/>
  <c r="H626" i="16"/>
  <c r="H628" i="16"/>
  <c r="J630" i="16"/>
  <c r="B633" i="16"/>
  <c r="B635" i="16"/>
  <c r="D637" i="16"/>
  <c r="F639" i="16"/>
  <c r="F641" i="16"/>
  <c r="H643" i="16"/>
  <c r="J645" i="16"/>
  <c r="J647" i="16"/>
  <c r="B650" i="16"/>
  <c r="D652" i="16"/>
  <c r="D654" i="16"/>
  <c r="F656" i="16"/>
  <c r="H658" i="16"/>
  <c r="H660" i="16"/>
  <c r="J662" i="16"/>
  <c r="B665" i="16"/>
  <c r="B667" i="16"/>
  <c r="B669" i="16"/>
  <c r="C670" i="16"/>
  <c r="B671" i="16"/>
  <c r="J671" i="16"/>
  <c r="H672" i="16"/>
  <c r="F673" i="16"/>
  <c r="D674" i="16"/>
  <c r="B675" i="16"/>
  <c r="J675" i="16"/>
  <c r="H676" i="16"/>
  <c r="F677" i="16"/>
  <c r="D678" i="16"/>
  <c r="B679" i="16"/>
  <c r="J679" i="16"/>
  <c r="H680" i="16"/>
  <c r="F681" i="16"/>
  <c r="D682" i="16"/>
  <c r="B683" i="16"/>
  <c r="J683" i="16"/>
  <c r="H684" i="16"/>
  <c r="F685" i="16"/>
  <c r="H255" i="16"/>
  <c r="K360" i="16"/>
  <c r="J391" i="16"/>
  <c r="F417" i="16"/>
  <c r="E439" i="16"/>
  <c r="E455" i="16"/>
  <c r="I464" i="16"/>
  <c r="F473" i="16"/>
  <c r="G482" i="16"/>
  <c r="K491" i="16"/>
  <c r="H500" i="16"/>
  <c r="I509" i="16"/>
  <c r="H517" i="16"/>
  <c r="J522" i="16"/>
  <c r="J528" i="16"/>
  <c r="H534" i="16"/>
  <c r="B540" i="16"/>
  <c r="J545" i="16"/>
  <c r="H551" i="16"/>
  <c r="B557" i="16"/>
  <c r="J562" i="16"/>
  <c r="J568" i="16"/>
  <c r="B574" i="16"/>
  <c r="B580" i="16"/>
  <c r="D584" i="16"/>
  <c r="D586" i="16"/>
  <c r="F588" i="16"/>
  <c r="H590" i="16"/>
  <c r="H592" i="16"/>
  <c r="J594" i="16"/>
  <c r="B597" i="16"/>
  <c r="B599" i="16"/>
  <c r="D601" i="16"/>
  <c r="F603" i="16"/>
  <c r="F605" i="16"/>
  <c r="H607" i="16"/>
  <c r="J609" i="16"/>
  <c r="J611" i="16"/>
  <c r="B614" i="16"/>
  <c r="D616" i="16"/>
  <c r="D618" i="16"/>
  <c r="F620" i="16"/>
  <c r="H622" i="16"/>
  <c r="H624" i="16"/>
  <c r="J626" i="16"/>
  <c r="B629" i="16"/>
  <c r="B631" i="16"/>
  <c r="D633" i="16"/>
  <c r="F635" i="16"/>
  <c r="F637" i="16"/>
  <c r="H639" i="16"/>
  <c r="J641" i="16"/>
  <c r="J643" i="16"/>
  <c r="B646" i="16"/>
  <c r="D648" i="16"/>
  <c r="D650" i="16"/>
  <c r="F652" i="16"/>
  <c r="H654" i="16"/>
  <c r="H656" i="16"/>
  <c r="J658" i="16"/>
  <c r="B661" i="16"/>
  <c r="B663" i="16"/>
  <c r="D665" i="16"/>
  <c r="F667" i="16"/>
  <c r="C669" i="16"/>
  <c r="D670" i="16"/>
  <c r="C671" i="16"/>
  <c r="K671" i="16"/>
  <c r="I672" i="16"/>
  <c r="G673" i="16"/>
  <c r="E674" i="16"/>
  <c r="C675" i="16"/>
  <c r="K675" i="16"/>
  <c r="I676" i="16"/>
  <c r="G677" i="16"/>
  <c r="E678" i="16"/>
  <c r="C679" i="16"/>
  <c r="K679" i="16"/>
  <c r="I680" i="16"/>
  <c r="G681" i="16"/>
  <c r="E682" i="16"/>
  <c r="C683" i="16"/>
  <c r="K683" i="16"/>
  <c r="I684" i="16"/>
  <c r="G685" i="16"/>
  <c r="E686" i="16"/>
  <c r="C687" i="16"/>
  <c r="K687" i="16"/>
  <c r="I688" i="16"/>
  <c r="G689" i="16"/>
  <c r="E690" i="16"/>
  <c r="C691" i="16"/>
  <c r="K691" i="16"/>
  <c r="I692" i="16"/>
  <c r="G693" i="16"/>
  <c r="E694" i="16"/>
  <c r="C695" i="16"/>
  <c r="K695" i="16"/>
  <c r="I696" i="16"/>
  <c r="G697" i="16"/>
  <c r="E698" i="16"/>
  <c r="C699" i="16"/>
  <c r="E272" i="16"/>
  <c r="K370" i="16"/>
  <c r="E394" i="16"/>
  <c r="B419" i="16"/>
  <c r="H444" i="16"/>
  <c r="B456" i="16"/>
  <c r="H465" i="16"/>
  <c r="B475" i="16"/>
  <c r="I483" i="16"/>
  <c r="J492" i="16"/>
  <c r="D502" i="16"/>
  <c r="K510" i="16"/>
  <c r="B518" i="16"/>
  <c r="B524" i="16"/>
  <c r="D529" i="16"/>
  <c r="D535" i="16"/>
  <c r="B541" i="16"/>
  <c r="F546" i="16"/>
  <c r="D552" i="16"/>
  <c r="B558" i="16"/>
  <c r="F563" i="16"/>
  <c r="D569" i="16"/>
  <c r="D575" i="16"/>
  <c r="F580" i="16"/>
  <c r="F584" i="16"/>
  <c r="H586" i="16"/>
  <c r="H588" i="16"/>
  <c r="J590" i="16"/>
  <c r="B593" i="16"/>
  <c r="B595" i="16"/>
  <c r="D597" i="16"/>
  <c r="F599" i="16"/>
  <c r="F601" i="16"/>
  <c r="H603" i="16"/>
  <c r="J605" i="16"/>
  <c r="J607" i="16"/>
  <c r="B610" i="16"/>
  <c r="D612" i="16"/>
  <c r="D614" i="16"/>
  <c r="F616" i="16"/>
  <c r="H618" i="16"/>
  <c r="H620" i="16"/>
  <c r="J622" i="16"/>
  <c r="B625" i="16"/>
  <c r="B627" i="16"/>
  <c r="D629" i="16"/>
  <c r="F631" i="16"/>
  <c r="F633" i="16"/>
  <c r="H635" i="16"/>
  <c r="J637" i="16"/>
  <c r="J639" i="16"/>
  <c r="B642" i="16"/>
  <c r="D644" i="16"/>
  <c r="D646" i="16"/>
  <c r="F648" i="16"/>
  <c r="H650" i="16"/>
  <c r="H652" i="16"/>
  <c r="J654" i="16"/>
  <c r="B657" i="16"/>
  <c r="B659" i="16"/>
  <c r="D661" i="16"/>
  <c r="F663" i="16"/>
  <c r="F665" i="16"/>
  <c r="H667" i="16"/>
  <c r="D669" i="16"/>
  <c r="F670" i="16"/>
  <c r="D671" i="16"/>
  <c r="B672" i="16"/>
  <c r="J672" i="16"/>
  <c r="H673" i="16"/>
  <c r="F674" i="16"/>
  <c r="D675" i="16"/>
  <c r="B676" i="16"/>
  <c r="J676" i="16"/>
  <c r="H677" i="16"/>
  <c r="F678" i="16"/>
  <c r="D679" i="16"/>
  <c r="B680" i="16"/>
  <c r="J680" i="16"/>
  <c r="H681" i="16"/>
  <c r="F682" i="16"/>
  <c r="D683" i="16"/>
  <c r="B684" i="16"/>
  <c r="J684" i="16"/>
  <c r="H685" i="16"/>
  <c r="H290" i="16"/>
  <c r="I373" i="16"/>
  <c r="F398" i="16"/>
  <c r="G421" i="16"/>
  <c r="D446" i="16"/>
  <c r="C458" i="16"/>
  <c r="E466" i="16"/>
  <c r="K475" i="16"/>
  <c r="E485" i="16"/>
  <c r="I493" i="16"/>
  <c r="C503" i="16"/>
  <c r="G512" i="16"/>
  <c r="H518" i="16"/>
  <c r="F524" i="16"/>
  <c r="F530" i="16"/>
  <c r="H535" i="16"/>
  <c r="H541" i="16"/>
  <c r="F547" i="16"/>
  <c r="J552" i="16"/>
  <c r="H558" i="16"/>
  <c r="F564" i="16"/>
  <c r="J569" i="16"/>
  <c r="H575" i="16"/>
  <c r="H581" i="16"/>
  <c r="H584" i="16"/>
  <c r="J586" i="16"/>
  <c r="B589" i="16"/>
  <c r="B591" i="16"/>
  <c r="D593" i="16"/>
  <c r="F595" i="16"/>
  <c r="F597" i="16"/>
  <c r="H599" i="16"/>
  <c r="J601" i="16"/>
  <c r="J603" i="16"/>
  <c r="B606" i="16"/>
  <c r="D608" i="16"/>
  <c r="D610" i="16"/>
  <c r="F612" i="16"/>
  <c r="H614" i="16"/>
  <c r="H616" i="16"/>
  <c r="J618" i="16"/>
  <c r="B621" i="16"/>
  <c r="B623" i="16"/>
  <c r="D625" i="16"/>
  <c r="F627" i="16"/>
  <c r="F629" i="16"/>
  <c r="H631" i="16"/>
  <c r="J633" i="16"/>
  <c r="J635" i="16"/>
  <c r="B638" i="16"/>
  <c r="D640" i="16"/>
  <c r="D642" i="16"/>
  <c r="F644" i="16"/>
  <c r="H646" i="16"/>
  <c r="H648" i="16"/>
  <c r="J650" i="16"/>
  <c r="B653" i="16"/>
  <c r="B655" i="16"/>
  <c r="D657" i="16"/>
  <c r="F659" i="16"/>
  <c r="F661" i="16"/>
  <c r="H663" i="16"/>
  <c r="J665" i="16"/>
  <c r="J667" i="16"/>
  <c r="E669" i="16"/>
  <c r="G670" i="16"/>
  <c r="E671" i="16"/>
  <c r="C672" i="16"/>
  <c r="K672" i="16"/>
  <c r="I673" i="16"/>
  <c r="G674" i="16"/>
  <c r="E675" i="16"/>
  <c r="C676" i="16"/>
  <c r="K676" i="16"/>
  <c r="I677" i="16"/>
  <c r="G678" i="16"/>
  <c r="E679" i="16"/>
  <c r="C680" i="16"/>
  <c r="K680" i="16"/>
  <c r="I681" i="16"/>
  <c r="G682" i="16"/>
  <c r="E683" i="16"/>
  <c r="C684" i="16"/>
  <c r="K684" i="16"/>
  <c r="I685" i="16"/>
  <c r="G686" i="16"/>
  <c r="E687" i="16"/>
  <c r="C688" i="16"/>
  <c r="K688" i="16"/>
  <c r="I689" i="16"/>
  <c r="G690" i="16"/>
  <c r="E691" i="16"/>
  <c r="C692" i="16"/>
  <c r="K692" i="16"/>
  <c r="I693" i="16"/>
  <c r="G694" i="16"/>
  <c r="E695" i="16"/>
  <c r="C696" i="16"/>
  <c r="K696" i="16"/>
  <c r="I697" i="16"/>
  <c r="G698" i="16"/>
  <c r="E699" i="16"/>
  <c r="C700" i="16"/>
  <c r="K700" i="16"/>
  <c r="I701" i="16"/>
  <c r="G702" i="16"/>
  <c r="E703" i="16"/>
  <c r="C704" i="16"/>
  <c r="K704" i="16"/>
  <c r="I705" i="16"/>
  <c r="G706" i="16"/>
  <c r="E707" i="16"/>
  <c r="C708" i="16"/>
  <c r="K708" i="16"/>
  <c r="I709" i="16"/>
  <c r="G710" i="16"/>
  <c r="E711" i="16"/>
  <c r="C712" i="16"/>
  <c r="K712" i="16"/>
  <c r="I713" i="16"/>
  <c r="G714" i="16"/>
  <c r="E715" i="16"/>
  <c r="C716" i="16"/>
  <c r="K716" i="16"/>
  <c r="I717" i="16"/>
  <c r="G718" i="16"/>
  <c r="E719" i="16"/>
  <c r="C720" i="16"/>
  <c r="K720" i="16"/>
  <c r="I721" i="16"/>
  <c r="G722" i="16"/>
  <c r="E723" i="16"/>
  <c r="C724" i="16"/>
  <c r="K724" i="16"/>
  <c r="I725" i="16"/>
  <c r="G726" i="16"/>
  <c r="E727" i="16"/>
  <c r="C728" i="16"/>
  <c r="K728" i="16"/>
  <c r="I729" i="16"/>
  <c r="G730" i="16"/>
  <c r="E731" i="16"/>
  <c r="C732" i="16"/>
  <c r="K732" i="16"/>
  <c r="I733" i="16"/>
  <c r="G734" i="16"/>
  <c r="E735" i="16"/>
  <c r="C736" i="16"/>
  <c r="K736" i="16"/>
  <c r="I737" i="16"/>
  <c r="G738" i="16"/>
  <c r="E739" i="16"/>
  <c r="C740" i="16"/>
  <c r="K740" i="16"/>
  <c r="I741" i="16"/>
  <c r="G742" i="16"/>
  <c r="E743" i="16"/>
  <c r="C744" i="16"/>
  <c r="K744" i="16"/>
  <c r="I745" i="16"/>
  <c r="G746" i="16"/>
  <c r="E747" i="16"/>
  <c r="C748" i="16"/>
  <c r="K748" i="16"/>
  <c r="I749" i="16"/>
  <c r="G750" i="16"/>
  <c r="E751" i="16"/>
  <c r="C752" i="16"/>
  <c r="K752" i="16"/>
  <c r="I753" i="16"/>
  <c r="G754" i="16"/>
  <c r="E755" i="16"/>
  <c r="C756" i="16"/>
  <c r="K756" i="16"/>
  <c r="I757" i="16"/>
  <c r="G758" i="16"/>
  <c r="E759" i="16"/>
  <c r="C760" i="16"/>
  <c r="K760" i="16"/>
  <c r="I761" i="16"/>
  <c r="G762" i="16"/>
  <c r="E763" i="16"/>
  <c r="C764" i="16"/>
  <c r="K764" i="16"/>
  <c r="I765" i="16"/>
  <c r="G766" i="16"/>
  <c r="E767" i="16"/>
  <c r="C768" i="16"/>
  <c r="K768" i="16"/>
  <c r="I769" i="16"/>
  <c r="G770" i="16"/>
  <c r="E771" i="16"/>
  <c r="C772" i="16"/>
  <c r="K772" i="16"/>
  <c r="I773" i="16"/>
  <c r="G774" i="16"/>
  <c r="E775" i="16"/>
  <c r="C776" i="16"/>
  <c r="K776" i="16"/>
  <c r="G311" i="16"/>
  <c r="F376" i="16"/>
  <c r="K400" i="16"/>
  <c r="H425" i="16"/>
  <c r="I448" i="16"/>
  <c r="G458" i="16"/>
  <c r="C468" i="16"/>
  <c r="H476" i="16"/>
  <c r="D486" i="16"/>
  <c r="E495" i="16"/>
  <c r="B504" i="16"/>
  <c r="F513" i="16"/>
  <c r="H519" i="16"/>
  <c r="B525" i="16"/>
  <c r="J530" i="16"/>
  <c r="J536" i="16"/>
  <c r="B542" i="16"/>
  <c r="B548" i="16"/>
  <c r="J553" i="16"/>
  <c r="D559" i="16"/>
  <c r="B565" i="16"/>
  <c r="J570" i="16"/>
  <c r="D576" i="16"/>
  <c r="B582" i="16"/>
  <c r="B585" i="16"/>
  <c r="B587" i="16"/>
  <c r="D589" i="16"/>
  <c r="F591" i="16"/>
  <c r="F593" i="16"/>
  <c r="H595" i="16"/>
  <c r="J597" i="16"/>
  <c r="J599" i="16"/>
  <c r="B602" i="16"/>
  <c r="D604" i="16"/>
  <c r="D606" i="16"/>
  <c r="F608" i="16"/>
  <c r="H610" i="16"/>
  <c r="H612" i="16"/>
  <c r="J614" i="16"/>
  <c r="B617" i="16"/>
  <c r="B619" i="16"/>
  <c r="D621" i="16"/>
  <c r="F623" i="16"/>
  <c r="F625" i="16"/>
  <c r="H627" i="16"/>
  <c r="J629" i="16"/>
  <c r="J631" i="16"/>
  <c r="B634" i="16"/>
  <c r="D636" i="16"/>
  <c r="D638" i="16"/>
  <c r="F640" i="16"/>
  <c r="H642" i="16"/>
  <c r="H644" i="16"/>
  <c r="J646" i="16"/>
  <c r="B649" i="16"/>
  <c r="B651" i="16"/>
  <c r="D653" i="16"/>
  <c r="F655" i="16"/>
  <c r="F657" i="16"/>
  <c r="H659" i="16"/>
  <c r="J661" i="16"/>
  <c r="J663" i="16"/>
  <c r="B666" i="16"/>
  <c r="D668" i="16"/>
  <c r="F669" i="16"/>
  <c r="H670" i="16"/>
  <c r="F671" i="16"/>
  <c r="D672" i="16"/>
  <c r="B673" i="16"/>
  <c r="J673" i="16"/>
  <c r="H674" i="16"/>
  <c r="F675" i="16"/>
  <c r="D676" i="16"/>
  <c r="B677" i="16"/>
  <c r="J677" i="16"/>
  <c r="H678" i="16"/>
  <c r="F679" i="16"/>
  <c r="D680" i="16"/>
  <c r="B681" i="16"/>
  <c r="J681" i="16"/>
  <c r="H682" i="16"/>
  <c r="F683" i="16"/>
  <c r="D684" i="16"/>
  <c r="B685" i="16"/>
  <c r="J685" i="16"/>
  <c r="H686" i="16"/>
  <c r="F687" i="16"/>
  <c r="D688" i="16"/>
  <c r="B689" i="16"/>
  <c r="J689" i="16"/>
  <c r="H690" i="16"/>
  <c r="F691" i="16"/>
  <c r="D692" i="16"/>
  <c r="B693" i="16"/>
  <c r="J693" i="16"/>
  <c r="H694" i="16"/>
  <c r="F695" i="16"/>
  <c r="D696" i="16"/>
  <c r="B697" i="16"/>
  <c r="J697" i="16"/>
  <c r="H698" i="16"/>
  <c r="F699" i="16"/>
  <c r="D700" i="16"/>
  <c r="B701" i="16"/>
  <c r="J701" i="16"/>
  <c r="H702" i="16"/>
  <c r="F703" i="16"/>
  <c r="D704" i="16"/>
  <c r="B705" i="16"/>
  <c r="J705" i="16"/>
  <c r="H706" i="16"/>
  <c r="F707" i="16"/>
  <c r="D708" i="16"/>
  <c r="B709" i="16"/>
  <c r="J709" i="16"/>
  <c r="H710" i="16"/>
  <c r="F711" i="16"/>
  <c r="D712" i="16"/>
  <c r="B713" i="16"/>
  <c r="J713" i="16"/>
  <c r="H714" i="16"/>
  <c r="F715" i="16"/>
  <c r="D716" i="16"/>
  <c r="B717" i="16"/>
  <c r="J717" i="16"/>
  <c r="H718" i="16"/>
  <c r="F719" i="16"/>
  <c r="D720" i="16"/>
  <c r="B721" i="16"/>
  <c r="J721" i="16"/>
  <c r="H722" i="16"/>
  <c r="F723" i="16"/>
  <c r="D724" i="16"/>
  <c r="B725" i="16"/>
  <c r="J725" i="16"/>
  <c r="H726" i="16"/>
  <c r="F727" i="16"/>
  <c r="D728" i="16"/>
  <c r="B729" i="16"/>
  <c r="J729" i="16"/>
  <c r="H730" i="16"/>
  <c r="F731" i="16"/>
  <c r="D732" i="16"/>
  <c r="B733" i="16"/>
  <c r="J733" i="16"/>
  <c r="H734" i="16"/>
  <c r="F735" i="16"/>
  <c r="D736" i="16"/>
  <c r="B737" i="16"/>
  <c r="J737" i="16"/>
  <c r="H738" i="16"/>
  <c r="F739" i="16"/>
  <c r="D740" i="16"/>
  <c r="B741" i="16"/>
  <c r="J741" i="16"/>
  <c r="H742" i="16"/>
  <c r="F743" i="16"/>
  <c r="D744" i="16"/>
  <c r="B745" i="16"/>
  <c r="J745" i="16"/>
  <c r="H746" i="16"/>
  <c r="F747" i="16"/>
  <c r="D748" i="16"/>
  <c r="B749" i="16"/>
  <c r="J749" i="16"/>
  <c r="H750" i="16"/>
  <c r="F751" i="16"/>
  <c r="D752" i="16"/>
  <c r="B753" i="16"/>
  <c r="J753" i="16"/>
  <c r="H754" i="16"/>
  <c r="F755" i="16"/>
  <c r="D756" i="16"/>
  <c r="B757" i="16"/>
  <c r="J757" i="16"/>
  <c r="H758" i="16"/>
  <c r="F759" i="16"/>
  <c r="D760" i="16"/>
  <c r="B761" i="16"/>
  <c r="J761" i="16"/>
  <c r="H762" i="16"/>
  <c r="F763" i="16"/>
  <c r="D764" i="16"/>
  <c r="B765" i="16"/>
  <c r="J765" i="16"/>
  <c r="H766" i="16"/>
  <c r="F767" i="16"/>
  <c r="D768" i="16"/>
  <c r="B769" i="16"/>
  <c r="J769" i="16"/>
  <c r="H770" i="16"/>
  <c r="F771" i="16"/>
  <c r="D772" i="16"/>
  <c r="B773" i="16"/>
  <c r="J773" i="16"/>
  <c r="H774" i="16"/>
  <c r="F775" i="16"/>
  <c r="D776" i="16"/>
  <c r="K321" i="16"/>
  <c r="H380" i="16"/>
  <c r="H403" i="16"/>
  <c r="C428" i="16"/>
  <c r="B451" i="16"/>
  <c r="I459" i="16"/>
  <c r="J468" i="16"/>
  <c r="F478" i="16"/>
  <c r="K486" i="16"/>
  <c r="G496" i="16"/>
  <c r="H505" i="16"/>
  <c r="E514" i="16"/>
  <c r="D520" i="16"/>
  <c r="B526" i="16"/>
  <c r="F531" i="16"/>
  <c r="D537" i="16"/>
  <c r="D543" i="16"/>
  <c r="F548" i="16"/>
  <c r="F554" i="16"/>
  <c r="D560" i="16"/>
  <c r="H565" i="16"/>
  <c r="F571" i="16"/>
  <c r="D577" i="16"/>
  <c r="H582" i="16"/>
  <c r="D585" i="16"/>
  <c r="F587" i="16"/>
  <c r="F589" i="16"/>
  <c r="H591" i="16"/>
  <c r="J593" i="16"/>
  <c r="J595" i="16"/>
  <c r="B598" i="16"/>
  <c r="D600" i="16"/>
  <c r="D602" i="16"/>
  <c r="F604" i="16"/>
  <c r="H606" i="16"/>
  <c r="H608" i="16"/>
  <c r="J610" i="16"/>
  <c r="B613" i="16"/>
  <c r="B615" i="16"/>
  <c r="D617" i="16"/>
  <c r="F619" i="16"/>
  <c r="F621" i="16"/>
  <c r="H623" i="16"/>
  <c r="J625" i="16"/>
  <c r="J627" i="16"/>
  <c r="B630" i="16"/>
  <c r="D632" i="16"/>
  <c r="D634" i="16"/>
  <c r="F636" i="16"/>
  <c r="H638" i="16"/>
  <c r="H640" i="16"/>
  <c r="J642" i="16"/>
  <c r="B645" i="16"/>
  <c r="B647" i="16"/>
  <c r="D649" i="16"/>
  <c r="F651" i="16"/>
  <c r="F653" i="16"/>
  <c r="H655" i="16"/>
  <c r="J657" i="16"/>
  <c r="J659" i="16"/>
  <c r="B662" i="16"/>
  <c r="D664" i="16"/>
  <c r="D666" i="16"/>
  <c r="F668" i="16"/>
  <c r="J669" i="16"/>
  <c r="I670" i="16"/>
  <c r="G671" i="16"/>
  <c r="E672" i="16"/>
  <c r="C673" i="16"/>
  <c r="K673" i="16"/>
  <c r="I674" i="16"/>
  <c r="G675" i="16"/>
  <c r="E676" i="16"/>
  <c r="C677" i="16"/>
  <c r="K677" i="16"/>
  <c r="I678" i="16"/>
  <c r="G679" i="16"/>
  <c r="E680" i="16"/>
  <c r="C681" i="16"/>
  <c r="K681" i="16"/>
  <c r="I682" i="16"/>
  <c r="G683" i="16"/>
  <c r="E684" i="16"/>
  <c r="C685" i="16"/>
  <c r="K685" i="16"/>
  <c r="I686" i="16"/>
  <c r="G687" i="16"/>
  <c r="E688" i="16"/>
  <c r="C689" i="16"/>
  <c r="K689" i="16"/>
  <c r="I690" i="16"/>
  <c r="G691" i="16"/>
  <c r="E692" i="16"/>
  <c r="C693" i="16"/>
  <c r="K693" i="16"/>
  <c r="I694" i="16"/>
  <c r="G695" i="16"/>
  <c r="E696" i="16"/>
  <c r="C697" i="16"/>
  <c r="K697" i="16"/>
  <c r="I698" i="16"/>
  <c r="G699" i="16"/>
  <c r="E700" i="16"/>
  <c r="C701" i="16"/>
  <c r="K701" i="16"/>
  <c r="I702" i="16"/>
  <c r="G703" i="16"/>
  <c r="E704" i="16"/>
  <c r="C705" i="16"/>
  <c r="K705" i="16"/>
  <c r="I706" i="16"/>
  <c r="G707" i="16"/>
  <c r="E708" i="16"/>
  <c r="C709" i="16"/>
  <c r="K709" i="16"/>
  <c r="I710" i="16"/>
  <c r="G711" i="16"/>
  <c r="E712" i="16"/>
  <c r="C713" i="16"/>
  <c r="K713" i="16"/>
  <c r="I714" i="16"/>
  <c r="G715" i="16"/>
  <c r="E716" i="16"/>
  <c r="C717" i="16"/>
  <c r="K717" i="16"/>
  <c r="I718" i="16"/>
  <c r="G719" i="16"/>
  <c r="E720" i="16"/>
  <c r="C721" i="16"/>
  <c r="K721" i="16"/>
  <c r="I722" i="16"/>
  <c r="G723" i="16"/>
  <c r="E724" i="16"/>
  <c r="C725" i="16"/>
  <c r="K725" i="16"/>
  <c r="I726" i="16"/>
  <c r="G727" i="16"/>
  <c r="E728" i="16"/>
  <c r="C729" i="16"/>
  <c r="K729" i="16"/>
  <c r="I730" i="16"/>
  <c r="G731" i="16"/>
  <c r="E732" i="16"/>
  <c r="C733" i="16"/>
  <c r="K733" i="16"/>
  <c r="I734" i="16"/>
  <c r="G735" i="16"/>
  <c r="E736" i="16"/>
  <c r="C737" i="16"/>
  <c r="K737" i="16"/>
  <c r="I738" i="16"/>
  <c r="G739" i="16"/>
  <c r="E740" i="16"/>
  <c r="C741" i="16"/>
  <c r="K741" i="16"/>
  <c r="I742" i="16"/>
  <c r="G743" i="16"/>
  <c r="E744" i="16"/>
  <c r="C745" i="16"/>
  <c r="K745" i="16"/>
  <c r="I746" i="16"/>
  <c r="G747" i="16"/>
  <c r="E748" i="16"/>
  <c r="C749" i="16"/>
  <c r="K749" i="16"/>
  <c r="I750" i="16"/>
  <c r="G751" i="16"/>
  <c r="E752" i="16"/>
  <c r="C753" i="16"/>
  <c r="K753" i="16"/>
  <c r="I754" i="16"/>
  <c r="G755" i="16"/>
  <c r="E756" i="16"/>
  <c r="C757" i="16"/>
  <c r="K757" i="16"/>
  <c r="I758" i="16"/>
  <c r="G759" i="16"/>
  <c r="E760" i="16"/>
  <c r="C761" i="16"/>
  <c r="K761" i="16"/>
  <c r="I762" i="16"/>
  <c r="G763" i="16"/>
  <c r="E764" i="16"/>
  <c r="C765" i="16"/>
  <c r="K765" i="16"/>
  <c r="I766" i="16"/>
  <c r="G767" i="16"/>
  <c r="E768" i="16"/>
  <c r="C769" i="16"/>
  <c r="K769" i="16"/>
  <c r="I770" i="16"/>
  <c r="G771" i="16"/>
  <c r="E772" i="16"/>
  <c r="C773" i="16"/>
  <c r="K773" i="16"/>
  <c r="I774" i="16"/>
  <c r="G775" i="16"/>
  <c r="E776" i="16"/>
  <c r="E329" i="16"/>
  <c r="I488" i="16"/>
  <c r="H543" i="16"/>
  <c r="F585" i="16"/>
  <c r="H602" i="16"/>
  <c r="H619" i="16"/>
  <c r="H636" i="16"/>
  <c r="J653" i="16"/>
  <c r="K669" i="16"/>
  <c r="F676" i="16"/>
  <c r="J682" i="16"/>
  <c r="B687" i="16"/>
  <c r="D689" i="16"/>
  <c r="D691" i="16"/>
  <c r="F693" i="16"/>
  <c r="H695" i="16"/>
  <c r="H697" i="16"/>
  <c r="I699" i="16"/>
  <c r="J700" i="16"/>
  <c r="D702" i="16"/>
  <c r="H703" i="16"/>
  <c r="I704" i="16"/>
  <c r="C706" i="16"/>
  <c r="D707" i="16"/>
  <c r="H708" i="16"/>
  <c r="B710" i="16"/>
  <c r="C711" i="16"/>
  <c r="G712" i="16"/>
  <c r="H713" i="16"/>
  <c r="B715" i="16"/>
  <c r="F716" i="16"/>
  <c r="G717" i="16"/>
  <c r="K718" i="16"/>
  <c r="B720" i="16"/>
  <c r="F721" i="16"/>
  <c r="J722" i="16"/>
  <c r="K723" i="16"/>
  <c r="E725" i="16"/>
  <c r="F726" i="16"/>
  <c r="J727" i="16"/>
  <c r="D729" i="16"/>
  <c r="E730" i="16"/>
  <c r="I731" i="16"/>
  <c r="J732" i="16"/>
  <c r="D734" i="16"/>
  <c r="H735" i="16"/>
  <c r="I736" i="16"/>
  <c r="C738" i="16"/>
  <c r="D739" i="16"/>
  <c r="H740" i="16"/>
  <c r="B742" i="16"/>
  <c r="C743" i="16"/>
  <c r="G744" i="16"/>
  <c r="H745" i="16"/>
  <c r="B747" i="16"/>
  <c r="F748" i="16"/>
  <c r="G749" i="16"/>
  <c r="K750" i="16"/>
  <c r="B752" i="16"/>
  <c r="F753" i="16"/>
  <c r="J754" i="16"/>
  <c r="K755" i="16"/>
  <c r="E757" i="16"/>
  <c r="F758" i="16"/>
  <c r="J759" i="16"/>
  <c r="D761" i="16"/>
  <c r="E762" i="16"/>
  <c r="I763" i="16"/>
  <c r="J764" i="16"/>
  <c r="D766" i="16"/>
  <c r="H767" i="16"/>
  <c r="I768" i="16"/>
  <c r="C770" i="16"/>
  <c r="D771" i="16"/>
  <c r="H772" i="16"/>
  <c r="B774" i="16"/>
  <c r="C775" i="16"/>
  <c r="G776" i="16"/>
  <c r="F777" i="16"/>
  <c r="D778" i="16"/>
  <c r="B779" i="16"/>
  <c r="J779" i="16"/>
  <c r="H780" i="16"/>
  <c r="F781" i="16"/>
  <c r="D782" i="16"/>
  <c r="B783" i="16"/>
  <c r="J783" i="16"/>
  <c r="H784" i="16"/>
  <c r="F785" i="16"/>
  <c r="D786" i="16"/>
  <c r="B787" i="16"/>
  <c r="J787" i="16"/>
  <c r="H788" i="16"/>
  <c r="F789" i="16"/>
  <c r="D790" i="16"/>
  <c r="B791" i="16"/>
  <c r="J791" i="16"/>
  <c r="H792" i="16"/>
  <c r="F793" i="16"/>
  <c r="D794" i="16"/>
  <c r="B795" i="16"/>
  <c r="J795" i="16"/>
  <c r="H796" i="16"/>
  <c r="F797" i="16"/>
  <c r="D798" i="16"/>
  <c r="B799" i="16"/>
  <c r="J799" i="16"/>
  <c r="H800" i="16"/>
  <c r="F801" i="16"/>
  <c r="D802" i="16"/>
  <c r="B803" i="16"/>
  <c r="J803" i="16"/>
  <c r="H804" i="16"/>
  <c r="F805" i="16"/>
  <c r="D806" i="16"/>
  <c r="B807" i="16"/>
  <c r="J807" i="16"/>
  <c r="H808" i="16"/>
  <c r="F809" i="16"/>
  <c r="D810" i="16"/>
  <c r="B811" i="16"/>
  <c r="J811" i="16"/>
  <c r="H812" i="16"/>
  <c r="F813" i="16"/>
  <c r="D814" i="16"/>
  <c r="B815" i="16"/>
  <c r="J815" i="16"/>
  <c r="H816" i="16"/>
  <c r="F817" i="16"/>
  <c r="D818" i="16"/>
  <c r="B819" i="16"/>
  <c r="J819" i="16"/>
  <c r="H820" i="16"/>
  <c r="F821" i="16"/>
  <c r="D822" i="16"/>
  <c r="B823" i="16"/>
  <c r="J823" i="16"/>
  <c r="H824" i="16"/>
  <c r="F825" i="16"/>
  <c r="D826" i="16"/>
  <c r="B827" i="16"/>
  <c r="J827" i="16"/>
  <c r="H828" i="16"/>
  <c r="F829" i="16"/>
  <c r="D830" i="16"/>
  <c r="B831" i="16"/>
  <c r="J831" i="16"/>
  <c r="H832" i="16"/>
  <c r="F833" i="16"/>
  <c r="D834" i="16"/>
  <c r="B835" i="16"/>
  <c r="J835" i="16"/>
  <c r="H836" i="16"/>
  <c r="F837" i="16"/>
  <c r="D838" i="16"/>
  <c r="B839" i="16"/>
  <c r="J839" i="16"/>
  <c r="H840" i="16"/>
  <c r="F841" i="16"/>
  <c r="D842" i="16"/>
  <c r="B843" i="16"/>
  <c r="J843" i="16"/>
  <c r="H844" i="16"/>
  <c r="F845" i="16"/>
  <c r="D846" i="16"/>
  <c r="B847" i="16"/>
  <c r="J847" i="16"/>
  <c r="H848" i="16"/>
  <c r="F849" i="16"/>
  <c r="D850" i="16"/>
  <c r="B851" i="16"/>
  <c r="J851" i="16"/>
  <c r="H852" i="16"/>
  <c r="F853" i="16"/>
  <c r="D854" i="16"/>
  <c r="B855" i="16"/>
  <c r="J855" i="16"/>
  <c r="H856" i="16"/>
  <c r="F857" i="16"/>
  <c r="D858" i="16"/>
  <c r="B859" i="16"/>
  <c r="J859" i="16"/>
  <c r="H860" i="16"/>
  <c r="F861" i="16"/>
  <c r="D862" i="16"/>
  <c r="B863" i="16"/>
  <c r="J863" i="16"/>
  <c r="H864" i="16"/>
  <c r="F865" i="16"/>
  <c r="D866" i="16"/>
  <c r="B867" i="16"/>
  <c r="J867" i="16"/>
  <c r="H868" i="16"/>
  <c r="F869" i="16"/>
  <c r="D870" i="16"/>
  <c r="B871" i="16"/>
  <c r="J871" i="16"/>
  <c r="H872" i="16"/>
  <c r="F873" i="16"/>
  <c r="D874" i="16"/>
  <c r="B875" i="16"/>
  <c r="J875" i="16"/>
  <c r="H876" i="16"/>
  <c r="F877" i="16"/>
  <c r="D878" i="16"/>
  <c r="B879" i="16"/>
  <c r="J879" i="16"/>
  <c r="H880" i="16"/>
  <c r="F881" i="16"/>
  <c r="D882" i="16"/>
  <c r="B883" i="16"/>
  <c r="J883" i="16"/>
  <c r="H884" i="16"/>
  <c r="F885" i="16"/>
  <c r="D886" i="16"/>
  <c r="B887" i="16"/>
  <c r="J887" i="16"/>
  <c r="H888" i="16"/>
  <c r="F889" i="16"/>
  <c r="D890" i="16"/>
  <c r="B891" i="16"/>
  <c r="J891" i="16"/>
  <c r="H892" i="16"/>
  <c r="F893" i="16"/>
  <c r="D894" i="16"/>
  <c r="B895" i="16"/>
  <c r="J895" i="16"/>
  <c r="H896" i="16"/>
  <c r="F897" i="16"/>
  <c r="D898" i="16"/>
  <c r="B899" i="16"/>
  <c r="J899" i="16"/>
  <c r="H900" i="16"/>
  <c r="F901" i="16"/>
  <c r="D902" i="16"/>
  <c r="B903" i="16"/>
  <c r="J903" i="16"/>
  <c r="H904" i="16"/>
  <c r="F905" i="16"/>
  <c r="D906" i="16"/>
  <c r="B907" i="16"/>
  <c r="J907" i="16"/>
  <c r="H908" i="16"/>
  <c r="C383" i="16"/>
  <c r="K496" i="16"/>
  <c r="H549" i="16"/>
  <c r="H587" i="16"/>
  <c r="H604" i="16"/>
  <c r="J621" i="16"/>
  <c r="J638" i="16"/>
  <c r="J655" i="16"/>
  <c r="J670" i="16"/>
  <c r="D677" i="16"/>
  <c r="H683" i="16"/>
  <c r="D687" i="16"/>
  <c r="F689" i="16"/>
  <c r="H691" i="16"/>
  <c r="H693" i="16"/>
  <c r="J695" i="16"/>
  <c r="B698" i="16"/>
  <c r="J699" i="16"/>
  <c r="D701" i="16"/>
  <c r="E702" i="16"/>
  <c r="I703" i="16"/>
  <c r="J704" i="16"/>
  <c r="D706" i="16"/>
  <c r="H707" i="16"/>
  <c r="I708" i="16"/>
  <c r="C710" i="16"/>
  <c r="D711" i="16"/>
  <c r="H712" i="16"/>
  <c r="B714" i="16"/>
  <c r="C715" i="16"/>
  <c r="G716" i="16"/>
  <c r="H717" i="16"/>
  <c r="B719" i="16"/>
  <c r="F720" i="16"/>
  <c r="G721" i="16"/>
  <c r="K722" i="16"/>
  <c r="B724" i="16"/>
  <c r="F725" i="16"/>
  <c r="J726" i="16"/>
  <c r="K727" i="16"/>
  <c r="E729" i="16"/>
  <c r="F730" i="16"/>
  <c r="J731" i="16"/>
  <c r="D733" i="16"/>
  <c r="E734" i="16"/>
  <c r="I735" i="16"/>
  <c r="J736" i="16"/>
  <c r="D738" i="16"/>
  <c r="H739" i="16"/>
  <c r="I740" i="16"/>
  <c r="C742" i="16"/>
  <c r="D743" i="16"/>
  <c r="H744" i="16"/>
  <c r="B746" i="16"/>
  <c r="C747" i="16"/>
  <c r="G748" i="16"/>
  <c r="H749" i="16"/>
  <c r="B751" i="16"/>
  <c r="F752" i="16"/>
  <c r="G753" i="16"/>
  <c r="K754" i="16"/>
  <c r="B756" i="16"/>
  <c r="F757" i="16"/>
  <c r="J758" i="16"/>
  <c r="K759" i="16"/>
  <c r="E761" i="16"/>
  <c r="F762" i="16"/>
  <c r="J763" i="16"/>
  <c r="D765" i="16"/>
  <c r="E766" i="16"/>
  <c r="I767" i="16"/>
  <c r="J768" i="16"/>
  <c r="D770" i="16"/>
  <c r="H771" i="16"/>
  <c r="I772" i="16"/>
  <c r="C774" i="16"/>
  <c r="D775" i="16"/>
  <c r="H776" i="16"/>
  <c r="G777" i="16"/>
  <c r="E778" i="16"/>
  <c r="C779" i="16"/>
  <c r="K779" i="16"/>
  <c r="I780" i="16"/>
  <c r="G781" i="16"/>
  <c r="E782" i="16"/>
  <c r="C783" i="16"/>
  <c r="K783" i="16"/>
  <c r="I784" i="16"/>
  <c r="G785" i="16"/>
  <c r="E786" i="16"/>
  <c r="C787" i="16"/>
  <c r="K787" i="16"/>
  <c r="I788" i="16"/>
  <c r="G789" i="16"/>
  <c r="E790" i="16"/>
  <c r="C791" i="16"/>
  <c r="K791" i="16"/>
  <c r="I792" i="16"/>
  <c r="G793" i="16"/>
  <c r="E794" i="16"/>
  <c r="C795" i="16"/>
  <c r="K795" i="16"/>
  <c r="I796" i="16"/>
  <c r="G797" i="16"/>
  <c r="E798" i="16"/>
  <c r="C799" i="16"/>
  <c r="K799" i="16"/>
  <c r="I800" i="16"/>
  <c r="G801" i="16"/>
  <c r="E802" i="16"/>
  <c r="C803" i="16"/>
  <c r="K803" i="16"/>
  <c r="I804" i="16"/>
  <c r="G805" i="16"/>
  <c r="E806" i="16"/>
  <c r="C807" i="16"/>
  <c r="K807" i="16"/>
  <c r="I808" i="16"/>
  <c r="G809" i="16"/>
  <c r="E810" i="16"/>
  <c r="C811" i="16"/>
  <c r="K811" i="16"/>
  <c r="I812" i="16"/>
  <c r="G813" i="16"/>
  <c r="E814" i="16"/>
  <c r="C815" i="16"/>
  <c r="K815" i="16"/>
  <c r="I816" i="16"/>
  <c r="G817" i="16"/>
  <c r="E818" i="16"/>
  <c r="C819" i="16"/>
  <c r="K819" i="16"/>
  <c r="I820" i="16"/>
  <c r="G821" i="16"/>
  <c r="E822" i="16"/>
  <c r="C823" i="16"/>
  <c r="K823" i="16"/>
  <c r="I824" i="16"/>
  <c r="G825" i="16"/>
  <c r="E826" i="16"/>
  <c r="C827" i="16"/>
  <c r="K827" i="16"/>
  <c r="I828" i="16"/>
  <c r="G829" i="16"/>
  <c r="E830" i="16"/>
  <c r="C831" i="16"/>
  <c r="K831" i="16"/>
  <c r="I832" i="16"/>
  <c r="G833" i="16"/>
  <c r="E834" i="16"/>
  <c r="C835" i="16"/>
  <c r="K835" i="16"/>
  <c r="I836" i="16"/>
  <c r="G837" i="16"/>
  <c r="E838" i="16"/>
  <c r="C839" i="16"/>
  <c r="K839" i="16"/>
  <c r="I840" i="16"/>
  <c r="G841" i="16"/>
  <c r="E842" i="16"/>
  <c r="C843" i="16"/>
  <c r="K843" i="16"/>
  <c r="I844" i="16"/>
  <c r="G845" i="16"/>
  <c r="E846" i="16"/>
  <c r="C847" i="16"/>
  <c r="K847" i="16"/>
  <c r="I848" i="16"/>
  <c r="G849" i="16"/>
  <c r="E850" i="16"/>
  <c r="J407" i="16"/>
  <c r="G506" i="16"/>
  <c r="J554" i="16"/>
  <c r="J589" i="16"/>
  <c r="J606" i="16"/>
  <c r="J623" i="16"/>
  <c r="B641" i="16"/>
  <c r="B658" i="16"/>
  <c r="H671" i="16"/>
  <c r="B678" i="16"/>
  <c r="F684" i="16"/>
  <c r="H687" i="16"/>
  <c r="H689" i="16"/>
  <c r="J691" i="16"/>
  <c r="B694" i="16"/>
  <c r="B696" i="16"/>
  <c r="D698" i="16"/>
  <c r="K699" i="16"/>
  <c r="E701" i="16"/>
  <c r="F702" i="16"/>
  <c r="J703" i="16"/>
  <c r="D705" i="16"/>
  <c r="E706" i="16"/>
  <c r="I707" i="16"/>
  <c r="J708" i="16"/>
  <c r="D710" i="16"/>
  <c r="H711" i="16"/>
  <c r="I712" i="16"/>
  <c r="C714" i="16"/>
  <c r="D715" i="16"/>
  <c r="H716" i="16"/>
  <c r="B718" i="16"/>
  <c r="C719" i="16"/>
  <c r="G720" i="16"/>
  <c r="H721" i="16"/>
  <c r="B723" i="16"/>
  <c r="F724" i="16"/>
  <c r="G725" i="16"/>
  <c r="K726" i="16"/>
  <c r="B728" i="16"/>
  <c r="F729" i="16"/>
  <c r="J730" i="16"/>
  <c r="K731" i="16"/>
  <c r="E733" i="16"/>
  <c r="F734" i="16"/>
  <c r="J735" i="16"/>
  <c r="D737" i="16"/>
  <c r="E738" i="16"/>
  <c r="I739" i="16"/>
  <c r="J740" i="16"/>
  <c r="D742" i="16"/>
  <c r="H743" i="16"/>
  <c r="I744" i="16"/>
  <c r="C746" i="16"/>
  <c r="D747" i="16"/>
  <c r="H748" i="16"/>
  <c r="B750" i="16"/>
  <c r="C751" i="16"/>
  <c r="G752" i="16"/>
  <c r="H753" i="16"/>
  <c r="B755" i="16"/>
  <c r="F756" i="16"/>
  <c r="G757" i="16"/>
  <c r="K758" i="16"/>
  <c r="B760" i="16"/>
  <c r="F761" i="16"/>
  <c r="J762" i="16"/>
  <c r="K763" i="16"/>
  <c r="E765" i="16"/>
  <c r="F766" i="16"/>
  <c r="J767" i="16"/>
  <c r="D769" i="16"/>
  <c r="E770" i="16"/>
  <c r="I771" i="16"/>
  <c r="J772" i="16"/>
  <c r="D774" i="16"/>
  <c r="H775" i="16"/>
  <c r="I776" i="16"/>
  <c r="H777" i="16"/>
  <c r="F778" i="16"/>
  <c r="D779" i="16"/>
  <c r="B780" i="16"/>
  <c r="J780" i="16"/>
  <c r="H781" i="16"/>
  <c r="F782" i="16"/>
  <c r="D783" i="16"/>
  <c r="B784" i="16"/>
  <c r="J784" i="16"/>
  <c r="H785" i="16"/>
  <c r="F786" i="16"/>
  <c r="D787" i="16"/>
  <c r="B788" i="16"/>
  <c r="J788" i="16"/>
  <c r="H789" i="16"/>
  <c r="F790" i="16"/>
  <c r="D791" i="16"/>
  <c r="B792" i="16"/>
  <c r="J792" i="16"/>
  <c r="H793" i="16"/>
  <c r="F794" i="16"/>
  <c r="D795" i="16"/>
  <c r="B796" i="16"/>
  <c r="J796" i="16"/>
  <c r="H797" i="16"/>
  <c r="F798" i="16"/>
  <c r="D799" i="16"/>
  <c r="B800" i="16"/>
  <c r="J800" i="16"/>
  <c r="H801" i="16"/>
  <c r="F802" i="16"/>
  <c r="D803" i="16"/>
  <c r="B804" i="16"/>
  <c r="J804" i="16"/>
  <c r="H805" i="16"/>
  <c r="F806" i="16"/>
  <c r="D807" i="16"/>
  <c r="B808" i="16"/>
  <c r="J808" i="16"/>
  <c r="H809" i="16"/>
  <c r="F810" i="16"/>
  <c r="D811" i="16"/>
  <c r="B812" i="16"/>
  <c r="J812" i="16"/>
  <c r="H813" i="16"/>
  <c r="F814" i="16"/>
  <c r="D815" i="16"/>
  <c r="B816" i="16"/>
  <c r="J816" i="16"/>
  <c r="H817" i="16"/>
  <c r="F818" i="16"/>
  <c r="D819" i="16"/>
  <c r="B820" i="16"/>
  <c r="J820" i="16"/>
  <c r="H821" i="16"/>
  <c r="F822" i="16"/>
  <c r="D823" i="16"/>
  <c r="B824" i="16"/>
  <c r="J824" i="16"/>
  <c r="H825" i="16"/>
  <c r="F826" i="16"/>
  <c r="D827" i="16"/>
  <c r="B828" i="16"/>
  <c r="J828" i="16"/>
  <c r="H829" i="16"/>
  <c r="F830" i="16"/>
  <c r="D831" i="16"/>
  <c r="B832" i="16"/>
  <c r="J832" i="16"/>
  <c r="H833" i="16"/>
  <c r="F834" i="16"/>
  <c r="D835" i="16"/>
  <c r="B836" i="16"/>
  <c r="J836" i="16"/>
  <c r="H837" i="16"/>
  <c r="F838" i="16"/>
  <c r="D839" i="16"/>
  <c r="B840" i="16"/>
  <c r="J840" i="16"/>
  <c r="H841" i="16"/>
  <c r="F842" i="16"/>
  <c r="D843" i="16"/>
  <c r="B844" i="16"/>
  <c r="J844" i="16"/>
  <c r="H845" i="16"/>
  <c r="F846" i="16"/>
  <c r="D847" i="16"/>
  <c r="B848" i="16"/>
  <c r="J848" i="16"/>
  <c r="H849" i="16"/>
  <c r="F850" i="16"/>
  <c r="J430" i="16"/>
  <c r="F515" i="16"/>
  <c r="J560" i="16"/>
  <c r="J591" i="16"/>
  <c r="B609" i="16"/>
  <c r="B626" i="16"/>
  <c r="B643" i="16"/>
  <c r="D660" i="16"/>
  <c r="F672" i="16"/>
  <c r="J678" i="16"/>
  <c r="D685" i="16"/>
  <c r="J687" i="16"/>
  <c r="B690" i="16"/>
  <c r="B692" i="16"/>
  <c r="D694" i="16"/>
  <c r="F696" i="16"/>
  <c r="F698" i="16"/>
  <c r="B700" i="16"/>
  <c r="F701" i="16"/>
  <c r="J702" i="16"/>
  <c r="K703" i="16"/>
  <c r="E705" i="16"/>
  <c r="F706" i="16"/>
  <c r="J707" i="16"/>
  <c r="D709" i="16"/>
  <c r="E710" i="16"/>
  <c r="I711" i="16"/>
  <c r="J712" i="16"/>
  <c r="D714" i="16"/>
  <c r="H715" i="16"/>
  <c r="I716" i="16"/>
  <c r="C718" i="16"/>
  <c r="D719" i="16"/>
  <c r="H720" i="16"/>
  <c r="B722" i="16"/>
  <c r="C723" i="16"/>
  <c r="G724" i="16"/>
  <c r="H725" i="16"/>
  <c r="B727" i="16"/>
  <c r="F728" i="16"/>
  <c r="G729" i="16"/>
  <c r="K730" i="16"/>
  <c r="B732" i="16"/>
  <c r="F733" i="16"/>
  <c r="J734" i="16"/>
  <c r="K735" i="16"/>
  <c r="E737" i="16"/>
  <c r="F738" i="16"/>
  <c r="J739" i="16"/>
  <c r="D741" i="16"/>
  <c r="E742" i="16"/>
  <c r="I743" i="16"/>
  <c r="J744" i="16"/>
  <c r="D746" i="16"/>
  <c r="H747" i="16"/>
  <c r="I748" i="16"/>
  <c r="C750" i="16"/>
  <c r="D751" i="16"/>
  <c r="H752" i="16"/>
  <c r="B754" i="16"/>
  <c r="C755" i="16"/>
  <c r="G756" i="16"/>
  <c r="H757" i="16"/>
  <c r="B759" i="16"/>
  <c r="F760" i="16"/>
  <c r="G761" i="16"/>
  <c r="K762" i="16"/>
  <c r="B764" i="16"/>
  <c r="F765" i="16"/>
  <c r="J766" i="16"/>
  <c r="K767" i="16"/>
  <c r="E769" i="16"/>
  <c r="F770" i="16"/>
  <c r="J771" i="16"/>
  <c r="D773" i="16"/>
  <c r="E774" i="16"/>
  <c r="I775" i="16"/>
  <c r="J776" i="16"/>
  <c r="I777" i="16"/>
  <c r="G778" i="16"/>
  <c r="E779" i="16"/>
  <c r="C780" i="16"/>
  <c r="K780" i="16"/>
  <c r="I781" i="16"/>
  <c r="G782" i="16"/>
  <c r="E783" i="16"/>
  <c r="C784" i="16"/>
  <c r="K784" i="16"/>
  <c r="I785" i="16"/>
  <c r="G786" i="16"/>
  <c r="E787" i="16"/>
  <c r="C788" i="16"/>
  <c r="K788" i="16"/>
  <c r="I789" i="16"/>
  <c r="G790" i="16"/>
  <c r="E791" i="16"/>
  <c r="C792" i="16"/>
  <c r="K792" i="16"/>
  <c r="I793" i="16"/>
  <c r="G794" i="16"/>
  <c r="E795" i="16"/>
  <c r="C796" i="16"/>
  <c r="K796" i="16"/>
  <c r="I797" i="16"/>
  <c r="G798" i="16"/>
  <c r="E799" i="16"/>
  <c r="C800" i="16"/>
  <c r="K800" i="16"/>
  <c r="I801" i="16"/>
  <c r="G802" i="16"/>
  <c r="E803" i="16"/>
  <c r="C804" i="16"/>
  <c r="K804" i="16"/>
  <c r="I805" i="16"/>
  <c r="G806" i="16"/>
  <c r="E807" i="16"/>
  <c r="C808" i="16"/>
  <c r="K808" i="16"/>
  <c r="I809" i="16"/>
  <c r="G810" i="16"/>
  <c r="E811" i="16"/>
  <c r="C812" i="16"/>
  <c r="K812" i="16"/>
  <c r="I813" i="16"/>
  <c r="G814" i="16"/>
  <c r="E815" i="16"/>
  <c r="C816" i="16"/>
  <c r="K816" i="16"/>
  <c r="I817" i="16"/>
  <c r="G818" i="16"/>
  <c r="E819" i="16"/>
  <c r="C820" i="16"/>
  <c r="K820" i="16"/>
  <c r="I821" i="16"/>
  <c r="G822" i="16"/>
  <c r="E823" i="16"/>
  <c r="C824" i="16"/>
  <c r="K824" i="16"/>
  <c r="I825" i="16"/>
  <c r="G826" i="16"/>
  <c r="E827" i="16"/>
  <c r="C828" i="16"/>
  <c r="K828" i="16"/>
  <c r="I829" i="16"/>
  <c r="G830" i="16"/>
  <c r="E831" i="16"/>
  <c r="C832" i="16"/>
  <c r="K832" i="16"/>
  <c r="I833" i="16"/>
  <c r="G834" i="16"/>
  <c r="E835" i="16"/>
  <c r="C836" i="16"/>
  <c r="K836" i="16"/>
  <c r="I837" i="16"/>
  <c r="G838" i="16"/>
  <c r="E839" i="16"/>
  <c r="C840" i="16"/>
  <c r="K840" i="16"/>
  <c r="I841" i="16"/>
  <c r="G842" i="16"/>
  <c r="E843" i="16"/>
  <c r="C844" i="16"/>
  <c r="K844" i="16"/>
  <c r="I845" i="16"/>
  <c r="G846" i="16"/>
  <c r="E847" i="16"/>
  <c r="C848" i="16"/>
  <c r="K848" i="16"/>
  <c r="I849" i="16"/>
  <c r="G850" i="16"/>
  <c r="E851" i="16"/>
  <c r="C852" i="16"/>
  <c r="K852" i="16"/>
  <c r="I853" i="16"/>
  <c r="G854" i="16"/>
  <c r="E855" i="16"/>
  <c r="C856" i="16"/>
  <c r="K856" i="16"/>
  <c r="I857" i="16"/>
  <c r="G858" i="16"/>
  <c r="E859" i="16"/>
  <c r="C860" i="16"/>
  <c r="K860" i="16"/>
  <c r="I861" i="16"/>
  <c r="G862" i="16"/>
  <c r="E863" i="16"/>
  <c r="C864" i="16"/>
  <c r="K864" i="16"/>
  <c r="I865" i="16"/>
  <c r="G866" i="16"/>
  <c r="E867" i="16"/>
  <c r="C868" i="16"/>
  <c r="K868" i="16"/>
  <c r="I869" i="16"/>
  <c r="G870" i="16"/>
  <c r="E871" i="16"/>
  <c r="C872" i="16"/>
  <c r="K872" i="16"/>
  <c r="I873" i="16"/>
  <c r="G874" i="16"/>
  <c r="E875" i="16"/>
  <c r="C876" i="16"/>
  <c r="K876" i="16"/>
  <c r="I877" i="16"/>
  <c r="G878" i="16"/>
  <c r="E879" i="16"/>
  <c r="C880" i="16"/>
  <c r="K880" i="16"/>
  <c r="I881" i="16"/>
  <c r="G882" i="16"/>
  <c r="E883" i="16"/>
  <c r="C884" i="16"/>
  <c r="K884" i="16"/>
  <c r="I885" i="16"/>
  <c r="G886" i="16"/>
  <c r="E887" i="16"/>
  <c r="C888" i="16"/>
  <c r="K888" i="16"/>
  <c r="I889" i="16"/>
  <c r="G890" i="16"/>
  <c r="E891" i="16"/>
  <c r="C892" i="16"/>
  <c r="K892" i="16"/>
  <c r="I893" i="16"/>
  <c r="G894" i="16"/>
  <c r="E895" i="16"/>
  <c r="C896" i="16"/>
  <c r="K896" i="16"/>
  <c r="I897" i="16"/>
  <c r="G898" i="16"/>
  <c r="E899" i="16"/>
  <c r="C900" i="16"/>
  <c r="K900" i="16"/>
  <c r="I901" i="16"/>
  <c r="G902" i="16"/>
  <c r="E903" i="16"/>
  <c r="C904" i="16"/>
  <c r="K904" i="16"/>
  <c r="I905" i="16"/>
  <c r="G906" i="16"/>
  <c r="E907" i="16"/>
  <c r="C908" i="16"/>
  <c r="K908" i="16"/>
  <c r="K451" i="16"/>
  <c r="J520" i="16"/>
  <c r="H566" i="16"/>
  <c r="B594" i="16"/>
  <c r="B611" i="16"/>
  <c r="D628" i="16"/>
  <c r="D645" i="16"/>
  <c r="D662" i="16"/>
  <c r="D673" i="16"/>
  <c r="H679" i="16"/>
  <c r="B686" i="16"/>
  <c r="B688" i="16"/>
  <c r="D690" i="16"/>
  <c r="F692" i="16"/>
  <c r="F694" i="16"/>
  <c r="H696" i="16"/>
  <c r="J698" i="16"/>
  <c r="F700" i="16"/>
  <c r="G701" i="16"/>
  <c r="K702" i="16"/>
  <c r="B704" i="16"/>
  <c r="F705" i="16"/>
  <c r="J706" i="16"/>
  <c r="K707" i="16"/>
  <c r="E709" i="16"/>
  <c r="F710" i="16"/>
  <c r="J711" i="16"/>
  <c r="D713" i="16"/>
  <c r="E714" i="16"/>
  <c r="I715" i="16"/>
  <c r="J716" i="16"/>
  <c r="D718" i="16"/>
  <c r="H719" i="16"/>
  <c r="I720" i="16"/>
  <c r="C722" i="16"/>
  <c r="D723" i="16"/>
  <c r="H724" i="16"/>
  <c r="B726" i="16"/>
  <c r="C727" i="16"/>
  <c r="G728" i="16"/>
  <c r="H729" i="16"/>
  <c r="B731" i="16"/>
  <c r="F732" i="16"/>
  <c r="G733" i="16"/>
  <c r="K734" i="16"/>
  <c r="B736" i="16"/>
  <c r="F737" i="16"/>
  <c r="J738" i="16"/>
  <c r="K739" i="16"/>
  <c r="E741" i="16"/>
  <c r="F742" i="16"/>
  <c r="J743" i="16"/>
  <c r="D745" i="16"/>
  <c r="E746" i="16"/>
  <c r="I747" i="16"/>
  <c r="J748" i="16"/>
  <c r="D750" i="16"/>
  <c r="H751" i="16"/>
  <c r="I752" i="16"/>
  <c r="C754" i="16"/>
  <c r="D755" i="16"/>
  <c r="H756" i="16"/>
  <c r="B758" i="16"/>
  <c r="C759" i="16"/>
  <c r="G760" i="16"/>
  <c r="H761" i="16"/>
  <c r="B763" i="16"/>
  <c r="F764" i="16"/>
  <c r="G765" i="16"/>
  <c r="K766" i="16"/>
  <c r="B768" i="16"/>
  <c r="F769" i="16"/>
  <c r="J770" i="16"/>
  <c r="K771" i="16"/>
  <c r="E773" i="16"/>
  <c r="F774" i="16"/>
  <c r="J775" i="16"/>
  <c r="B777" i="16"/>
  <c r="J777" i="16"/>
  <c r="H778" i="16"/>
  <c r="F779" i="16"/>
  <c r="D780" i="16"/>
  <c r="B781" i="16"/>
  <c r="J781" i="16"/>
  <c r="H782" i="16"/>
  <c r="F783" i="16"/>
  <c r="D784" i="16"/>
  <c r="B785" i="16"/>
  <c r="J785" i="16"/>
  <c r="H786" i="16"/>
  <c r="F787" i="16"/>
  <c r="D788" i="16"/>
  <c r="B789" i="16"/>
  <c r="J789" i="16"/>
  <c r="H790" i="16"/>
  <c r="F791" i="16"/>
  <c r="D792" i="16"/>
  <c r="B793" i="16"/>
  <c r="J793" i="16"/>
  <c r="H794" i="16"/>
  <c r="F795" i="16"/>
  <c r="D796" i="16"/>
  <c r="B797" i="16"/>
  <c r="J797" i="16"/>
  <c r="H798" i="16"/>
  <c r="F799" i="16"/>
  <c r="D800" i="16"/>
  <c r="B801" i="16"/>
  <c r="J801" i="16"/>
  <c r="H802" i="16"/>
  <c r="F803" i="16"/>
  <c r="D804" i="16"/>
  <c r="B805" i="16"/>
  <c r="J805" i="16"/>
  <c r="H806" i="16"/>
  <c r="F807" i="16"/>
  <c r="D808" i="16"/>
  <c r="B809" i="16"/>
  <c r="J809" i="16"/>
  <c r="H810" i="16"/>
  <c r="F811" i="16"/>
  <c r="D812" i="16"/>
  <c r="B813" i="16"/>
  <c r="J813" i="16"/>
  <c r="H814" i="16"/>
  <c r="F815" i="16"/>
  <c r="D816" i="16"/>
  <c r="B817" i="16"/>
  <c r="J817" i="16"/>
  <c r="H818" i="16"/>
  <c r="F819" i="16"/>
  <c r="D820" i="16"/>
  <c r="B821" i="16"/>
  <c r="J821" i="16"/>
  <c r="H822" i="16"/>
  <c r="F823" i="16"/>
  <c r="D824" i="16"/>
  <c r="B825" i="16"/>
  <c r="J825" i="16"/>
  <c r="H826" i="16"/>
  <c r="F827" i="16"/>
  <c r="D828" i="16"/>
  <c r="B829" i="16"/>
  <c r="J829" i="16"/>
  <c r="H830" i="16"/>
  <c r="F831" i="16"/>
  <c r="D832" i="16"/>
  <c r="B833" i="16"/>
  <c r="J833" i="16"/>
  <c r="H834" i="16"/>
  <c r="F835" i="16"/>
  <c r="D836" i="16"/>
  <c r="B837" i="16"/>
  <c r="J837" i="16"/>
  <c r="H838" i="16"/>
  <c r="F839" i="16"/>
  <c r="D840" i="16"/>
  <c r="B841" i="16"/>
  <c r="J841" i="16"/>
  <c r="H842" i="16"/>
  <c r="F843" i="16"/>
  <c r="D844" i="16"/>
  <c r="B845" i="16"/>
  <c r="J845" i="16"/>
  <c r="H846" i="16"/>
  <c r="F847" i="16"/>
  <c r="D848" i="16"/>
  <c r="B849" i="16"/>
  <c r="J849" i="16"/>
  <c r="H850" i="16"/>
  <c r="F851" i="16"/>
  <c r="D852" i="16"/>
  <c r="B853" i="16"/>
  <c r="J853" i="16"/>
  <c r="H854" i="16"/>
  <c r="F855" i="16"/>
  <c r="D856" i="16"/>
  <c r="B857" i="16"/>
  <c r="J857" i="16"/>
  <c r="H858" i="16"/>
  <c r="F859" i="16"/>
  <c r="D860" i="16"/>
  <c r="B861" i="16"/>
  <c r="J861" i="16"/>
  <c r="H862" i="16"/>
  <c r="F863" i="16"/>
  <c r="D864" i="16"/>
  <c r="B865" i="16"/>
  <c r="J865" i="16"/>
  <c r="H866" i="16"/>
  <c r="F867" i="16"/>
  <c r="D868" i="16"/>
  <c r="B869" i="16"/>
  <c r="J869" i="16"/>
  <c r="H870" i="16"/>
  <c r="F871" i="16"/>
  <c r="D872" i="16"/>
  <c r="B873" i="16"/>
  <c r="J873" i="16"/>
  <c r="H874" i="16"/>
  <c r="F875" i="16"/>
  <c r="D876" i="16"/>
  <c r="B877" i="16"/>
  <c r="J877" i="16"/>
  <c r="H878" i="16"/>
  <c r="F879" i="16"/>
  <c r="D880" i="16"/>
  <c r="B881" i="16"/>
  <c r="J881" i="16"/>
  <c r="H882" i="16"/>
  <c r="F883" i="16"/>
  <c r="D884" i="16"/>
  <c r="B885" i="16"/>
  <c r="J885" i="16"/>
  <c r="H886" i="16"/>
  <c r="F887" i="16"/>
  <c r="D888" i="16"/>
  <c r="B889" i="16"/>
  <c r="J889" i="16"/>
  <c r="H890" i="16"/>
  <c r="F891" i="16"/>
  <c r="D892" i="16"/>
  <c r="B893" i="16"/>
  <c r="J893" i="16"/>
  <c r="H894" i="16"/>
  <c r="F895" i="16"/>
  <c r="D896" i="16"/>
  <c r="B897" i="16"/>
  <c r="J897" i="16"/>
  <c r="H898" i="16"/>
  <c r="F899" i="16"/>
  <c r="D900" i="16"/>
  <c r="B901" i="16"/>
  <c r="J901" i="16"/>
  <c r="H902" i="16"/>
  <c r="F903" i="16"/>
  <c r="D904" i="16"/>
  <c r="B905" i="16"/>
  <c r="J905" i="16"/>
  <c r="H906" i="16"/>
  <c r="F907" i="16"/>
  <c r="D908" i="16"/>
  <c r="B909" i="16"/>
  <c r="E461" i="16"/>
  <c r="H526" i="16"/>
  <c r="B572" i="16"/>
  <c r="D596" i="16"/>
  <c r="D613" i="16"/>
  <c r="D630" i="16"/>
  <c r="F647" i="16"/>
  <c r="F664" i="16"/>
  <c r="B674" i="16"/>
  <c r="F680" i="16"/>
  <c r="D686" i="16"/>
  <c r="F688" i="16"/>
  <c r="F690" i="16"/>
  <c r="H692" i="16"/>
  <c r="J694" i="16"/>
  <c r="J696" i="16"/>
  <c r="B699" i="16"/>
  <c r="G700" i="16"/>
  <c r="H701" i="16"/>
  <c r="B703" i="16"/>
  <c r="F704" i="16"/>
  <c r="G705" i="16"/>
  <c r="K706" i="16"/>
  <c r="B708" i="16"/>
  <c r="F709" i="16"/>
  <c r="J710" i="16"/>
  <c r="K711" i="16"/>
  <c r="E713" i="16"/>
  <c r="F714" i="16"/>
  <c r="J715" i="16"/>
  <c r="D717" i="16"/>
  <c r="E718" i="16"/>
  <c r="I719" i="16"/>
  <c r="J720" i="16"/>
  <c r="D722" i="16"/>
  <c r="H723" i="16"/>
  <c r="I724" i="16"/>
  <c r="C726" i="16"/>
  <c r="D727" i="16"/>
  <c r="H728" i="16"/>
  <c r="B730" i="16"/>
  <c r="C731" i="16"/>
  <c r="G732" i="16"/>
  <c r="H733" i="16"/>
  <c r="B735" i="16"/>
  <c r="F736" i="16"/>
  <c r="G737" i="16"/>
  <c r="K738" i="16"/>
  <c r="B740" i="16"/>
  <c r="F741" i="16"/>
  <c r="J742" i="16"/>
  <c r="K743" i="16"/>
  <c r="E745" i="16"/>
  <c r="F746" i="16"/>
  <c r="J747" i="16"/>
  <c r="D749" i="16"/>
  <c r="E750" i="16"/>
  <c r="I751" i="16"/>
  <c r="J752" i="16"/>
  <c r="D754" i="16"/>
  <c r="H755" i="16"/>
  <c r="I756" i="16"/>
  <c r="C758" i="16"/>
  <c r="D759" i="16"/>
  <c r="H760" i="16"/>
  <c r="B762" i="16"/>
  <c r="C763" i="16"/>
  <c r="G764" i="16"/>
  <c r="H765" i="16"/>
  <c r="B767" i="16"/>
  <c r="F768" i="16"/>
  <c r="G769" i="16"/>
  <c r="K770" i="16"/>
  <c r="B772" i="16"/>
  <c r="F773" i="16"/>
  <c r="J774" i="16"/>
  <c r="K775" i="16"/>
  <c r="C777" i="16"/>
  <c r="K777" i="16"/>
  <c r="I778" i="16"/>
  <c r="G779" i="16"/>
  <c r="E780" i="16"/>
  <c r="C781" i="16"/>
  <c r="K781" i="16"/>
  <c r="I782" i="16"/>
  <c r="G783" i="16"/>
  <c r="E784" i="16"/>
  <c r="C785" i="16"/>
  <c r="K785" i="16"/>
  <c r="I786" i="16"/>
  <c r="G787" i="16"/>
  <c r="E788" i="16"/>
  <c r="C789" i="16"/>
  <c r="K789" i="16"/>
  <c r="I790" i="16"/>
  <c r="G791" i="16"/>
  <c r="E792" i="16"/>
  <c r="C793" i="16"/>
  <c r="K793" i="16"/>
  <c r="I794" i="16"/>
  <c r="G795" i="16"/>
  <c r="E796" i="16"/>
  <c r="C797" i="16"/>
  <c r="K797" i="16"/>
  <c r="I798" i="16"/>
  <c r="G799" i="16"/>
  <c r="E800" i="16"/>
  <c r="C801" i="16"/>
  <c r="K801" i="16"/>
  <c r="I802" i="16"/>
  <c r="G803" i="16"/>
  <c r="E804" i="16"/>
  <c r="C805" i="16"/>
  <c r="K805" i="16"/>
  <c r="I806" i="16"/>
  <c r="G807" i="16"/>
  <c r="E808" i="16"/>
  <c r="C809" i="16"/>
  <c r="K809" i="16"/>
  <c r="I810" i="16"/>
  <c r="G811" i="16"/>
  <c r="E812" i="16"/>
  <c r="C813" i="16"/>
  <c r="K813" i="16"/>
  <c r="I814" i="16"/>
  <c r="G815" i="16"/>
  <c r="E816" i="16"/>
  <c r="C817" i="16"/>
  <c r="K817" i="16"/>
  <c r="I818" i="16"/>
  <c r="G819" i="16"/>
  <c r="E820" i="16"/>
  <c r="C821" i="16"/>
  <c r="K821" i="16"/>
  <c r="I822" i="16"/>
  <c r="G823" i="16"/>
  <c r="E824" i="16"/>
  <c r="C825" i="16"/>
  <c r="K825" i="16"/>
  <c r="I826" i="16"/>
  <c r="G827" i="16"/>
  <c r="E828" i="16"/>
  <c r="C829" i="16"/>
  <c r="K829" i="16"/>
  <c r="I830" i="16"/>
  <c r="G831" i="16"/>
  <c r="E832" i="16"/>
  <c r="C833" i="16"/>
  <c r="K833" i="16"/>
  <c r="I834" i="16"/>
  <c r="G835" i="16"/>
  <c r="E836" i="16"/>
  <c r="C837" i="16"/>
  <c r="K837" i="16"/>
  <c r="I838" i="16"/>
  <c r="G839" i="16"/>
  <c r="E840" i="16"/>
  <c r="C841" i="16"/>
  <c r="K841" i="16"/>
  <c r="I842" i="16"/>
  <c r="G843" i="16"/>
  <c r="E844" i="16"/>
  <c r="C845" i="16"/>
  <c r="K845" i="16"/>
  <c r="I846" i="16"/>
  <c r="G847" i="16"/>
  <c r="E848" i="16"/>
  <c r="C849" i="16"/>
  <c r="K849" i="16"/>
  <c r="I850" i="16"/>
  <c r="G851" i="16"/>
  <c r="E852" i="16"/>
  <c r="C853" i="16"/>
  <c r="K853" i="16"/>
  <c r="I854" i="16"/>
  <c r="G855" i="16"/>
  <c r="E856" i="16"/>
  <c r="C857" i="16"/>
  <c r="K857" i="16"/>
  <c r="I858" i="16"/>
  <c r="G859" i="16"/>
  <c r="E860" i="16"/>
  <c r="C861" i="16"/>
  <c r="K861" i="16"/>
  <c r="I862" i="16"/>
  <c r="G863" i="16"/>
  <c r="E864" i="16"/>
  <c r="C865" i="16"/>
  <c r="K865" i="16"/>
  <c r="I866" i="16"/>
  <c r="G867" i="16"/>
  <c r="E868" i="16"/>
  <c r="C869" i="16"/>
  <c r="K869" i="16"/>
  <c r="I870" i="16"/>
  <c r="G871" i="16"/>
  <c r="E872" i="16"/>
  <c r="C873" i="16"/>
  <c r="K873" i="16"/>
  <c r="I874" i="16"/>
  <c r="G875" i="16"/>
  <c r="E876" i="16"/>
  <c r="C877" i="16"/>
  <c r="K877" i="16"/>
  <c r="I878" i="16"/>
  <c r="G879" i="16"/>
  <c r="E880" i="16"/>
  <c r="C881" i="16"/>
  <c r="K881" i="16"/>
  <c r="I882" i="16"/>
  <c r="G883" i="16"/>
  <c r="E884" i="16"/>
  <c r="C885" i="16"/>
  <c r="K885" i="16"/>
  <c r="I886" i="16"/>
  <c r="G887" i="16"/>
  <c r="E888" i="16"/>
  <c r="C889" i="16"/>
  <c r="K889" i="16"/>
  <c r="I890" i="16"/>
  <c r="G891" i="16"/>
  <c r="E892" i="16"/>
  <c r="C893" i="16"/>
  <c r="K893" i="16"/>
  <c r="I894" i="16"/>
  <c r="G895" i="16"/>
  <c r="E896" i="16"/>
  <c r="C897" i="16"/>
  <c r="K897" i="16"/>
  <c r="I898" i="16"/>
  <c r="G899" i="16"/>
  <c r="E900" i="16"/>
  <c r="C901" i="16"/>
  <c r="K901" i="16"/>
  <c r="I902" i="16"/>
  <c r="G903" i="16"/>
  <c r="E904" i="16"/>
  <c r="C905" i="16"/>
  <c r="K905" i="16"/>
  <c r="I906" i="16"/>
  <c r="G907" i="16"/>
  <c r="E908" i="16"/>
  <c r="C909" i="16"/>
  <c r="I469" i="16"/>
  <c r="F532" i="16"/>
  <c r="J577" i="16"/>
  <c r="D598" i="16"/>
  <c r="F615" i="16"/>
  <c r="F632" i="16"/>
  <c r="F649" i="16"/>
  <c r="H666" i="16"/>
  <c r="J674" i="16"/>
  <c r="D681" i="16"/>
  <c r="F686" i="16"/>
  <c r="H688" i="16"/>
  <c r="J690" i="16"/>
  <c r="J692" i="16"/>
  <c r="B695" i="16"/>
  <c r="D697" i="16"/>
  <c r="D699" i="16"/>
  <c r="H700" i="16"/>
  <c r="B702" i="16"/>
  <c r="C703" i="16"/>
  <c r="G704" i="16"/>
  <c r="H705" i="16"/>
  <c r="B707" i="16"/>
  <c r="F708" i="16"/>
  <c r="G709" i="16"/>
  <c r="K710" i="16"/>
  <c r="B712" i="16"/>
  <c r="F713" i="16"/>
  <c r="J714" i="16"/>
  <c r="K715" i="16"/>
  <c r="E717" i="16"/>
  <c r="F718" i="16"/>
  <c r="J719" i="16"/>
  <c r="D721" i="16"/>
  <c r="E722" i="16"/>
  <c r="I723" i="16"/>
  <c r="J724" i="16"/>
  <c r="D726" i="16"/>
  <c r="H727" i="16"/>
  <c r="I728" i="16"/>
  <c r="C730" i="16"/>
  <c r="D731" i="16"/>
  <c r="H732" i="16"/>
  <c r="B734" i="16"/>
  <c r="C735" i="16"/>
  <c r="G736" i="16"/>
  <c r="H737" i="16"/>
  <c r="B739" i="16"/>
  <c r="F740" i="16"/>
  <c r="G741" i="16"/>
  <c r="K742" i="16"/>
  <c r="B744" i="16"/>
  <c r="F745" i="16"/>
  <c r="J746" i="16"/>
  <c r="K747" i="16"/>
  <c r="E749" i="16"/>
  <c r="F750" i="16"/>
  <c r="J751" i="16"/>
  <c r="D753" i="16"/>
  <c r="E754" i="16"/>
  <c r="I755" i="16"/>
  <c r="J756" i="16"/>
  <c r="D758" i="16"/>
  <c r="H759" i="16"/>
  <c r="I760" i="16"/>
  <c r="C762" i="16"/>
  <c r="D763" i="16"/>
  <c r="H764" i="16"/>
  <c r="B766" i="16"/>
  <c r="C767" i="16"/>
  <c r="G768" i="16"/>
  <c r="H769" i="16"/>
  <c r="B771" i="16"/>
  <c r="F772" i="16"/>
  <c r="G773" i="16"/>
  <c r="K774" i="16"/>
  <c r="B776" i="16"/>
  <c r="D777" i="16"/>
  <c r="B778" i="16"/>
  <c r="J778" i="16"/>
  <c r="H779" i="16"/>
  <c r="F780" i="16"/>
  <c r="D781" i="16"/>
  <c r="B782" i="16"/>
  <c r="J782" i="16"/>
  <c r="H783" i="16"/>
  <c r="F784" i="16"/>
  <c r="D785" i="16"/>
  <c r="B786" i="16"/>
  <c r="J786" i="16"/>
  <c r="H787" i="16"/>
  <c r="F788" i="16"/>
  <c r="D789" i="16"/>
  <c r="B790" i="16"/>
  <c r="J790" i="16"/>
  <c r="H791" i="16"/>
  <c r="F792" i="16"/>
  <c r="D793" i="16"/>
  <c r="B794" i="16"/>
  <c r="J794" i="16"/>
  <c r="H795" i="16"/>
  <c r="F796" i="16"/>
  <c r="D797" i="16"/>
  <c r="B798" i="16"/>
  <c r="J798" i="16"/>
  <c r="H799" i="16"/>
  <c r="F800" i="16"/>
  <c r="D801" i="16"/>
  <c r="B802" i="16"/>
  <c r="J802" i="16"/>
  <c r="H803" i="16"/>
  <c r="F804" i="16"/>
  <c r="D805" i="16"/>
  <c r="B806" i="16"/>
  <c r="J806" i="16"/>
  <c r="H807" i="16"/>
  <c r="F808" i="16"/>
  <c r="D809" i="16"/>
  <c r="B810" i="16"/>
  <c r="J810" i="16"/>
  <c r="H811" i="16"/>
  <c r="F812" i="16"/>
  <c r="D813" i="16"/>
  <c r="B814" i="16"/>
  <c r="J814" i="16"/>
  <c r="H815" i="16"/>
  <c r="F816" i="16"/>
  <c r="D817" i="16"/>
  <c r="B818" i="16"/>
  <c r="J818" i="16"/>
  <c r="H819" i="16"/>
  <c r="F820" i="16"/>
  <c r="D821" i="16"/>
  <c r="B822" i="16"/>
  <c r="J822" i="16"/>
  <c r="H823" i="16"/>
  <c r="F824" i="16"/>
  <c r="D825" i="16"/>
  <c r="B826" i="16"/>
  <c r="J826" i="16"/>
  <c r="H827" i="16"/>
  <c r="F828" i="16"/>
  <c r="D829" i="16"/>
  <c r="B830" i="16"/>
  <c r="J830" i="16"/>
  <c r="H831" i="16"/>
  <c r="F832" i="16"/>
  <c r="D833" i="16"/>
  <c r="B834" i="16"/>
  <c r="J834" i="16"/>
  <c r="H835" i="16"/>
  <c r="F836" i="16"/>
  <c r="D837" i="16"/>
  <c r="B838" i="16"/>
  <c r="J838" i="16"/>
  <c r="H839" i="16"/>
  <c r="F840" i="16"/>
  <c r="D841" i="16"/>
  <c r="B842" i="16"/>
  <c r="J842" i="16"/>
  <c r="H843" i="16"/>
  <c r="F844" i="16"/>
  <c r="D845" i="16"/>
  <c r="B846" i="16"/>
  <c r="J846" i="16"/>
  <c r="H847" i="16"/>
  <c r="F848" i="16"/>
  <c r="D849" i="16"/>
  <c r="B850" i="16"/>
  <c r="J850" i="16"/>
  <c r="H851" i="16"/>
  <c r="F852" i="16"/>
  <c r="D853" i="16"/>
  <c r="B854" i="16"/>
  <c r="J854" i="16"/>
  <c r="H855" i="16"/>
  <c r="F856" i="16"/>
  <c r="D857" i="16"/>
  <c r="B858" i="16"/>
  <c r="J858" i="16"/>
  <c r="H859" i="16"/>
  <c r="F860" i="16"/>
  <c r="D861" i="16"/>
  <c r="B862" i="16"/>
  <c r="J862" i="16"/>
  <c r="H863" i="16"/>
  <c r="F864" i="16"/>
  <c r="D865" i="16"/>
  <c r="B866" i="16"/>
  <c r="J866" i="16"/>
  <c r="H867" i="16"/>
  <c r="F868" i="16"/>
  <c r="D869" i="16"/>
  <c r="B870" i="16"/>
  <c r="J870" i="16"/>
  <c r="H871" i="16"/>
  <c r="F872" i="16"/>
  <c r="D873" i="16"/>
  <c r="B874" i="16"/>
  <c r="J874" i="16"/>
  <c r="H875" i="16"/>
  <c r="F876" i="16"/>
  <c r="D877" i="16"/>
  <c r="B878" i="16"/>
  <c r="J878" i="16"/>
  <c r="H879" i="16"/>
  <c r="F880" i="16"/>
  <c r="D881" i="16"/>
  <c r="B882" i="16"/>
  <c r="J882" i="16"/>
  <c r="H883" i="16"/>
  <c r="F884" i="16"/>
  <c r="D885" i="16"/>
  <c r="B886" i="16"/>
  <c r="J886" i="16"/>
  <c r="H887" i="16"/>
  <c r="F888" i="16"/>
  <c r="D889" i="16"/>
  <c r="B890" i="16"/>
  <c r="J890" i="16"/>
  <c r="H891" i="16"/>
  <c r="F892" i="16"/>
  <c r="D893" i="16"/>
  <c r="B894" i="16"/>
  <c r="J894" i="16"/>
  <c r="H895" i="16"/>
  <c r="F896" i="16"/>
  <c r="D897" i="16"/>
  <c r="B898" i="16"/>
  <c r="J898" i="16"/>
  <c r="H899" i="16"/>
  <c r="F900" i="16"/>
  <c r="D901" i="16"/>
  <c r="B902" i="16"/>
  <c r="J902" i="16"/>
  <c r="H903" i="16"/>
  <c r="F904" i="16"/>
  <c r="D905" i="16"/>
  <c r="B906" i="16"/>
  <c r="J906" i="16"/>
  <c r="H907" i="16"/>
  <c r="F908" i="16"/>
  <c r="D909" i="16"/>
  <c r="C479" i="16"/>
  <c r="H675" i="16"/>
  <c r="H699" i="16"/>
  <c r="H709" i="16"/>
  <c r="K719" i="16"/>
  <c r="D730" i="16"/>
  <c r="G740" i="16"/>
  <c r="J750" i="16"/>
  <c r="J760" i="16"/>
  <c r="C771" i="16"/>
  <c r="I779" i="16"/>
  <c r="C786" i="16"/>
  <c r="G792" i="16"/>
  <c r="K798" i="16"/>
  <c r="E805" i="16"/>
  <c r="I811" i="16"/>
  <c r="C818" i="16"/>
  <c r="G824" i="16"/>
  <c r="K830" i="16"/>
  <c r="E837" i="16"/>
  <c r="I843" i="16"/>
  <c r="C850" i="16"/>
  <c r="I852" i="16"/>
  <c r="K854" i="16"/>
  <c r="J856" i="16"/>
  <c r="C859" i="16"/>
  <c r="E861" i="16"/>
  <c r="D863" i="16"/>
  <c r="G865" i="16"/>
  <c r="I867" i="16"/>
  <c r="H869" i="16"/>
  <c r="K871" i="16"/>
  <c r="C874" i="16"/>
  <c r="B876" i="16"/>
  <c r="E878" i="16"/>
  <c r="G880" i="16"/>
  <c r="F882" i="16"/>
  <c r="I884" i="16"/>
  <c r="K886" i="16"/>
  <c r="J888" i="16"/>
  <c r="C891" i="16"/>
  <c r="E893" i="16"/>
  <c r="D895" i="16"/>
  <c r="G897" i="16"/>
  <c r="I899" i="16"/>
  <c r="H901" i="16"/>
  <c r="K903" i="16"/>
  <c r="C906" i="16"/>
  <c r="B908" i="16"/>
  <c r="I909" i="16"/>
  <c r="G910" i="16"/>
  <c r="E911" i="16"/>
  <c r="C912" i="16"/>
  <c r="K912" i="16"/>
  <c r="I913" i="16"/>
  <c r="G914" i="16"/>
  <c r="E915" i="16"/>
  <c r="C916" i="16"/>
  <c r="K916" i="16"/>
  <c r="I917" i="16"/>
  <c r="G918" i="16"/>
  <c r="E919" i="16"/>
  <c r="C920" i="16"/>
  <c r="K920" i="16"/>
  <c r="I921" i="16"/>
  <c r="G922" i="16"/>
  <c r="E923" i="16"/>
  <c r="C924" i="16"/>
  <c r="K924" i="16"/>
  <c r="I925" i="16"/>
  <c r="G926" i="16"/>
  <c r="E927" i="16"/>
  <c r="C928" i="16"/>
  <c r="K928" i="16"/>
  <c r="I929" i="16"/>
  <c r="G930" i="16"/>
  <c r="E931" i="16"/>
  <c r="C932" i="16"/>
  <c r="K932" i="16"/>
  <c r="I933" i="16"/>
  <c r="G934" i="16"/>
  <c r="E935" i="16"/>
  <c r="C936" i="16"/>
  <c r="K936" i="16"/>
  <c r="I937" i="16"/>
  <c r="G938" i="16"/>
  <c r="E939" i="16"/>
  <c r="C940" i="16"/>
  <c r="K940" i="16"/>
  <c r="I941" i="16"/>
  <c r="G942" i="16"/>
  <c r="E943" i="16"/>
  <c r="C944" i="16"/>
  <c r="K944" i="16"/>
  <c r="I945" i="16"/>
  <c r="G946" i="16"/>
  <c r="E947" i="16"/>
  <c r="C948" i="16"/>
  <c r="K948" i="16"/>
  <c r="I949" i="16"/>
  <c r="G950" i="16"/>
  <c r="E951" i="16"/>
  <c r="C952" i="16"/>
  <c r="K952" i="16"/>
  <c r="I953" i="16"/>
  <c r="G954" i="16"/>
  <c r="E955" i="16"/>
  <c r="C956" i="16"/>
  <c r="K956" i="16"/>
  <c r="I957" i="16"/>
  <c r="G958" i="16"/>
  <c r="E959" i="16"/>
  <c r="C960" i="16"/>
  <c r="K960" i="16"/>
  <c r="I961" i="16"/>
  <c r="G962" i="16"/>
  <c r="E963" i="16"/>
  <c r="C964" i="16"/>
  <c r="K964" i="16"/>
  <c r="I965" i="16"/>
  <c r="G966" i="16"/>
  <c r="E967" i="16"/>
  <c r="C968" i="16"/>
  <c r="K968" i="16"/>
  <c r="I969" i="16"/>
  <c r="G970" i="16"/>
  <c r="E971" i="16"/>
  <c r="C972" i="16"/>
  <c r="K972" i="16"/>
  <c r="I973" i="16"/>
  <c r="G974" i="16"/>
  <c r="E975" i="16"/>
  <c r="C976" i="16"/>
  <c r="K976" i="16"/>
  <c r="I977" i="16"/>
  <c r="G978" i="16"/>
  <c r="E979" i="16"/>
  <c r="C980" i="16"/>
  <c r="K980" i="16"/>
  <c r="I981" i="16"/>
  <c r="G982" i="16"/>
  <c r="E983" i="16"/>
  <c r="C984" i="16"/>
  <c r="K984" i="16"/>
  <c r="I985" i="16"/>
  <c r="G986" i="16"/>
  <c r="E987" i="16"/>
  <c r="C988" i="16"/>
  <c r="K988" i="16"/>
  <c r="I989" i="16"/>
  <c r="G990" i="16"/>
  <c r="E991" i="16"/>
  <c r="C992" i="16"/>
  <c r="K992" i="16"/>
  <c r="I993" i="16"/>
  <c r="G994" i="16"/>
  <c r="E995" i="16"/>
  <c r="C996" i="16"/>
  <c r="K996" i="16"/>
  <c r="I997" i="16"/>
  <c r="G998" i="16"/>
  <c r="E999" i="16"/>
  <c r="C1000" i="16"/>
  <c r="K1000" i="16"/>
  <c r="I1001" i="16"/>
  <c r="G1002" i="16"/>
  <c r="E1003" i="16"/>
  <c r="C1004" i="16"/>
  <c r="K1004" i="16"/>
  <c r="I1005" i="16"/>
  <c r="G1006" i="16"/>
  <c r="E1007" i="16"/>
  <c r="F749" i="16"/>
  <c r="I759" i="16"/>
  <c r="B770" i="16"/>
  <c r="E785" i="16"/>
  <c r="G804" i="16"/>
  <c r="G836" i="16"/>
  <c r="G852" i="16"/>
  <c r="K858" i="16"/>
  <c r="G869" i="16"/>
  <c r="C878" i="16"/>
  <c r="K890" i="16"/>
  <c r="I903" i="16"/>
  <c r="B912" i="16"/>
  <c r="J916" i="16"/>
  <c r="H921" i="16"/>
  <c r="D927" i="16"/>
  <c r="B932" i="16"/>
  <c r="J936" i="16"/>
  <c r="H941" i="16"/>
  <c r="F946" i="16"/>
  <c r="D951" i="16"/>
  <c r="B956" i="16"/>
  <c r="J960" i="16"/>
  <c r="F966" i="16"/>
  <c r="J972" i="16"/>
  <c r="H977" i="16"/>
  <c r="D983" i="16"/>
  <c r="F990" i="16"/>
  <c r="B996" i="16"/>
  <c r="H1001" i="16"/>
  <c r="D1007" i="16"/>
  <c r="J537" i="16"/>
  <c r="B682" i="16"/>
  <c r="I700" i="16"/>
  <c r="B711" i="16"/>
  <c r="E721" i="16"/>
  <c r="H731" i="16"/>
  <c r="H741" i="16"/>
  <c r="K751" i="16"/>
  <c r="D762" i="16"/>
  <c r="G772" i="16"/>
  <c r="G780" i="16"/>
  <c r="K786" i="16"/>
  <c r="E793" i="16"/>
  <c r="I799" i="16"/>
  <c r="C806" i="16"/>
  <c r="G812" i="16"/>
  <c r="K818" i="16"/>
  <c r="E825" i="16"/>
  <c r="I831" i="16"/>
  <c r="C838" i="16"/>
  <c r="G844" i="16"/>
  <c r="K850" i="16"/>
  <c r="J852" i="16"/>
  <c r="C855" i="16"/>
  <c r="E857" i="16"/>
  <c r="D859" i="16"/>
  <c r="G861" i="16"/>
  <c r="I863" i="16"/>
  <c r="H865" i="16"/>
  <c r="K867" i="16"/>
  <c r="C870" i="16"/>
  <c r="B872" i="16"/>
  <c r="E874" i="16"/>
  <c r="G876" i="16"/>
  <c r="F878" i="16"/>
  <c r="I880" i="16"/>
  <c r="K882" i="16"/>
  <c r="J884" i="16"/>
  <c r="C887" i="16"/>
  <c r="E889" i="16"/>
  <c r="D891" i="16"/>
  <c r="G893" i="16"/>
  <c r="I895" i="16"/>
  <c r="H897" i="16"/>
  <c r="K899" i="16"/>
  <c r="C902" i="16"/>
  <c r="B904" i="16"/>
  <c r="E906" i="16"/>
  <c r="G908" i="16"/>
  <c r="J909" i="16"/>
  <c r="H910" i="16"/>
  <c r="F911" i="16"/>
  <c r="D912" i="16"/>
  <c r="B913" i="16"/>
  <c r="J913" i="16"/>
  <c r="H914" i="16"/>
  <c r="F915" i="16"/>
  <c r="D916" i="16"/>
  <c r="B917" i="16"/>
  <c r="J917" i="16"/>
  <c r="H918" i="16"/>
  <c r="F919" i="16"/>
  <c r="D920" i="16"/>
  <c r="B921" i="16"/>
  <c r="J921" i="16"/>
  <c r="H922" i="16"/>
  <c r="F923" i="16"/>
  <c r="D924" i="16"/>
  <c r="B925" i="16"/>
  <c r="J925" i="16"/>
  <c r="H926" i="16"/>
  <c r="F927" i="16"/>
  <c r="D928" i="16"/>
  <c r="B929" i="16"/>
  <c r="J929" i="16"/>
  <c r="H930" i="16"/>
  <c r="F931" i="16"/>
  <c r="D932" i="16"/>
  <c r="B933" i="16"/>
  <c r="J933" i="16"/>
  <c r="H934" i="16"/>
  <c r="F935" i="16"/>
  <c r="D936" i="16"/>
  <c r="B937" i="16"/>
  <c r="J937" i="16"/>
  <c r="H938" i="16"/>
  <c r="F939" i="16"/>
  <c r="D940" i="16"/>
  <c r="B941" i="16"/>
  <c r="J941" i="16"/>
  <c r="H942" i="16"/>
  <c r="F943" i="16"/>
  <c r="D944" i="16"/>
  <c r="B945" i="16"/>
  <c r="J945" i="16"/>
  <c r="H946" i="16"/>
  <c r="F947" i="16"/>
  <c r="D948" i="16"/>
  <c r="B949" i="16"/>
  <c r="J949" i="16"/>
  <c r="H950" i="16"/>
  <c r="F951" i="16"/>
  <c r="D952" i="16"/>
  <c r="B953" i="16"/>
  <c r="J953" i="16"/>
  <c r="H954" i="16"/>
  <c r="F955" i="16"/>
  <c r="D956" i="16"/>
  <c r="B957" i="16"/>
  <c r="J957" i="16"/>
  <c r="H958" i="16"/>
  <c r="F959" i="16"/>
  <c r="D960" i="16"/>
  <c r="B961" i="16"/>
  <c r="J961" i="16"/>
  <c r="H962" i="16"/>
  <c r="F963" i="16"/>
  <c r="D964" i="16"/>
  <c r="B965" i="16"/>
  <c r="J965" i="16"/>
  <c r="H966" i="16"/>
  <c r="F967" i="16"/>
  <c r="D968" i="16"/>
  <c r="B969" i="16"/>
  <c r="J969" i="16"/>
  <c r="H970" i="16"/>
  <c r="F971" i="16"/>
  <c r="D972" i="16"/>
  <c r="B973" i="16"/>
  <c r="J973" i="16"/>
  <c r="H974" i="16"/>
  <c r="F975" i="16"/>
  <c r="D976" i="16"/>
  <c r="B977" i="16"/>
  <c r="J977" i="16"/>
  <c r="H978" i="16"/>
  <c r="F979" i="16"/>
  <c r="D980" i="16"/>
  <c r="B981" i="16"/>
  <c r="J981" i="16"/>
  <c r="H982" i="16"/>
  <c r="F983" i="16"/>
  <c r="D984" i="16"/>
  <c r="B985" i="16"/>
  <c r="J985" i="16"/>
  <c r="H986" i="16"/>
  <c r="F987" i="16"/>
  <c r="D988" i="16"/>
  <c r="B989" i="16"/>
  <c r="J989" i="16"/>
  <c r="H990" i="16"/>
  <c r="F991" i="16"/>
  <c r="D992" i="16"/>
  <c r="B993" i="16"/>
  <c r="J993" i="16"/>
  <c r="H994" i="16"/>
  <c r="F995" i="16"/>
  <c r="D996" i="16"/>
  <c r="B997" i="16"/>
  <c r="J997" i="16"/>
  <c r="H998" i="16"/>
  <c r="F999" i="16"/>
  <c r="D1000" i="16"/>
  <c r="B1001" i="16"/>
  <c r="J1001" i="16"/>
  <c r="H1002" i="16"/>
  <c r="F1003" i="16"/>
  <c r="D1004" i="16"/>
  <c r="B1005" i="16"/>
  <c r="J1005" i="16"/>
  <c r="H1006" i="16"/>
  <c r="F1007" i="16"/>
  <c r="J728" i="16"/>
  <c r="C798" i="16"/>
  <c r="K842" i="16"/>
  <c r="C863" i="16"/>
  <c r="H873" i="16"/>
  <c r="I888" i="16"/>
  <c r="D899" i="16"/>
  <c r="H909" i="16"/>
  <c r="D915" i="16"/>
  <c r="B920" i="16"/>
  <c r="J924" i="16"/>
  <c r="H929" i="16"/>
  <c r="F934" i="16"/>
  <c r="D939" i="16"/>
  <c r="B944" i="16"/>
  <c r="J948" i="16"/>
  <c r="D955" i="16"/>
  <c r="B960" i="16"/>
  <c r="B964" i="16"/>
  <c r="J968" i="16"/>
  <c r="F974" i="16"/>
  <c r="J980" i="16"/>
  <c r="F986" i="16"/>
  <c r="H993" i="16"/>
  <c r="F998" i="16"/>
  <c r="D1003" i="16"/>
  <c r="F583" i="16"/>
  <c r="J686" i="16"/>
  <c r="C702" i="16"/>
  <c r="F712" i="16"/>
  <c r="F722" i="16"/>
  <c r="I732" i="16"/>
  <c r="B743" i="16"/>
  <c r="E753" i="16"/>
  <c r="H763" i="16"/>
  <c r="H773" i="16"/>
  <c r="E781" i="16"/>
  <c r="I787" i="16"/>
  <c r="C794" i="16"/>
  <c r="G800" i="16"/>
  <c r="K806" i="16"/>
  <c r="E813" i="16"/>
  <c r="I819" i="16"/>
  <c r="C826" i="16"/>
  <c r="G832" i="16"/>
  <c r="K838" i="16"/>
  <c r="E845" i="16"/>
  <c r="C851" i="16"/>
  <c r="E853" i="16"/>
  <c r="D855" i="16"/>
  <c r="G857" i="16"/>
  <c r="I859" i="16"/>
  <c r="H861" i="16"/>
  <c r="K863" i="16"/>
  <c r="C866" i="16"/>
  <c r="B868" i="16"/>
  <c r="E870" i="16"/>
  <c r="G872" i="16"/>
  <c r="F874" i="16"/>
  <c r="I876" i="16"/>
  <c r="K878" i="16"/>
  <c r="J880" i="16"/>
  <c r="C883" i="16"/>
  <c r="E885" i="16"/>
  <c r="D887" i="16"/>
  <c r="G889" i="16"/>
  <c r="I891" i="16"/>
  <c r="H893" i="16"/>
  <c r="K895" i="16"/>
  <c r="C898" i="16"/>
  <c r="B900" i="16"/>
  <c r="E902" i="16"/>
  <c r="G904" i="16"/>
  <c r="F906" i="16"/>
  <c r="I908" i="16"/>
  <c r="K909" i="16"/>
  <c r="I910" i="16"/>
  <c r="G911" i="16"/>
  <c r="E912" i="16"/>
  <c r="C913" i="16"/>
  <c r="K913" i="16"/>
  <c r="I914" i="16"/>
  <c r="G915" i="16"/>
  <c r="E916" i="16"/>
  <c r="C917" i="16"/>
  <c r="K917" i="16"/>
  <c r="I918" i="16"/>
  <c r="G919" i="16"/>
  <c r="E920" i="16"/>
  <c r="C921" i="16"/>
  <c r="K921" i="16"/>
  <c r="I922" i="16"/>
  <c r="G923" i="16"/>
  <c r="E924" i="16"/>
  <c r="C925" i="16"/>
  <c r="K925" i="16"/>
  <c r="I926" i="16"/>
  <c r="G927" i="16"/>
  <c r="E928" i="16"/>
  <c r="C929" i="16"/>
  <c r="K929" i="16"/>
  <c r="I930" i="16"/>
  <c r="G931" i="16"/>
  <c r="E932" i="16"/>
  <c r="C933" i="16"/>
  <c r="K933" i="16"/>
  <c r="I934" i="16"/>
  <c r="G935" i="16"/>
  <c r="E936" i="16"/>
  <c r="C937" i="16"/>
  <c r="K937" i="16"/>
  <c r="I938" i="16"/>
  <c r="G939" i="16"/>
  <c r="E940" i="16"/>
  <c r="C941" i="16"/>
  <c r="K941" i="16"/>
  <c r="I942" i="16"/>
  <c r="G943" i="16"/>
  <c r="E944" i="16"/>
  <c r="C945" i="16"/>
  <c r="K945" i="16"/>
  <c r="I946" i="16"/>
  <c r="G947" i="16"/>
  <c r="E948" i="16"/>
  <c r="C949" i="16"/>
  <c r="K949" i="16"/>
  <c r="I950" i="16"/>
  <c r="G951" i="16"/>
  <c r="E952" i="16"/>
  <c r="C953" i="16"/>
  <c r="K953" i="16"/>
  <c r="I954" i="16"/>
  <c r="G955" i="16"/>
  <c r="E956" i="16"/>
  <c r="C957" i="16"/>
  <c r="K957" i="16"/>
  <c r="I958" i="16"/>
  <c r="G959" i="16"/>
  <c r="E960" i="16"/>
  <c r="C961" i="16"/>
  <c r="K961" i="16"/>
  <c r="I962" i="16"/>
  <c r="G963" i="16"/>
  <c r="E964" i="16"/>
  <c r="C965" i="16"/>
  <c r="K965" i="16"/>
  <c r="I966" i="16"/>
  <c r="G967" i="16"/>
  <c r="E968" i="16"/>
  <c r="C969" i="16"/>
  <c r="K969" i="16"/>
  <c r="I970" i="16"/>
  <c r="G971" i="16"/>
  <c r="E972" i="16"/>
  <c r="C973" i="16"/>
  <c r="K973" i="16"/>
  <c r="I974" i="16"/>
  <c r="G975" i="16"/>
  <c r="E976" i="16"/>
  <c r="C977" i="16"/>
  <c r="K977" i="16"/>
  <c r="I978" i="16"/>
  <c r="G979" i="16"/>
  <c r="E980" i="16"/>
  <c r="C981" i="16"/>
  <c r="K981" i="16"/>
  <c r="I982" i="16"/>
  <c r="G983" i="16"/>
  <c r="E984" i="16"/>
  <c r="C985" i="16"/>
  <c r="K985" i="16"/>
  <c r="I986" i="16"/>
  <c r="G987" i="16"/>
  <c r="E988" i="16"/>
  <c r="C989" i="16"/>
  <c r="K989" i="16"/>
  <c r="I990" i="16"/>
  <c r="G991" i="16"/>
  <c r="E992" i="16"/>
  <c r="C993" i="16"/>
  <c r="K993" i="16"/>
  <c r="I994" i="16"/>
  <c r="G995" i="16"/>
  <c r="E996" i="16"/>
  <c r="C997" i="16"/>
  <c r="K997" i="16"/>
  <c r="I998" i="16"/>
  <c r="G999" i="16"/>
  <c r="E1000" i="16"/>
  <c r="C1001" i="16"/>
  <c r="K1001" i="16"/>
  <c r="I1002" i="16"/>
  <c r="G1003" i="16"/>
  <c r="E1004" i="16"/>
  <c r="C1005" i="16"/>
  <c r="K1005" i="16"/>
  <c r="I1006" i="16"/>
  <c r="G1007" i="16"/>
  <c r="C739" i="16"/>
  <c r="I791" i="16"/>
  <c r="C830" i="16"/>
  <c r="F854" i="16"/>
  <c r="E865" i="16"/>
  <c r="K875" i="16"/>
  <c r="F886" i="16"/>
  <c r="G901" i="16"/>
  <c r="D911" i="16"/>
  <c r="F914" i="16"/>
  <c r="D919" i="16"/>
  <c r="B924" i="16"/>
  <c r="F930" i="16"/>
  <c r="D935" i="16"/>
  <c r="B940" i="16"/>
  <c r="J944" i="16"/>
  <c r="H949" i="16"/>
  <c r="F954" i="16"/>
  <c r="D959" i="16"/>
  <c r="J964" i="16"/>
  <c r="H969" i="16"/>
  <c r="D975" i="16"/>
  <c r="B980" i="16"/>
  <c r="H985" i="16"/>
  <c r="D991" i="16"/>
  <c r="H997" i="16"/>
  <c r="F1002" i="16"/>
  <c r="F600" i="16"/>
  <c r="J688" i="16"/>
  <c r="D703" i="16"/>
  <c r="G713" i="16"/>
  <c r="J723" i="16"/>
  <c r="C734" i="16"/>
  <c r="F744" i="16"/>
  <c r="F754" i="16"/>
  <c r="I764" i="16"/>
  <c r="B775" i="16"/>
  <c r="C782" i="16"/>
  <c r="G788" i="16"/>
  <c r="K794" i="16"/>
  <c r="E801" i="16"/>
  <c r="I807" i="16"/>
  <c r="C814" i="16"/>
  <c r="G820" i="16"/>
  <c r="K826" i="16"/>
  <c r="E833" i="16"/>
  <c r="I839" i="16"/>
  <c r="C846" i="16"/>
  <c r="D851" i="16"/>
  <c r="G853" i="16"/>
  <c r="I855" i="16"/>
  <c r="H857" i="16"/>
  <c r="K859" i="16"/>
  <c r="C862" i="16"/>
  <c r="B864" i="16"/>
  <c r="E866" i="16"/>
  <c r="G868" i="16"/>
  <c r="F870" i="16"/>
  <c r="I872" i="16"/>
  <c r="K874" i="16"/>
  <c r="J876" i="16"/>
  <c r="C879" i="16"/>
  <c r="E881" i="16"/>
  <c r="D883" i="16"/>
  <c r="G885" i="16"/>
  <c r="I887" i="16"/>
  <c r="H889" i="16"/>
  <c r="K891" i="16"/>
  <c r="C894" i="16"/>
  <c r="B896" i="16"/>
  <c r="E898" i="16"/>
  <c r="G900" i="16"/>
  <c r="F902" i="16"/>
  <c r="I904" i="16"/>
  <c r="K906" i="16"/>
  <c r="J908" i="16"/>
  <c r="B910" i="16"/>
  <c r="J910" i="16"/>
  <c r="H911" i="16"/>
  <c r="F912" i="16"/>
  <c r="D913" i="16"/>
  <c r="B914" i="16"/>
  <c r="J914" i="16"/>
  <c r="H915" i="16"/>
  <c r="F916" i="16"/>
  <c r="D917" i="16"/>
  <c r="B918" i="16"/>
  <c r="J918" i="16"/>
  <c r="H919" i="16"/>
  <c r="F920" i="16"/>
  <c r="D921" i="16"/>
  <c r="B922" i="16"/>
  <c r="J922" i="16"/>
  <c r="H923" i="16"/>
  <c r="F924" i="16"/>
  <c r="D925" i="16"/>
  <c r="B926" i="16"/>
  <c r="J926" i="16"/>
  <c r="H927" i="16"/>
  <c r="F928" i="16"/>
  <c r="D929" i="16"/>
  <c r="B930" i="16"/>
  <c r="J930" i="16"/>
  <c r="H931" i="16"/>
  <c r="F932" i="16"/>
  <c r="D933" i="16"/>
  <c r="B934" i="16"/>
  <c r="J934" i="16"/>
  <c r="H935" i="16"/>
  <c r="F936" i="16"/>
  <c r="D937" i="16"/>
  <c r="B938" i="16"/>
  <c r="J938" i="16"/>
  <c r="H939" i="16"/>
  <c r="F940" i="16"/>
  <c r="D941" i="16"/>
  <c r="B942" i="16"/>
  <c r="J942" i="16"/>
  <c r="H943" i="16"/>
  <c r="F944" i="16"/>
  <c r="D945" i="16"/>
  <c r="B946" i="16"/>
  <c r="J946" i="16"/>
  <c r="H947" i="16"/>
  <c r="F948" i="16"/>
  <c r="D949" i="16"/>
  <c r="B950" i="16"/>
  <c r="J950" i="16"/>
  <c r="H951" i="16"/>
  <c r="F952" i="16"/>
  <c r="D953" i="16"/>
  <c r="B954" i="16"/>
  <c r="J954" i="16"/>
  <c r="H955" i="16"/>
  <c r="F956" i="16"/>
  <c r="D957" i="16"/>
  <c r="B958" i="16"/>
  <c r="J958" i="16"/>
  <c r="H959" i="16"/>
  <c r="F960" i="16"/>
  <c r="D961" i="16"/>
  <c r="B962" i="16"/>
  <c r="J962" i="16"/>
  <c r="H963" i="16"/>
  <c r="F964" i="16"/>
  <c r="D965" i="16"/>
  <c r="B966" i="16"/>
  <c r="J966" i="16"/>
  <c r="H967" i="16"/>
  <c r="F968" i="16"/>
  <c r="D969" i="16"/>
  <c r="B970" i="16"/>
  <c r="J970" i="16"/>
  <c r="H971" i="16"/>
  <c r="F972" i="16"/>
  <c r="D973" i="16"/>
  <c r="B974" i="16"/>
  <c r="J974" i="16"/>
  <c r="H975" i="16"/>
  <c r="F976" i="16"/>
  <c r="D977" i="16"/>
  <c r="B978" i="16"/>
  <c r="J978" i="16"/>
  <c r="H979" i="16"/>
  <c r="F980" i="16"/>
  <c r="D981" i="16"/>
  <c r="B982" i="16"/>
  <c r="J982" i="16"/>
  <c r="H983" i="16"/>
  <c r="F984" i="16"/>
  <c r="D985" i="16"/>
  <c r="B986" i="16"/>
  <c r="J986" i="16"/>
  <c r="H987" i="16"/>
  <c r="F988" i="16"/>
  <c r="D989" i="16"/>
  <c r="B990" i="16"/>
  <c r="J990" i="16"/>
  <c r="H991" i="16"/>
  <c r="F992" i="16"/>
  <c r="D993" i="16"/>
  <c r="B994" i="16"/>
  <c r="J994" i="16"/>
  <c r="H995" i="16"/>
  <c r="F996" i="16"/>
  <c r="D997" i="16"/>
  <c r="B998" i="16"/>
  <c r="J998" i="16"/>
  <c r="H999" i="16"/>
  <c r="F1000" i="16"/>
  <c r="D1001" i="16"/>
  <c r="B1002" i="16"/>
  <c r="J1002" i="16"/>
  <c r="H1003" i="16"/>
  <c r="F1004" i="16"/>
  <c r="D1005" i="16"/>
  <c r="B1006" i="16"/>
  <c r="J1006" i="16"/>
  <c r="H1007" i="16"/>
  <c r="J718" i="16"/>
  <c r="K778" i="16"/>
  <c r="E817" i="16"/>
  <c r="E849" i="16"/>
  <c r="J860" i="16"/>
  <c r="I871" i="16"/>
  <c r="G884" i="16"/>
  <c r="C895" i="16"/>
  <c r="H905" i="16"/>
  <c r="J912" i="16"/>
  <c r="H917" i="16"/>
  <c r="F922" i="16"/>
  <c r="B928" i="16"/>
  <c r="J932" i="16"/>
  <c r="H937" i="16"/>
  <c r="F942" i="16"/>
  <c r="D947" i="16"/>
  <c r="J952" i="16"/>
  <c r="H957" i="16"/>
  <c r="F962" i="16"/>
  <c r="D967" i="16"/>
  <c r="B972" i="16"/>
  <c r="B976" i="16"/>
  <c r="D979" i="16"/>
  <c r="B984" i="16"/>
  <c r="D987" i="16"/>
  <c r="B992" i="16"/>
  <c r="D995" i="16"/>
  <c r="D999" i="16"/>
  <c r="B1004" i="16"/>
  <c r="F617" i="16"/>
  <c r="B691" i="16"/>
  <c r="H704" i="16"/>
  <c r="K714" i="16"/>
  <c r="D725" i="16"/>
  <c r="D735" i="16"/>
  <c r="G745" i="16"/>
  <c r="J755" i="16"/>
  <c r="C766" i="16"/>
  <c r="F776" i="16"/>
  <c r="K782" i="16"/>
  <c r="E789" i="16"/>
  <c r="I795" i="16"/>
  <c r="C802" i="16"/>
  <c r="G808" i="16"/>
  <c r="K814" i="16"/>
  <c r="E821" i="16"/>
  <c r="I827" i="16"/>
  <c r="C834" i="16"/>
  <c r="G840" i="16"/>
  <c r="K846" i="16"/>
  <c r="I851" i="16"/>
  <c r="H853" i="16"/>
  <c r="K855" i="16"/>
  <c r="C858" i="16"/>
  <c r="B860" i="16"/>
  <c r="E862" i="16"/>
  <c r="G864" i="16"/>
  <c r="F866" i="16"/>
  <c r="I868" i="16"/>
  <c r="K870" i="16"/>
  <c r="J872" i="16"/>
  <c r="C875" i="16"/>
  <c r="E877" i="16"/>
  <c r="D879" i="16"/>
  <c r="G881" i="16"/>
  <c r="I883" i="16"/>
  <c r="H885" i="16"/>
  <c r="K887" i="16"/>
  <c r="C890" i="16"/>
  <c r="B892" i="16"/>
  <c r="E894" i="16"/>
  <c r="G896" i="16"/>
  <c r="F898" i="16"/>
  <c r="I900" i="16"/>
  <c r="K902" i="16"/>
  <c r="J904" i="16"/>
  <c r="C907" i="16"/>
  <c r="E909" i="16"/>
  <c r="C910" i="16"/>
  <c r="K910" i="16"/>
  <c r="I911" i="16"/>
  <c r="G912" i="16"/>
  <c r="E913" i="16"/>
  <c r="C914" i="16"/>
  <c r="K914" i="16"/>
  <c r="I915" i="16"/>
  <c r="G916" i="16"/>
  <c r="E917" i="16"/>
  <c r="C918" i="16"/>
  <c r="K918" i="16"/>
  <c r="I919" i="16"/>
  <c r="G920" i="16"/>
  <c r="E921" i="16"/>
  <c r="C922" i="16"/>
  <c r="K922" i="16"/>
  <c r="I923" i="16"/>
  <c r="G924" i="16"/>
  <c r="E925" i="16"/>
  <c r="C926" i="16"/>
  <c r="K926" i="16"/>
  <c r="I927" i="16"/>
  <c r="G928" i="16"/>
  <c r="E929" i="16"/>
  <c r="C930" i="16"/>
  <c r="K930" i="16"/>
  <c r="I931" i="16"/>
  <c r="G932" i="16"/>
  <c r="E933" i="16"/>
  <c r="C934" i="16"/>
  <c r="K934" i="16"/>
  <c r="I935" i="16"/>
  <c r="G936" i="16"/>
  <c r="E937" i="16"/>
  <c r="C938" i="16"/>
  <c r="K938" i="16"/>
  <c r="I939" i="16"/>
  <c r="G940" i="16"/>
  <c r="E941" i="16"/>
  <c r="C942" i="16"/>
  <c r="K942" i="16"/>
  <c r="I943" i="16"/>
  <c r="G944" i="16"/>
  <c r="E945" i="16"/>
  <c r="C946" i="16"/>
  <c r="K946" i="16"/>
  <c r="I947" i="16"/>
  <c r="G948" i="16"/>
  <c r="E949" i="16"/>
  <c r="C950" i="16"/>
  <c r="K950" i="16"/>
  <c r="I951" i="16"/>
  <c r="G952" i="16"/>
  <c r="E953" i="16"/>
  <c r="C954" i="16"/>
  <c r="K954" i="16"/>
  <c r="I955" i="16"/>
  <c r="G956" i="16"/>
  <c r="E957" i="16"/>
  <c r="C958" i="16"/>
  <c r="K958" i="16"/>
  <c r="I959" i="16"/>
  <c r="G960" i="16"/>
  <c r="E961" i="16"/>
  <c r="C962" i="16"/>
  <c r="K962" i="16"/>
  <c r="I963" i="16"/>
  <c r="G964" i="16"/>
  <c r="E965" i="16"/>
  <c r="C966" i="16"/>
  <c r="K966" i="16"/>
  <c r="I967" i="16"/>
  <c r="G968" i="16"/>
  <c r="E969" i="16"/>
  <c r="C970" i="16"/>
  <c r="K970" i="16"/>
  <c r="I971" i="16"/>
  <c r="G972" i="16"/>
  <c r="E973" i="16"/>
  <c r="C974" i="16"/>
  <c r="K974" i="16"/>
  <c r="I975" i="16"/>
  <c r="G976" i="16"/>
  <c r="E977" i="16"/>
  <c r="C978" i="16"/>
  <c r="K978" i="16"/>
  <c r="I979" i="16"/>
  <c r="G980" i="16"/>
  <c r="E981" i="16"/>
  <c r="C982" i="16"/>
  <c r="K982" i="16"/>
  <c r="I983" i="16"/>
  <c r="G984" i="16"/>
  <c r="E985" i="16"/>
  <c r="C986" i="16"/>
  <c r="K986" i="16"/>
  <c r="I987" i="16"/>
  <c r="G988" i="16"/>
  <c r="E989" i="16"/>
  <c r="C990" i="16"/>
  <c r="K990" i="16"/>
  <c r="I991" i="16"/>
  <c r="G992" i="16"/>
  <c r="E993" i="16"/>
  <c r="C994" i="16"/>
  <c r="K994" i="16"/>
  <c r="I995" i="16"/>
  <c r="G996" i="16"/>
  <c r="E997" i="16"/>
  <c r="C998" i="16"/>
  <c r="K998" i="16"/>
  <c r="I999" i="16"/>
  <c r="G1000" i="16"/>
  <c r="E1001" i="16"/>
  <c r="C1002" i="16"/>
  <c r="K1002" i="16"/>
  <c r="I1003" i="16"/>
  <c r="G1004" i="16"/>
  <c r="E1005" i="16"/>
  <c r="C1006" i="16"/>
  <c r="K1006" i="16"/>
  <c r="I1007" i="16"/>
  <c r="G708" i="16"/>
  <c r="E882" i="16"/>
  <c r="H925" i="16"/>
  <c r="F950" i="16"/>
  <c r="F970" i="16"/>
  <c r="H989" i="16"/>
  <c r="F1006" i="16"/>
  <c r="H634" i="16"/>
  <c r="D693" i="16"/>
  <c r="B706" i="16"/>
  <c r="B716" i="16"/>
  <c r="E726" i="16"/>
  <c r="H736" i="16"/>
  <c r="K746" i="16"/>
  <c r="D757" i="16"/>
  <c r="D767" i="16"/>
  <c r="E777" i="16"/>
  <c r="I783" i="16"/>
  <c r="C790" i="16"/>
  <c r="G796" i="16"/>
  <c r="K802" i="16"/>
  <c r="E809" i="16"/>
  <c r="I815" i="16"/>
  <c r="C822" i="16"/>
  <c r="G828" i="16"/>
  <c r="K834" i="16"/>
  <c r="E841" i="16"/>
  <c r="I847" i="16"/>
  <c r="K851" i="16"/>
  <c r="C854" i="16"/>
  <c r="B856" i="16"/>
  <c r="E858" i="16"/>
  <c r="G860" i="16"/>
  <c r="F862" i="16"/>
  <c r="I864" i="16"/>
  <c r="K866" i="16"/>
  <c r="J868" i="16"/>
  <c r="C871" i="16"/>
  <c r="E873" i="16"/>
  <c r="D875" i="16"/>
  <c r="G877" i="16"/>
  <c r="I879" i="16"/>
  <c r="H881" i="16"/>
  <c r="K883" i="16"/>
  <c r="C886" i="16"/>
  <c r="B888" i="16"/>
  <c r="E890" i="16"/>
  <c r="G892" i="16"/>
  <c r="F894" i="16"/>
  <c r="I896" i="16"/>
  <c r="K898" i="16"/>
  <c r="J900" i="16"/>
  <c r="C903" i="16"/>
  <c r="E905" i="16"/>
  <c r="D907" i="16"/>
  <c r="F909" i="16"/>
  <c r="D910" i="16"/>
  <c r="B911" i="16"/>
  <c r="J911" i="16"/>
  <c r="H912" i="16"/>
  <c r="F913" i="16"/>
  <c r="D914" i="16"/>
  <c r="B915" i="16"/>
  <c r="J915" i="16"/>
  <c r="H916" i="16"/>
  <c r="F917" i="16"/>
  <c r="D918" i="16"/>
  <c r="B919" i="16"/>
  <c r="J919" i="16"/>
  <c r="H920" i="16"/>
  <c r="F921" i="16"/>
  <c r="D922" i="16"/>
  <c r="B923" i="16"/>
  <c r="J923" i="16"/>
  <c r="H924" i="16"/>
  <c r="F925" i="16"/>
  <c r="D926" i="16"/>
  <c r="B927" i="16"/>
  <c r="J927" i="16"/>
  <c r="H928" i="16"/>
  <c r="F929" i="16"/>
  <c r="D930" i="16"/>
  <c r="B931" i="16"/>
  <c r="J931" i="16"/>
  <c r="H932" i="16"/>
  <c r="F933" i="16"/>
  <c r="D934" i="16"/>
  <c r="B935" i="16"/>
  <c r="J935" i="16"/>
  <c r="H936" i="16"/>
  <c r="F937" i="16"/>
  <c r="D938" i="16"/>
  <c r="B939" i="16"/>
  <c r="J939" i="16"/>
  <c r="H940" i="16"/>
  <c r="F941" i="16"/>
  <c r="D942" i="16"/>
  <c r="B943" i="16"/>
  <c r="J943" i="16"/>
  <c r="H944" i="16"/>
  <c r="F945" i="16"/>
  <c r="D946" i="16"/>
  <c r="B947" i="16"/>
  <c r="J947" i="16"/>
  <c r="H948" i="16"/>
  <c r="F949" i="16"/>
  <c r="D950" i="16"/>
  <c r="B951" i="16"/>
  <c r="J951" i="16"/>
  <c r="H952" i="16"/>
  <c r="F953" i="16"/>
  <c r="D954" i="16"/>
  <c r="B955" i="16"/>
  <c r="J955" i="16"/>
  <c r="H956" i="16"/>
  <c r="F957" i="16"/>
  <c r="D958" i="16"/>
  <c r="B959" i="16"/>
  <c r="J959" i="16"/>
  <c r="H960" i="16"/>
  <c r="F961" i="16"/>
  <c r="D962" i="16"/>
  <c r="B963" i="16"/>
  <c r="J963" i="16"/>
  <c r="H964" i="16"/>
  <c r="F965" i="16"/>
  <c r="D966" i="16"/>
  <c r="B967" i="16"/>
  <c r="J967" i="16"/>
  <c r="H968" i="16"/>
  <c r="F969" i="16"/>
  <c r="D970" i="16"/>
  <c r="B971" i="16"/>
  <c r="J971" i="16"/>
  <c r="H972" i="16"/>
  <c r="F973" i="16"/>
  <c r="D974" i="16"/>
  <c r="B975" i="16"/>
  <c r="J975" i="16"/>
  <c r="H976" i="16"/>
  <c r="F977" i="16"/>
  <c r="D978" i="16"/>
  <c r="B979" i="16"/>
  <c r="J979" i="16"/>
  <c r="H980" i="16"/>
  <c r="F981" i="16"/>
  <c r="D982" i="16"/>
  <c r="B983" i="16"/>
  <c r="J983" i="16"/>
  <c r="H984" i="16"/>
  <c r="F985" i="16"/>
  <c r="D986" i="16"/>
  <c r="B987" i="16"/>
  <c r="J987" i="16"/>
  <c r="H988" i="16"/>
  <c r="F989" i="16"/>
  <c r="D990" i="16"/>
  <c r="B991" i="16"/>
  <c r="J991" i="16"/>
  <c r="H992" i="16"/>
  <c r="F993" i="16"/>
  <c r="D994" i="16"/>
  <c r="B995" i="16"/>
  <c r="J995" i="16"/>
  <c r="H996" i="16"/>
  <c r="F997" i="16"/>
  <c r="D998" i="16"/>
  <c r="B999" i="16"/>
  <c r="J999" i="16"/>
  <c r="H1000" i="16"/>
  <c r="F1001" i="16"/>
  <c r="D1002" i="16"/>
  <c r="B1003" i="16"/>
  <c r="J1003" i="16"/>
  <c r="H1004" i="16"/>
  <c r="F1005" i="16"/>
  <c r="D1006" i="16"/>
  <c r="B1007" i="16"/>
  <c r="J1007" i="16"/>
  <c r="F697" i="16"/>
  <c r="K810" i="16"/>
  <c r="I856" i="16"/>
  <c r="B880" i="16"/>
  <c r="E897" i="16"/>
  <c r="F910" i="16"/>
  <c r="B916" i="16"/>
  <c r="J920" i="16"/>
  <c r="F926" i="16"/>
  <c r="D931" i="16"/>
  <c r="B936" i="16"/>
  <c r="J940" i="16"/>
  <c r="H945" i="16"/>
  <c r="B952" i="16"/>
  <c r="J956" i="16"/>
  <c r="H961" i="16"/>
  <c r="H965" i="16"/>
  <c r="D971" i="16"/>
  <c r="J976" i="16"/>
  <c r="F982" i="16"/>
  <c r="J988" i="16"/>
  <c r="F994" i="16"/>
  <c r="B1000" i="16"/>
  <c r="H1005" i="16"/>
  <c r="H651" i="16"/>
  <c r="D695" i="16"/>
  <c r="C707" i="16"/>
  <c r="F717" i="16"/>
  <c r="I727" i="16"/>
  <c r="B738" i="16"/>
  <c r="B748" i="16"/>
  <c r="E758" i="16"/>
  <c r="H768" i="16"/>
  <c r="C778" i="16"/>
  <c r="G784" i="16"/>
  <c r="K790" i="16"/>
  <c r="E797" i="16"/>
  <c r="I803" i="16"/>
  <c r="C810" i="16"/>
  <c r="G816" i="16"/>
  <c r="K822" i="16"/>
  <c r="E829" i="16"/>
  <c r="I835" i="16"/>
  <c r="C842" i="16"/>
  <c r="G848" i="16"/>
  <c r="B852" i="16"/>
  <c r="E854" i="16"/>
  <c r="G856" i="16"/>
  <c r="F858" i="16"/>
  <c r="I860" i="16"/>
  <c r="K862" i="16"/>
  <c r="J864" i="16"/>
  <c r="C867" i="16"/>
  <c r="E869" i="16"/>
  <c r="D871" i="16"/>
  <c r="G873" i="16"/>
  <c r="I875" i="16"/>
  <c r="H877" i="16"/>
  <c r="K879" i="16"/>
  <c r="C882" i="16"/>
  <c r="B884" i="16"/>
  <c r="E886" i="16"/>
  <c r="G888" i="16"/>
  <c r="F890" i="16"/>
  <c r="I892" i="16"/>
  <c r="K894" i="16"/>
  <c r="J896" i="16"/>
  <c r="C899" i="16"/>
  <c r="E901" i="16"/>
  <c r="D903" i="16"/>
  <c r="G905" i="16"/>
  <c r="I907" i="16"/>
  <c r="G909" i="16"/>
  <c r="E910" i="16"/>
  <c r="C911" i="16"/>
  <c r="K911" i="16"/>
  <c r="I912" i="16"/>
  <c r="G913" i="16"/>
  <c r="E914" i="16"/>
  <c r="C915" i="16"/>
  <c r="K915" i="16"/>
  <c r="I916" i="16"/>
  <c r="G917" i="16"/>
  <c r="E918" i="16"/>
  <c r="C919" i="16"/>
  <c r="K919" i="16"/>
  <c r="I920" i="16"/>
  <c r="G921" i="16"/>
  <c r="E922" i="16"/>
  <c r="C923" i="16"/>
  <c r="K923" i="16"/>
  <c r="I924" i="16"/>
  <c r="G925" i="16"/>
  <c r="E926" i="16"/>
  <c r="C927" i="16"/>
  <c r="K927" i="16"/>
  <c r="I928" i="16"/>
  <c r="G929" i="16"/>
  <c r="E930" i="16"/>
  <c r="C931" i="16"/>
  <c r="K931" i="16"/>
  <c r="I932" i="16"/>
  <c r="G933" i="16"/>
  <c r="E934" i="16"/>
  <c r="C935" i="16"/>
  <c r="K935" i="16"/>
  <c r="I936" i="16"/>
  <c r="G937" i="16"/>
  <c r="E938" i="16"/>
  <c r="C939" i="16"/>
  <c r="K939" i="16"/>
  <c r="I940" i="16"/>
  <c r="G941" i="16"/>
  <c r="E942" i="16"/>
  <c r="C943" i="16"/>
  <c r="K943" i="16"/>
  <c r="I944" i="16"/>
  <c r="G945" i="16"/>
  <c r="E946" i="16"/>
  <c r="C947" i="16"/>
  <c r="K947" i="16"/>
  <c r="I948" i="16"/>
  <c r="G949" i="16"/>
  <c r="E950" i="16"/>
  <c r="C951" i="16"/>
  <c r="K951" i="16"/>
  <c r="I952" i="16"/>
  <c r="G953" i="16"/>
  <c r="E954" i="16"/>
  <c r="C955" i="16"/>
  <c r="K955" i="16"/>
  <c r="I956" i="16"/>
  <c r="G957" i="16"/>
  <c r="E958" i="16"/>
  <c r="C959" i="16"/>
  <c r="K959" i="16"/>
  <c r="I960" i="16"/>
  <c r="G961" i="16"/>
  <c r="E962" i="16"/>
  <c r="C963" i="16"/>
  <c r="K963" i="16"/>
  <c r="I964" i="16"/>
  <c r="G965" i="16"/>
  <c r="E966" i="16"/>
  <c r="C967" i="16"/>
  <c r="K967" i="16"/>
  <c r="I968" i="16"/>
  <c r="G969" i="16"/>
  <c r="E970" i="16"/>
  <c r="C971" i="16"/>
  <c r="K971" i="16"/>
  <c r="I972" i="16"/>
  <c r="G973" i="16"/>
  <c r="E974" i="16"/>
  <c r="C975" i="16"/>
  <c r="K975" i="16"/>
  <c r="I976" i="16"/>
  <c r="G977" i="16"/>
  <c r="E978" i="16"/>
  <c r="C979" i="16"/>
  <c r="K979" i="16"/>
  <c r="I980" i="16"/>
  <c r="G981" i="16"/>
  <c r="E982" i="16"/>
  <c r="C983" i="16"/>
  <c r="K983" i="16"/>
  <c r="I984" i="16"/>
  <c r="G985" i="16"/>
  <c r="E986" i="16"/>
  <c r="C987" i="16"/>
  <c r="K987" i="16"/>
  <c r="I988" i="16"/>
  <c r="G989" i="16"/>
  <c r="E990" i="16"/>
  <c r="C991" i="16"/>
  <c r="K991" i="16"/>
  <c r="I992" i="16"/>
  <c r="G993" i="16"/>
  <c r="E994" i="16"/>
  <c r="C995" i="16"/>
  <c r="K995" i="16"/>
  <c r="I996" i="16"/>
  <c r="G997" i="16"/>
  <c r="E998" i="16"/>
  <c r="C999" i="16"/>
  <c r="K999" i="16"/>
  <c r="I1000" i="16"/>
  <c r="G1001" i="16"/>
  <c r="E1002" i="16"/>
  <c r="C1003" i="16"/>
  <c r="K1003" i="16"/>
  <c r="I1004" i="16"/>
  <c r="G1005" i="16"/>
  <c r="E1006" i="16"/>
  <c r="C1007" i="16"/>
  <c r="K1007" i="16"/>
  <c r="G668" i="16"/>
  <c r="I823" i="16"/>
  <c r="D867" i="16"/>
  <c r="J892" i="16"/>
  <c r="K907" i="16"/>
  <c r="H913" i="16"/>
  <c r="F918" i="16"/>
  <c r="D923" i="16"/>
  <c r="J928" i="16"/>
  <c r="H933" i="16"/>
  <c r="F938" i="16"/>
  <c r="D943" i="16"/>
  <c r="B948" i="16"/>
  <c r="H953" i="16"/>
  <c r="F958" i="16"/>
  <c r="D963" i="16"/>
  <c r="B968" i="16"/>
  <c r="H973" i="16"/>
  <c r="F978" i="16"/>
  <c r="H981" i="16"/>
  <c r="J984" i="16"/>
  <c r="B988" i="16"/>
  <c r="J992" i="16"/>
  <c r="J996" i="16"/>
  <c r="J1000" i="16"/>
  <c r="J1004" i="16"/>
  <c r="B77" i="6"/>
  <c r="E41" i="7" a="1"/>
  <c r="E35" i="7" a="1"/>
  <c r="E39" i="7" a="1"/>
  <c r="E33" i="7" a="1"/>
  <c r="E37" i="7" a="1"/>
  <c r="E40" i="7" a="1"/>
  <c r="E44" i="7" a="1"/>
  <c r="E36" i="7" a="1"/>
  <c r="E38" i="7" a="1"/>
  <c r="E34" i="7" a="1"/>
  <c r="E42" i="7" a="1"/>
  <c r="E29" i="7" a="1"/>
  <c r="E27" i="7" a="1"/>
  <c r="E31" i="7" a="1"/>
  <c r="E32" i="7" a="1"/>
  <c r="E46" i="7" l="1" a="1"/>
  <c r="E46" i="7" s="1"/>
  <c r="E45" i="7"/>
  <c r="E43" i="7"/>
  <c r="E29" i="7"/>
  <c r="E31" i="7"/>
  <c r="E37" i="7"/>
  <c r="E33" i="7"/>
  <c r="E39" i="7"/>
  <c r="E35" i="7"/>
  <c r="E41" i="7"/>
  <c r="E27" i="7"/>
  <c r="E32" i="7"/>
  <c r="E42" i="7"/>
  <c r="E34" i="7"/>
  <c r="E38" i="7"/>
  <c r="E36" i="7"/>
  <c r="E44" i="7"/>
  <c r="E40" i="7"/>
  <c r="A41" i="7"/>
  <c r="B41" i="7"/>
  <c r="D41" i="7"/>
  <c r="A31" i="7"/>
  <c r="B31" i="7"/>
  <c r="D31" i="7"/>
  <c r="A27" i="7"/>
  <c r="B27" i="7"/>
  <c r="D27" i="7"/>
  <c r="A33" i="7"/>
  <c r="B33" i="7"/>
  <c r="D33" i="7"/>
  <c r="D45" i="7"/>
  <c r="B45" i="7"/>
  <c r="A45" i="7"/>
  <c r="A35" i="7"/>
  <c r="B35" i="7"/>
  <c r="D35" i="7"/>
  <c r="A37" i="7"/>
  <c r="B37" i="7"/>
  <c r="D37" i="7"/>
  <c r="A43" i="7"/>
  <c r="D43" i="7"/>
  <c r="B43" i="7"/>
  <c r="A39" i="7"/>
  <c r="B39" i="7"/>
  <c r="D39" i="7"/>
  <c r="A29" i="7"/>
  <c r="D29" i="7"/>
  <c r="B29" i="7"/>
  <c r="A46" i="7"/>
  <c r="A44" i="7"/>
  <c r="A42" i="7"/>
  <c r="A40" i="7"/>
  <c r="A38" i="7"/>
  <c r="A36" i="7"/>
  <c r="A34" i="7"/>
  <c r="A32" i="7"/>
  <c r="A30" i="7"/>
  <c r="D44" i="7" l="1"/>
  <c r="D40" i="7"/>
  <c r="D32" i="7"/>
  <c r="D36" i="7"/>
  <c r="D46" i="7"/>
  <c r="D38" i="7"/>
  <c r="D30" i="7"/>
  <c r="D28" i="7"/>
  <c r="D42" i="7"/>
  <c r="D34" i="7"/>
  <c r="B44" i="7"/>
  <c r="B32" i="7"/>
  <c r="B36" i="7"/>
  <c r="B46" i="7"/>
  <c r="B40" i="7"/>
  <c r="B38" i="7"/>
  <c r="B30" i="7"/>
  <c r="B28" i="7"/>
  <c r="A28" i="7"/>
  <c r="B42" i="7"/>
  <c r="B34" i="7"/>
  <c r="A21" i="21" l="1"/>
  <c r="A20" i="21"/>
  <c r="A19" i="21"/>
  <c r="A18" i="21"/>
  <c r="A17" i="21"/>
  <c r="A16" i="21"/>
  <c r="A15" i="21"/>
  <c r="A14" i="21"/>
  <c r="A12" i="21"/>
  <c r="A13" i="21"/>
  <c r="C7" i="16" l="1"/>
  <c r="B7" i="16" l="1"/>
  <c r="E7" i="16"/>
  <c r="D7" i="16"/>
  <c r="J7" i="16"/>
  <c r="G7" i="16"/>
  <c r="I7" i="16"/>
  <c r="H7" i="16"/>
  <c r="F7" i="16"/>
  <c r="K7" i="16"/>
  <c r="C4" i="1" a="1"/>
  <c r="C4" i="1" l="1"/>
  <c r="A59" i="7"/>
  <c r="A58" i="7"/>
  <c r="B59" i="7" a="1"/>
  <c r="B58" i="7" a="1"/>
  <c r="E13" i="7"/>
  <c r="B59" i="7" l="1"/>
  <c r="B58" i="7"/>
  <c r="A12"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<sst xmlns="http://schemas.openxmlformats.org/spreadsheetml/2006/main" count="396" uniqueCount="307">
  <si>
    <t>System Configurations</t>
  </si>
  <si>
    <t>(Do not Modify)</t>
  </si>
  <si>
    <t>Category</t>
  </si>
  <si>
    <t>Value</t>
    <phoneticPr fontId="0" type="noConversion"/>
  </si>
  <si>
    <t>Build target sheet</t>
  </si>
  <si>
    <t>Build type</t>
  </si>
  <si>
    <t>Jar</t>
    <phoneticPr fontId="3" type="noConversion"/>
  </si>
  <si>
    <t>Copy package file to folder</t>
  </si>
  <si>
    <t>Build jar output folder</t>
  </si>
  <si>
    <t>License</t>
    <phoneticPr fontId="0" type="noConversion"/>
  </si>
  <si>
    <t>Studio log level</t>
  </si>
  <si>
    <t>Validation</t>
  </si>
  <si>
    <t>Run validation before build project</t>
  </si>
  <si>
    <t>Package</t>
    <phoneticPr fontId="0" type="noConversion"/>
  </si>
  <si>
    <t>Run</t>
    <phoneticPr fontId="0" type="noConversion"/>
  </si>
  <si>
    <t>Application Configurations</t>
    <phoneticPr fontId="0" type="noConversion"/>
  </si>
  <si>
    <t>Value</t>
  </si>
  <si>
    <t>parameter-separator</t>
  </si>
  <si>
    <t>-||-</t>
  </si>
  <si>
    <t>parameter-type-separator</t>
  </si>
  <si>
    <t>-##-</t>
  </si>
  <si>
    <t>System Runtime</t>
    <phoneticPr fontId="0" type="noConversion"/>
  </si>
  <si>
    <t>Value</t>
    <phoneticPr fontId="0" type="noConversion"/>
  </si>
  <si>
    <t>Running Flag</t>
  </si>
  <si>
    <t>Function Point</t>
  </si>
  <si>
    <t>REST Security User Name</t>
    <phoneticPr fontId="0" type="noConversion"/>
  </si>
  <si>
    <t>REST Security Authority List</t>
    <phoneticPr fontId="0" type="noConversion"/>
  </si>
  <si>
    <t>Default Value</t>
  </si>
  <si>
    <t>REST API</t>
    <phoneticPr fontId="0" type="noConversion"/>
  </si>
  <si>
    <t>Basic Settings</t>
  </si>
  <si>
    <t>Property</t>
    <phoneticPr fontId="0" type="noConversion"/>
  </si>
  <si>
    <t>Remarks</t>
  </si>
  <si>
    <t>API name</t>
    <phoneticPr fontId="0" type="noConversion"/>
  </si>
  <si>
    <t>Package name</t>
    <phoneticPr fontId="3" type="noConversion"/>
  </si>
  <si>
    <t>Version</t>
    <phoneticPr fontId="0" type="noConversion"/>
  </si>
  <si>
    <t>1.0.0</t>
  </si>
  <si>
    <t>Runtime Configuration</t>
  </si>
  <si>
    <t>Remarks</t>
    <phoneticPr fontId="0" type="noConversion"/>
  </si>
  <si>
    <t>Log file location</t>
  </si>
  <si>
    <t>Log level</t>
  </si>
  <si>
    <t>Error</t>
  </si>
  <si>
    <t>Time-zone</t>
  </si>
  <si>
    <t>Build-and-Run Web Server Configuration</t>
  </si>
  <si>
    <t>Property</t>
    <phoneticPr fontId="3" type="noConversion"/>
  </si>
  <si>
    <t>Value</t>
    <phoneticPr fontId="3" type="noConversion"/>
  </si>
  <si>
    <t>Port</t>
  </si>
  <si>
    <t>8080</t>
  </si>
  <si>
    <t>Root path</t>
  </si>
  <si>
    <t>/</t>
  </si>
  <si>
    <t>Connection timeout</t>
  </si>
  <si>
    <t>3000</t>
  </si>
  <si>
    <t>Session Management</t>
    <phoneticPr fontId="0" type="noConversion"/>
  </si>
  <si>
    <t>Session storage</t>
  </si>
  <si>
    <t>Application Server</t>
  </si>
  <si>
    <t>Timeout (s)</t>
  </si>
  <si>
    <t>Expired session clean up cron (for session in DB)</t>
  </si>
  <si>
    <t>Data source ID</t>
  </si>
  <si>
    <t>Advance Settings</t>
  </si>
  <si>
    <t>Jar/War File Name</t>
  </si>
  <si>
    <t>Application Name</t>
  </si>
  <si>
    <t>Maven Group ID</t>
  </si>
  <si>
    <t>Maven Artifact ID</t>
  </si>
  <si>
    <t>Application Configuration File Location</t>
  </si>
  <si>
    <t>Application Configuration File Environment Variable</t>
  </si>
  <si>
    <t>Log Configuration File Location</t>
  </si>
  <si>
    <t>Log Configuration File Location Environment Variable</t>
  </si>
  <si>
    <t>Stop on Formula Error</t>
  </si>
  <si>
    <t>Stop on Model Error</t>
  </si>
  <si>
    <t>Throw exception on formula error</t>
  </si>
  <si>
    <t>Throw exception on model error</t>
  </si>
  <si>
    <t>Generate Excel dump file (on Debug Mode)</t>
  </si>
  <si>
    <t>Excel dump file location (on Debug Mode)</t>
  </si>
  <si>
    <t>Upload folder path</t>
    <phoneticPr fontId="0" type="noConversion"/>
  </si>
  <si>
    <t>Maven Dependency</t>
    <phoneticPr fontId="0" type="noConversion"/>
  </si>
  <si>
    <t>Maven Artifact ID</t>
    <phoneticPr fontId="0" type="noConversion"/>
  </si>
  <si>
    <t>Maven Version</t>
    <phoneticPr fontId="0" type="noConversion"/>
  </si>
  <si>
    <t>Scope</t>
    <phoneticPr fontId="0" type="noConversion"/>
  </si>
  <si>
    <t>Additional External Configuration</t>
  </si>
  <si>
    <t>REST API Endpoint Group</t>
    <phoneticPr fontId="0" type="noConversion"/>
  </si>
  <si>
    <t>Endpoint group</t>
    <phoneticPr fontId="0" type="noConversion"/>
  </si>
  <si>
    <t>Endpoint group path</t>
    <phoneticPr fontId="0" type="noConversion"/>
  </si>
  <si>
    <t>Function Points</t>
    <phoneticPr fontId="0" type="noConversion"/>
  </si>
  <si>
    <t>Path</t>
    <phoneticPr fontId="0" type="noConversion"/>
  </si>
  <si>
    <t>Operation</t>
    <phoneticPr fontId="0" type="noConversion"/>
  </si>
  <si>
    <t>Description</t>
    <phoneticPr fontId="0" type="noConversion"/>
  </si>
  <si>
    <t>Input Parameters</t>
    <phoneticPr fontId="0" type="noConversion"/>
  </si>
  <si>
    <t>Function Point</t>
    <phoneticPr fontId="0" type="noConversion"/>
  </si>
  <si>
    <t>Style</t>
  </si>
  <si>
    <t>Name</t>
    <phoneticPr fontId="0" type="noConversion"/>
  </si>
  <si>
    <t>Data Type</t>
    <phoneticPr fontId="0" type="noConversion"/>
  </si>
  <si>
    <t>Data Address</t>
    <phoneticPr fontId="0" type="noConversion"/>
  </si>
  <si>
    <t>Required</t>
    <phoneticPr fontId="0" type="noConversion"/>
  </si>
  <si>
    <t>Function Point Response Operations</t>
    <phoneticPr fontId="0" type="noConversion"/>
  </si>
  <si>
    <t>Related Worksheets</t>
    <phoneticPr fontId="0" type="noConversion"/>
  </si>
  <si>
    <t>GET</t>
  </si>
  <si>
    <t>GMT+8</t>
  </si>
  <si>
    <t>##RestApi</t>
  </si>
  <si>
    <t>1. Introduction</t>
  </si>
  <si>
    <t>Instructions</t>
  </si>
  <si>
    <t>log</t>
  </si>
  <si>
    <t>Allow bypass validation error</t>
  </si>
  <si>
    <t>Example Value</t>
  </si>
  <si>
    <t>Description</t>
  </si>
  <si>
    <t>Property</t>
    <phoneticPr fontId="19" type="noConversion"/>
  </si>
  <si>
    <t>Value</t>
    <phoneticPr fontId="19" type="noConversion"/>
  </si>
  <si>
    <t>Document Title</t>
  </si>
  <si>
    <t>Document Description</t>
  </si>
  <si>
    <t>Contact Name</t>
  </si>
  <si>
    <t>Contact URL</t>
    <phoneticPr fontId="20" type="noConversion"/>
  </si>
  <si>
    <t>Contact Email</t>
  </si>
  <si>
    <t>HTTP Response Status Code</t>
    <phoneticPr fontId="20" type="noConversion"/>
  </si>
  <si>
    <t>Message</t>
  </si>
  <si>
    <t>Remarks</t>
    <phoneticPr fontId="20" type="noConversion"/>
  </si>
  <si>
    <t>200</t>
  </si>
  <si>
    <t>OK</t>
  </si>
  <si>
    <t>404</t>
  </si>
  <si>
    <t>Not Found</t>
  </si>
  <si>
    <t>500</t>
  </si>
  <si>
    <t>401</t>
  </si>
  <si>
    <t>403</t>
  </si>
  <si>
    <t>Forbidden</t>
  </si>
  <si>
    <t>Response Data Address</t>
    <phoneticPr fontId="0" type="noConversion"/>
  </si>
  <si>
    <t>Tags</t>
    <phoneticPr fontId="19" type="noConversion"/>
  </si>
  <si>
    <t>Mark Deprecated</t>
    <phoneticPr fontId="19" type="noConversion"/>
  </si>
  <si>
    <t>Web Protocol</t>
    <phoneticPr fontId="20" type="noConversion"/>
  </si>
  <si>
    <t>HTTP</t>
  </si>
  <si>
    <t>400</t>
    <phoneticPr fontId="20" type="noConversion"/>
  </si>
  <si>
    <t>Notes</t>
  </si>
  <si>
    <t>API Generation</t>
    <phoneticPr fontId="19" type="noConversion"/>
  </si>
  <si>
    <t>Open API output directory when finished</t>
    <phoneticPr fontId="19" type="noConversion"/>
  </si>
  <si>
    <t>Output folder</t>
    <phoneticPr fontId="19" type="noConversion"/>
  </si>
  <si>
    <t>Generation mode</t>
    <phoneticPr fontId="19" type="noConversion"/>
  </si>
  <si>
    <t>API Generation</t>
    <phoneticPr fontId="19" type="noConversion"/>
  </si>
  <si>
    <t>Generate API into a package</t>
    <phoneticPr fontId="19" type="noConversion"/>
  </si>
  <si>
    <t>Workbooks included in this package</t>
    <phoneticPr fontId="0" type="noConversion"/>
  </si>
  <si>
    <t>Show function point response dialog</t>
    <phoneticPr fontId="0" type="noConversion"/>
  </si>
  <si>
    <t>Start server after API generation</t>
    <phoneticPr fontId="19" type="noConversion"/>
  </si>
  <si>
    <t>AlchemyJ License key file environment variable</t>
    <phoneticPr fontId="0" type="noConversion"/>
  </si>
  <si>
    <t>AlchemyJ License key file location</t>
    <phoneticPr fontId="0" type="noConversion"/>
  </si>
  <si>
    <t>OpenAPI Specification Settings</t>
  </si>
  <si>
    <t>OpenAPI Response Code Configuration</t>
  </si>
  <si>
    <t>Enable OpenAPI Specification Generation</t>
  </si>
  <si>
    <t>The OpenAPI specification will be generated in the following URL path:
/openapi/index.html</t>
  </si>
  <si>
    <t>API License</t>
  </si>
  <si>
    <t>API License URL</t>
  </si>
  <si>
    <t>Bad Request</t>
  </si>
  <si>
    <t>For missing parameters</t>
  </si>
  <si>
    <t>Internal Server Error</t>
  </si>
  <si>
    <t>Unauthorized</t>
  </si>
  <si>
    <t>Yes</t>
  </si>
  <si>
    <t>This will only appear when Endpoint Security Service is enabled.</t>
    <phoneticPr fontId="19" type="noConversion"/>
  </si>
  <si>
    <t>This will only appear when Login or Token Authentication service is enabled.</t>
    <phoneticPr fontId="19" type="noConversion"/>
  </si>
  <si>
    <t>Property</t>
    <phoneticPr fontId="19" type="noConversion"/>
  </si>
  <si>
    <t>API Model Name</t>
    <phoneticPr fontId="20" type="noConversion"/>
  </si>
  <si>
    <t>JSON Node Name</t>
    <phoneticPr fontId="20" type="noConversion"/>
  </si>
  <si>
    <t>Table</t>
    <phoneticPr fontId="20" type="noConversion"/>
  </si>
  <si>
    <t>Table Address</t>
    <phoneticPr fontId="20" type="noConversion"/>
  </si>
  <si>
    <t>Parent Table</t>
    <phoneticPr fontId="20" type="noConversion"/>
  </si>
  <si>
    <t>Key</t>
    <phoneticPr fontId="20" type="noConversion"/>
  </si>
  <si>
    <t>Multiple Row</t>
    <phoneticPr fontId="20" type="noConversion"/>
  </si>
  <si>
    <t>Data Dictionary Address</t>
    <phoneticPr fontId="20" type="noConversion"/>
  </si>
  <si>
    <t>Header Position</t>
    <phoneticPr fontId="20" type="noConversion"/>
  </si>
  <si>
    <t>Required</t>
    <phoneticPr fontId="20" type="noConversion"/>
  </si>
  <si>
    <t>Description</t>
    <phoneticPr fontId="20" type="noConversion"/>
  </si>
  <si>
    <t>Output</t>
  </si>
  <si>
    <t>Output Schema</t>
    <phoneticPr fontId="20" type="noConversion"/>
  </si>
  <si>
    <t>Endpoint Groups</t>
    <phoneticPr fontId="0" type="noConversion"/>
  </si>
  <si>
    <t>Endpoint Group Definition Sheets</t>
    <phoneticPr fontId="0" type="noConversion"/>
  </si>
  <si>
    <t>Response Data Type</t>
    <phoneticPr fontId="19" type="noConversion"/>
  </si>
  <si>
    <t>Data Source ID</t>
    <phoneticPr fontId="19" type="noConversion"/>
  </si>
  <si>
    <t>Object</t>
  </si>
  <si>
    <t>Run</t>
  </si>
  <si>
    <t>API Generation</t>
  </si>
  <si>
    <t>Auto-save workbook before API Generation</t>
  </si>
  <si>
    <t>Jar Embedded Server</t>
  </si>
  <si>
    <t>Message</t>
    <phoneticPr fontId="19" type="noConversion"/>
  </si>
  <si>
    <t>Include unsupported Excel function detection message</t>
    <phoneticPr fontId="19" type="noConversion"/>
  </si>
  <si>
    <t>AlchemyJ Extended Function array output overflow option</t>
  </si>
  <si>
    <t>Show messages with message type at or lower</t>
  </si>
  <si>
    <t>Message</t>
    <phoneticPr fontId="19" type="noConversion"/>
  </si>
  <si>
    <t>New sheet for each message report</t>
    <phoneticPr fontId="19" type="noConversion"/>
  </si>
  <si>
    <t>Throw exception on input array overflow</t>
  </si>
  <si>
    <t>Exclude Columns</t>
    <phoneticPr fontId="19" type="noConversion"/>
  </si>
  <si>
    <t>Function Point</t>
    <phoneticPr fontId="19" type="noConversion"/>
  </si>
  <si>
    <t>Close workbook after API Generation</t>
  </si>
  <si>
    <t>Worksheet Name</t>
    <phoneticPr fontId="0" type="noConversion"/>
  </si>
  <si>
    <t>Advanced</t>
  </si>
  <si>
    <t>Java Options for Compiler</t>
  </si>
  <si>
    <t>Java Options for Embedded Server</t>
  </si>
  <si>
    <t>Java Options for Maven</t>
  </si>
  <si>
    <t>Advanced</t>
    <phoneticPr fontId="0" type="noConversion"/>
  </si>
  <si>
    <t>Navigate to the output cell after Preview Function Point</t>
    <phoneticPr fontId="19" type="noConversion"/>
  </si>
  <si>
    <t>Criteria</t>
  </si>
  <si>
    <t>Result</t>
  </si>
  <si>
    <t>Data</t>
  </si>
  <si>
    <t>Root</t>
  </si>
  <si>
    <t>~</t>
  </si>
  <si>
    <t>Data Dictionary</t>
  </si>
  <si>
    <t>Error Message Settings</t>
  </si>
  <si>
    <t>Basic</t>
  </si>
  <si>
    <t>Number</t>
    <phoneticPr fontId="13" type="noConversion"/>
  </si>
  <si>
    <t>String</t>
  </si>
  <si>
    <t>Date</t>
  </si>
  <si>
    <t>File</t>
    <phoneticPr fontId="13" type="noConversion"/>
  </si>
  <si>
    <t>Data Type</t>
  </si>
  <si>
    <t>Display Name</t>
  </si>
  <si>
    <t>Required</t>
  </si>
  <si>
    <t>Multiple Of</t>
  </si>
  <si>
    <t>Maximum</t>
  </si>
  <si>
    <t>Exclusive Maximum</t>
  </si>
  <si>
    <t>Minimum</t>
  </si>
  <si>
    <t>Exclusive Minimum</t>
  </si>
  <si>
    <t>Number Value List</t>
  </si>
  <si>
    <t>Max Length</t>
  </si>
  <si>
    <t>Min Length</t>
  </si>
  <si>
    <t>String Value List</t>
  </si>
  <si>
    <t>Pattern</t>
  </si>
  <si>
    <t>Format Type</t>
  </si>
  <si>
    <t>Case Conversion</t>
  </si>
  <si>
    <t>Date Format</t>
    <phoneticPr fontId="13" type="noConversion"/>
  </si>
  <si>
    <t>Minimum Days</t>
    <phoneticPr fontId="13" type="noConversion"/>
  </si>
  <si>
    <t>On and After</t>
  </si>
  <si>
    <t>Maximum Days</t>
  </si>
  <si>
    <t>On and Before</t>
  </si>
  <si>
    <t>Allowed Days of Week</t>
  </si>
  <si>
    <t>Disallow Dates</t>
  </si>
  <si>
    <t>Disallowed Dates Handling</t>
  </si>
  <si>
    <t>Convert To</t>
  </si>
  <si>
    <t>Min File Size</t>
  </si>
  <si>
    <t>Max File Size</t>
  </si>
  <si>
    <t>File Name Pattern</t>
  </si>
  <si>
    <t>Allowed File Extension</t>
  </si>
  <si>
    <t>Disallowed File Extension</t>
  </si>
  <si>
    <t>Magic Number Check</t>
  </si>
  <si>
    <t>Value of [Display Name] is not of type [Config Value].</t>
  </si>
  <si>
    <t>[Display Name] is required.</t>
  </si>
  <si>
    <t>[Display Name] must be a multiple of [Config Value].</t>
  </si>
  <si>
    <t>[Display Name] cannot be greater than [Config Value].</t>
  </si>
  <si>
    <t>[Display Name] must be less than [Config Value].</t>
  </si>
  <si>
    <t>[Display Name] cannot be less than [Config Value].</t>
  </si>
  <si>
    <t>[Display Name] must be greater than [Config Value].</t>
  </si>
  <si>
    <t>[Display Name] is not one of the valid options.</t>
  </si>
  <si>
    <t>[Display Name] cannot have more than [Config Value] characters.</t>
  </si>
  <si>
    <t>[Display Name] must contain at least [Config Value] characters.</t>
  </si>
  <si>
    <t>[Display Name] does not meet its required format.</t>
  </si>
  <si>
    <t>[Display Name] is not a valid [Config Value].</t>
  </si>
  <si>
    <t>Date format for [Display Name] should be defined.</t>
    <phoneticPr fontId="13" type="noConversion"/>
  </si>
  <si>
    <t>The date cannot be earlier than [Final Config Value].</t>
    <phoneticPr fontId="13" type="noConversion"/>
  </si>
  <si>
    <t>The date cannot be later than [Final Config Value].</t>
    <phoneticPr fontId="13" type="noConversion"/>
  </si>
  <si>
    <t>[Display Name] is not allowed day.</t>
    <phoneticPr fontId="13" type="noConversion"/>
  </si>
  <si>
    <t>[Display Name] is not allowed date.</t>
  </si>
  <si>
    <t>[Display Name] cannot be converted to [Config Value].</t>
    <phoneticPr fontId="13" type="noConversion"/>
  </si>
  <si>
    <t>File size cannot be less than minimum file size [Config Value] MB.</t>
    <phoneticPr fontId="13" type="noConversion"/>
  </si>
  <si>
    <t>[Display Name] file size cannot exceed the maximum file size [Config Value] MB.</t>
    <phoneticPr fontId="13" type="noConversion"/>
  </si>
  <si>
    <t>File name is not matched with the required format</t>
    <phoneticPr fontId="13" type="noConversion"/>
  </si>
  <si>
    <t>File type is not allowed. Allowed file extension is [Config Value].</t>
    <phoneticPr fontId="13" type="noConversion"/>
  </si>
  <si>
    <t>File type [Config Value] is not allowed.</t>
    <phoneticPr fontId="13" type="noConversion"/>
  </si>
  <si>
    <t>Magic number checking of the file is failed.</t>
    <phoneticPr fontId="13" type="noConversion"/>
  </si>
  <si>
    <t>Data Items</t>
  </si>
  <si>
    <t>Data Name</t>
  </si>
  <si>
    <t>Category</t>
    <phoneticPr fontId="13" type="noConversion"/>
  </si>
  <si>
    <t>Field Error Message</t>
    <phoneticPr fontId="13" type="noConversion"/>
  </si>
  <si>
    <t>Rounding</t>
  </si>
  <si>
    <t>Rounding Number of Digits</t>
  </si>
  <si>
    <t>On and After</t>
    <phoneticPr fontId="13" type="noConversion"/>
  </si>
  <si>
    <t>Maximum Days</t>
    <phoneticPr fontId="13" type="noConversion"/>
  </si>
  <si>
    <t>On and Before</t>
    <phoneticPr fontId="13" type="noConversion"/>
  </si>
  <si>
    <t>Allowed Days of Week</t>
    <phoneticPr fontId="13" type="noConversion"/>
  </si>
  <si>
    <t>Disallow Dates</t>
    <phoneticPr fontId="13" type="noConversion"/>
  </si>
  <si>
    <t>Disallowed Dates Handling</t>
    <phoneticPr fontId="13" type="noConversion"/>
  </si>
  <si>
    <t>Min File Size</t>
    <phoneticPr fontId="13" type="noConversion"/>
  </si>
  <si>
    <t>Max File Size</t>
    <phoneticPr fontId="13" type="noConversion"/>
  </si>
  <si>
    <t>File Name Pattern</t>
    <phoneticPr fontId="13" type="noConversion"/>
  </si>
  <si>
    <t>Disallowed File Extension</t>
    <phoneticPr fontId="13" type="noConversion"/>
  </si>
  <si>
    <t>Magic Number Check</t>
    <phoneticPr fontId="13" type="noConversion"/>
  </si>
  <si>
    <t>Operator</t>
  </si>
  <si>
    <t>SimpleDataQuery</t>
  </si>
  <si>
    <t>Get Data</t>
  </si>
  <si>
    <t>Data Set Name</t>
  </si>
  <si>
    <t>Column10</t>
  </si>
  <si>
    <t>Column9</t>
  </si>
  <si>
    <t>Column8</t>
  </si>
  <si>
    <t>Column7</t>
  </si>
  <si>
    <t>Column6</t>
  </si>
  <si>
    <t>Column5</t>
  </si>
  <si>
    <t>Column4</t>
  </si>
  <si>
    <t>Standard</t>
  </si>
  <si>
    <t>Jetty</t>
  </si>
  <si>
    <t>simpledataquery</t>
  </si>
  <si>
    <t>Simple Data Query</t>
  </si>
  <si>
    <t>2. How to Use this Model</t>
  </si>
  <si>
    <t>Step 1: On Data worksheet, define a name for your data set.  It will be used as the name of the API as well as in titles and description in the OpenAPI specifications website.</t>
  </si>
  <si>
    <t>Step 2: Copy and paste your data into the Data table on the Data worksheet.</t>
  </si>
  <si>
    <t>Step 3 (Optional): If some of the columns in your data table are not text, set their data type in DataDictionary worksheet.</t>
  </si>
  <si>
    <t>This AlchemyJ model templates enables you to turn an Excel table into a REST API in just a few steps.  Users of the API can filter the data set by column using operators.</t>
  </si>
  <si>
    <t>Step 4. Click AlchemyJ\Generate API to generate the API.</t>
  </si>
  <si>
    <t>3. How to Test the Model</t>
  </si>
  <si>
    <t>1. To test the model in Excel, go to Query worksheet and fill in the filter criteria (operator and value) as needed.  A blank value in operator.</t>
  </si>
  <si>
    <t xml:space="preserve">2. To test the generated REST API, click AlchemyJ\Run REST API Jar if the API is not yet running. Then click AlchemyJ\Launcn OpenAPI to launch the OpenAPI web page.  </t>
  </si>
  <si>
    <t>3. On the OpenAPI web page, there is a "Try it Out" button which allows you to test the API.</t>
  </si>
  <si>
    <t>4. Leaving an operator empty means it is an exact match (eq). To do a widecard search, type "contains" in an operator field.</t>
  </si>
  <si>
    <t>Version 1.1 released on 2020/09/04</t>
  </si>
  <si>
    <r>
      <rPr>
        <b/>
        <sz val="11"/>
        <color rgb="FF00B050"/>
        <rFont val="Cambria"/>
        <family val="1"/>
      </rPr>
      <t>←</t>
    </r>
    <r>
      <rPr>
        <b/>
        <sz val="11"/>
        <color rgb="FF00B050"/>
        <rFont val="Calibri"/>
        <family val="2"/>
        <scheme val="minor"/>
      </rPr>
      <t xml:space="preserve"> Give your data set a name.</t>
    </r>
  </si>
  <si>
    <r>
      <rPr>
        <b/>
        <sz val="11"/>
        <color rgb="FF00B050"/>
        <rFont val="Cambria"/>
        <family val="1"/>
      </rPr>
      <t xml:space="preserve">↓ </t>
    </r>
    <r>
      <rPr>
        <b/>
        <sz val="11"/>
        <color rgb="FF00B050"/>
        <rFont val="Calibri"/>
        <family val="2"/>
        <charset val="134"/>
        <scheme val="minor"/>
      </rPr>
      <t>Enter (or copy and paste) your data into this table. It supports at most 10 columns.</t>
    </r>
  </si>
  <si>
    <t>Column1</t>
  </si>
  <si>
    <t>Column2</t>
  </si>
  <si>
    <t>Column3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</si>
</sst>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font>
      <sz val="11"/>
      <color theme="1"/>
      <name val="Calibri"/>
      <family val="2"/>
      <charset val="134"/>
      <scheme val="minor"/>
    </font>
    <font>
      <sz val="11"/>
      <color theme="1"/>
      <name val="Cambria"/>
      <family val="2"/>
    </font>
    <font>
      <sz val="11"/>
      <color theme="1"/>
      <name val="Calibri"/>
      <family val="2"/>
      <charset val="134"/>
      <scheme val="minor"/>
    </font>
    <font>
      <sz val="14"/>
      <color theme="0"/>
      <name val="Calibri"/>
      <family val="2"/>
    </font>
    <font>
      <sz val="12"/>
      <color theme="0"/>
      <name val="Calibri"/>
      <family val="2"/>
    </font>
    <font>
      <sz val="11"/>
      <color theme="1"/>
      <name val="Cambria"/>
      <family val="2"/>
    </font>
    <font>
      <b/>
      <sz val="11"/>
      <name val="Calibri"/>
      <family val="2"/>
    </font>
    <font>
      <sz val="11"/>
      <color theme="1"/>
      <name val="Calibri"/>
      <family val="2"/>
      <charset val="136"/>
      <scheme val="minor"/>
    </font>
    <font>
      <sz val="11"/>
      <color theme="1"/>
      <name val="Calibri"/>
      <family val="2"/>
    </font>
    <font>
      <sz val="11"/>
      <color theme="0"/>
      <name val="Calibri"/>
      <family val="2"/>
      <scheme val="minor"/>
    </font>
    <font>
      <sz val="11"/>
      <color rgb="FF9C0006"/>
      <name val="Calibri"/>
      <family val="2"/>
      <scheme val="minor"/>
    </font>
    <font>
      <sz val="11"/>
      <color rgb="FF006100"/>
      <name val="Calibri"/>
      <family val="2"/>
      <scheme val="minor"/>
    </font>
    <font>
      <u/>
      <sz val="11"/>
      <color theme="10"/>
      <name val="Calibri"/>
      <family val="2"/>
      <charset val="136"/>
      <scheme val="minor"/>
    </font>
    <font>
      <sz val="11"/>
      <color theme="1"/>
      <name val="Calibri"/>
      <family val="2"/>
      <scheme val="minor"/>
    </font>
    <font>
      <sz val="12"/>
      <color rgb="FF000000"/>
      <name val="Calibri"/>
      <family val="2"/>
      <charset val="1"/>
    </font>
    <font>
      <sz val="11"/>
      <name val="Calibri"/>
      <family val="2"/>
    </font>
    <font>
      <b/>
      <sz val="16"/>
      <color theme="4" tint="-0.249977111117893"/>
      <name val="Calibri"/>
      <family val="2"/>
    </font>
    <font>
      <b/>
      <sz val="11"/>
      <color theme="1"/>
      <name val="Calibri"/>
      <family val="2"/>
    </font>
    <font>
      <sz val="11"/>
      <color rgb="FF000000"/>
      <name val="Calibri"/>
      <family val="2"/>
    </font>
    <font>
      <sz val="9"/>
      <name val="Calibri"/>
      <family val="2"/>
      <charset val="134"/>
      <scheme val="minor"/>
    </font>
    <font>
      <sz val="9"/>
      <name val="宋体"/>
      <family val="3"/>
      <charset val="134"/>
    </font>
    <font>
      <sz val="18"/>
      <color theme="1"/>
      <name val="Calibri"/>
      <family val="2"/>
    </font>
    <font>
      <sz val="16"/>
      <color theme="1"/>
      <name val="Calibri"/>
      <family val="2"/>
    </font>
    <font>
      <sz val="14"/>
      <color theme="1"/>
      <name val="Calibri"/>
      <family val="2"/>
    </font>
    <font>
      <sz val="11"/>
      <color rgb="FF000000"/>
      <name val="Calibri"/>
      <family val="2"/>
    </font>
    <font>
      <sz val="11"/>
      <name val="Calibri"/>
      <family val="2"/>
    </font>
    <font>
      <b/>
      <sz val="11"/>
      <color theme="0"/>
      <name val="Calibri"/>
      <family val="2"/>
      <charset val="134"/>
      <scheme val="minor"/>
    </font>
    <font>
      <sz val="8"/>
      <name val="Calibri"/>
      <family val="2"/>
      <charset val="134"/>
      <scheme val="minor"/>
    </font>
    <font>
      <b/>
      <sz val="11"/>
      <color theme="1"/>
      <name val="Calibri"/>
      <family val="2"/>
      <scheme val="minor"/>
    </font>
    <font>
      <sz val="11"/>
      <name val="Calibri"/>
      <family val="2"/>
      <scheme val="minor"/>
    </font>
    <font>
      <sz val="11"/>
      <color theme="0" tint="-0.34998626667073579"/>
      <name val="Calibri"/>
      <family val="2"/>
      <charset val="134"/>
      <scheme val="minor"/>
    </font>
    <font>
      <sz val="10"/>
      <color theme="1"/>
      <name val="Calibri"/>
      <family val="2"/>
    </font>
    <font>
      <b/>
      <sz val="11"/>
      <color rgb="FF00B050"/>
      <name val="Calibri"/>
      <family val="2"/>
      <scheme val="minor"/>
    </font>
    <font>
      <b/>
      <sz val="11"/>
      <color rgb="FF00B050"/>
      <name val="Cambria"/>
      <family val="1"/>
    </font>
    <font>
      <b/>
      <sz val="11"/>
      <color rgb="FF00B050"/>
      <name val="Calibri"/>
      <family val="1"/>
      <scheme val="minor"/>
    </font>
    <font>
      <b/>
      <sz val="11"/>
      <color rgb="FF00B050"/>
      <name val="Calibri"/>
      <family val="1"/>
      <charset val="134"/>
      <scheme val="minor"/>
    </font>
    <font>
      <b/>
      <sz val="11"/>
      <color rgb="FF00B050"/>
      <name val="Calibri"/>
      <family val="2"/>
      <charset val="134"/>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4"/>
      </patternFill>
    </fill>
    <fill>
      <patternFill patternType="solid">
        <fgColor theme="4" tint="0.39997558519241921"/>
        <bgColor indexed="65"/>
      </patternFill>
    </fill>
    <fill>
      <patternFill patternType="solid">
        <fgColor theme="8"/>
      </patternFill>
    </fill>
    <fill>
      <gradientFill degree="90">
        <stop position="0">
          <color theme="4" tint="-0.25098422193060094"/>
        </stop>
        <stop position="0.5">
          <color theme="3" tint="0.40000610370189521"/>
        </stop>
        <stop position="1">
          <color theme="4" tint="-0.25098422193060094"/>
        </stop>
      </gradientFill>
    </fill>
    <fill>
      <gradientFill degree="90">
        <stop position="0">
          <color theme="3" tint="0.80001220740379042"/>
        </stop>
        <stop position="1">
          <color theme="3" tint="0.59999389629810485"/>
        </stop>
      </gradientFill>
    </fill>
    <fill>
      <patternFill patternType="solid">
        <fgColor theme="4" tint="0.79998168889431442"/>
        <bgColor theme="4" tint="0.79998168889431442"/>
      </patternFill>
    </fill>
    <fill>
      <patternFill patternType="solid">
        <fgColor theme="3" tint="0.80001220740379042"/>
        <bgColor theme="4"/>
      </patternFill>
    </fill>
    <fill>
      <patternFill patternType="solid">
        <fgColor theme="4"/>
        <bgColor theme="4"/>
      </patternFill>
    </fill>
    <fill>
      <gradientFill degree="90">
        <stop position="0">
          <color theme="3" tint="0.59999389629810485"/>
        </stop>
        <stop position="1">
          <color theme="3" tint="0.40000610370189521"/>
        </stop>
      </gradientFill>
    </fill>
    <fill>
      <gradientFill degree="90">
        <stop position="0">
          <color rgb="FF92D050"/>
        </stop>
        <stop position="1">
          <color rgb="FF00B050"/>
        </stop>
      </gradientFill>
    </fill>
    <fill>
      <gradientFill degree="90">
        <stop position="0">
          <color theme="9" tint="0.40000610370189521"/>
        </stop>
        <stop position="1">
          <color theme="9" tint="-0.25098422193060094"/>
        </stop>
      </gradientFill>
    </fill>
    <fill>
      <gradientFill degree="90">
        <stop position="0">
          <color theme="8" tint="0.59999389629810485"/>
        </stop>
        <stop position="1">
          <color theme="8" tint="0.40000610370189521"/>
        </stop>
      </gradientFill>
    </fill>
    <fill>
      <gradientFill degree="90">
        <stop position="0">
          <color theme="7" tint="0.59999389629810485"/>
        </stop>
        <stop position="1">
          <color theme="7" tint="0.40000610370189521"/>
        </stop>
      </gradientFill>
    </fill>
    <fill>
      <patternFill patternType="solid">
        <fgColor theme="0" tint="-0.34998626667073579"/>
        <bgColor theme="4"/>
      </patternFill>
    </fill>
  </fills>
  <borders count="24">
    <border>
      <left/>
      <right/>
      <top/>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top style="thin">
        <color theme="4" tint="0.39997558519241921"/>
      </top>
      <bottom style="medium">
        <color theme="3" tint="0.59996337778862885"/>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medium">
        <color theme="3" tint="0.59996337778862885"/>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n">
        <color theme="4" tint="-0.499984740745262"/>
      </right>
      <top style="thin">
        <color theme="4" tint="-0.499984740745262"/>
      </top>
      <bottom/>
      <diagonal/>
    </border>
    <border>
      <left style="thin">
        <color theme="4" tint="0.39997558519241921"/>
      </left>
      <right/>
      <top style="thin">
        <color theme="4" tint="0.39997558519241921"/>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theme="4" tint="0.39997558519241921"/>
      </top>
      <bottom style="thin">
        <color theme="4" tint="0.39997558519241921"/>
      </bottom>
      <diagonal/>
    </border>
    <border>
      <left/>
      <right style="thin">
        <color theme="8" tint="0.39997558519241921"/>
      </right>
      <top style="thin">
        <color theme="4" tint="0.39997558519241921"/>
      </top>
      <bottom style="thin">
        <color theme="4" tint="0.399975585192419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12466">
    <xf numFmtId="0" fontId="0" fillId="0" borderId="0"/>
    <xf numFmtId="0" fontId="2" fillId="0" borderId="0"/>
    <xf numFmtId="0" fontId="5" fillId="0" borderId="0"/>
    <xf numFmtId="0" fontId="2" fillId="0" borderId="0"/>
    <xf numFmtId="0" fontId="7" fillId="0" borderId="0">
      <alignment vertical="center"/>
    </xf>
    <xf numFmtId="0" fontId="9" fillId="5" borderId="0" applyNumberFormat="0" applyBorder="0" applyAlignment="0" applyProtection="0"/>
    <xf numFmtId="0" fontId="9" fillId="4" borderId="0" applyNumberFormat="0" applyBorder="0" applyAlignment="0" applyProtection="0"/>
    <xf numFmtId="0" fontId="9" fillId="6" borderId="0" applyNumberFormat="0" applyBorder="0" applyAlignment="0" applyProtection="0"/>
    <xf numFmtId="0" fontId="10" fillId="3" borderId="0" applyNumberFormat="0" applyBorder="0" applyAlignment="0" applyProtection="0"/>
    <xf numFmtId="0" fontId="11" fillId="2" borderId="0" applyNumberFormat="0" applyBorder="0" applyAlignment="0" applyProtection="0"/>
    <xf numFmtId="0" fontId="12" fillId="0" borderId="0" applyNumberFormat="0" applyFill="0" applyBorder="0" applyAlignment="0" applyProtection="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alignment vertical="center"/>
    </xf>
    <xf numFmtId="0" fontId="2" fillId="0" borderId="0"/>
    <xf numFmtId="0" fontId="2" fillId="0" borderId="0"/>
    <xf numFmtId="0" fontId="2" fillId="0" borderId="0"/>
    <xf numFmtId="0" fontId="2" fillId="0" borderId="0"/>
    <xf numFmtId="0" fontId="7" fillId="0" borderId="0">
      <alignment vertical="center"/>
    </xf>
    <xf numFmtId="0" fontId="2"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2" fillId="0" borderId="0">
      <alignment vertical="center"/>
    </xf>
    <xf numFmtId="0" fontId="13" fillId="0" borderId="0"/>
    <xf numFmtId="0" fontId="13" fillId="0" borderId="0"/>
    <xf numFmtId="0" fontId="13" fillId="0" borderId="0"/>
    <xf numFmtId="0" fontId="13" fillId="0" borderId="0"/>
    <xf numFmtId="0" fontId="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14" fillId="0" borderId="0"/>
    <xf numFmtId="0" fontId="1" fillId="0" borderId="0"/>
  </cellStyleXfs>
  <cellXfs count="122">
    <xf numFmtId="0" fontId="0" fillId="0" borderId="0" xfId="0"/>
    <xf numFmtId="0" fontId="5" fillId="0" borderId="0" xfId="2"/>
    <xf numFmtId="0" fontId="8" fillId="0" borderId="0" xfId="4" applyFont="1" applyAlignment="1">
      <alignment vertical="top"/>
    </xf>
    <xf numFmtId="0" fontId="8" fillId="0" borderId="0" xfId="4" applyFont="1">
      <alignment vertical="center"/>
    </xf>
    <xf numFmtId="0" fontId="8" fillId="0" borderId="0" xfId="4" applyFont="1" applyAlignment="1">
      <alignment vertical="center" wrapText="1"/>
    </xf>
    <xf numFmtId="49" fontId="8" fillId="0" borderId="0" xfId="26" applyNumberFormat="1" applyFont="1" applyFill="1" applyBorder="1"/>
    <xf numFmtId="49" fontId="8" fillId="0" borderId="0" xfId="26" applyNumberFormat="1" applyFont="1"/>
    <xf numFmtId="0" fontId="2" fillId="0" borderId="0" xfId="6209"/>
    <xf numFmtId="0" fontId="8" fillId="0" borderId="5" xfId="6171" applyNumberFormat="1" applyFont="1" applyBorder="1"/>
    <xf numFmtId="49" fontId="8" fillId="0" borderId="0" xfId="6171" applyNumberFormat="1" applyFont="1"/>
    <xf numFmtId="49" fontId="8" fillId="0" borderId="0" xfId="1" applyNumberFormat="1" applyFont="1"/>
    <xf numFmtId="0" fontId="8" fillId="0" borderId="0" xfId="6168" applyNumberFormat="1" applyFont="1" applyFill="1"/>
    <xf numFmtId="0" fontId="8" fillId="0" borderId="0" xfId="6173" applyNumberFormat="1" applyFont="1"/>
    <xf numFmtId="0" fontId="8" fillId="0" borderId="0" xfId="6168" applyNumberFormat="1" applyFont="1"/>
    <xf numFmtId="0" fontId="8" fillId="0" borderId="0" xfId="6171" applyNumberFormat="1" applyFont="1"/>
    <xf numFmtId="0" fontId="13" fillId="0" borderId="0" xfId="0" applyFont="1"/>
    <xf numFmtId="0" fontId="21" fillId="0" borderId="0" xfId="0" applyFont="1"/>
    <xf numFmtId="0" fontId="8" fillId="0" borderId="0" xfId="0" applyFont="1"/>
    <xf numFmtId="0" fontId="22" fillId="0" borderId="0" xfId="0" applyFont="1"/>
    <xf numFmtId="0" fontId="23" fillId="0" borderId="0" xfId="0" applyFont="1"/>
    <xf numFmtId="0" fontId="3" fillId="7" borderId="1" xfId="1" applyNumberFormat="1" applyFont="1" applyFill="1" applyBorder="1"/>
    <xf numFmtId="0" fontId="4" fillId="7" borderId="2" xfId="1" applyNumberFormat="1" applyFont="1" applyFill="1" applyBorder="1"/>
    <xf numFmtId="0" fontId="3" fillId="7" borderId="3" xfId="1" applyNumberFormat="1" applyFont="1" applyFill="1" applyBorder="1"/>
    <xf numFmtId="0" fontId="6" fillId="8" borderId="4" xfId="3" applyNumberFormat="1" applyFont="1" applyFill="1" applyBorder="1" applyAlignment="1"/>
    <xf numFmtId="0" fontId="8" fillId="0" borderId="0" xfId="4" applyNumberFormat="1" applyFont="1" applyAlignment="1">
      <alignment vertical="top"/>
    </xf>
    <xf numFmtId="0" fontId="8" fillId="0" borderId="0" xfId="4" applyNumberFormat="1" applyFont="1" applyFill="1" applyAlignment="1">
      <alignment horizontal="left" vertical="top" wrapText="1"/>
    </xf>
    <xf numFmtId="0" fontId="8" fillId="0" borderId="0" xfId="4" applyNumberFormat="1" applyFont="1">
      <alignment vertical="center"/>
    </xf>
    <xf numFmtId="0" fontId="8" fillId="0" borderId="0" xfId="4" applyNumberFormat="1" applyFont="1" applyAlignment="1">
      <alignment horizontal="left" vertical="top" wrapText="1"/>
    </xf>
    <xf numFmtId="0" fontId="8" fillId="0" borderId="0" xfId="4" applyNumberFormat="1" applyFont="1" applyAlignment="1">
      <alignment vertical="center" wrapText="1"/>
    </xf>
    <xf numFmtId="0" fontId="8" fillId="0" borderId="0" xfId="4" applyNumberFormat="1" applyFont="1" applyAlignment="1">
      <alignment horizontal="left" vertical="center" wrapText="1"/>
    </xf>
    <xf numFmtId="0" fontId="4" fillId="7" borderId="3" xfId="1" applyNumberFormat="1" applyFont="1" applyFill="1" applyBorder="1"/>
    <xf numFmtId="0" fontId="15" fillId="0" borderId="0" xfId="6209" applyNumberFormat="1" applyFont="1" applyFill="1"/>
    <xf numFmtId="0" fontId="15" fillId="0" borderId="0" xfId="6209" applyNumberFormat="1" applyFont="1" applyFill="1" applyAlignment="1">
      <alignment horizontal="left"/>
    </xf>
    <xf numFmtId="0" fontId="2" fillId="0" borderId="0" xfId="26" applyNumberFormat="1"/>
    <xf numFmtId="0" fontId="8" fillId="0" borderId="0" xfId="26" applyNumberFormat="1" applyFont="1" applyFill="1" applyBorder="1"/>
    <xf numFmtId="0" fontId="8" fillId="0" borderId="0" xfId="26" applyNumberFormat="1" applyFont="1"/>
    <xf numFmtId="0" fontId="16" fillId="0" borderId="5" xfId="6171" applyNumberFormat="1" applyFont="1" applyBorder="1"/>
    <xf numFmtId="0" fontId="3" fillId="7" borderId="2" xfId="1" applyNumberFormat="1" applyFont="1" applyFill="1" applyBorder="1"/>
    <xf numFmtId="0" fontId="15" fillId="8" borderId="9" xfId="3" applyNumberFormat="1" applyFont="1" applyFill="1" applyBorder="1"/>
    <xf numFmtId="0" fontId="8" fillId="0" borderId="0" xfId="6168" applyNumberFormat="1" applyFont="1" applyAlignment="1">
      <alignment wrapText="1"/>
    </xf>
    <xf numFmtId="0" fontId="8" fillId="0" borderId="0" xfId="6168" applyNumberFormat="1" applyFont="1" applyFill="1" applyBorder="1" applyAlignment="1">
      <alignment wrapText="1"/>
    </xf>
    <xf numFmtId="0" fontId="18" fillId="0" borderId="0" xfId="6168" applyNumberFormat="1" applyFont="1" applyFill="1"/>
    <xf numFmtId="0" fontId="8" fillId="0" borderId="0" xfId="6168" applyNumberFormat="1" applyFont="1" applyFill="1" applyBorder="1"/>
    <xf numFmtId="0" fontId="17" fillId="0" borderId="0" xfId="6168" applyNumberFormat="1" applyFont="1"/>
    <xf numFmtId="0" fontId="8" fillId="0" borderId="0" xfId="6168" quotePrefix="1" applyNumberFormat="1" applyFont="1" applyFill="1"/>
    <xf numFmtId="0" fontId="18" fillId="0" borderId="0" xfId="6171" applyNumberFormat="1" applyFont="1" applyFill="1"/>
    <xf numFmtId="0" fontId="8" fillId="0" borderId="0" xfId="1" applyNumberFormat="1" applyFont="1"/>
    <xf numFmtId="0" fontId="8" fillId="0" borderId="0" xfId="28" applyNumberFormat="1" applyFont="1"/>
    <xf numFmtId="0" fontId="8" fillId="0" borderId="0" xfId="6171" applyNumberFormat="1" applyFont="1" applyFill="1"/>
    <xf numFmtId="0" fontId="8" fillId="0" borderId="0" xfId="1" applyNumberFormat="1" applyFont="1" applyFill="1"/>
    <xf numFmtId="0" fontId="25" fillId="8" borderId="9" xfId="3" applyNumberFormat="1" applyFont="1" applyFill="1" applyBorder="1"/>
    <xf numFmtId="0" fontId="24" fillId="0" borderId="0" xfId="6171" applyNumberFormat="1" applyFont="1" applyFill="1" applyAlignment="1">
      <alignment wrapText="1"/>
    </xf>
    <xf numFmtId="0" fontId="18" fillId="0" borderId="0" xfId="6171" applyNumberFormat="1" applyFont="1" applyFill="1" applyAlignment="1">
      <alignment wrapText="1"/>
    </xf>
    <xf numFmtId="0" fontId="3" fillId="7" borderId="10" xfId="1" applyNumberFormat="1" applyFont="1" applyFill="1" applyBorder="1"/>
    <xf numFmtId="0" fontId="3" fillId="7" borderId="11" xfId="1" applyNumberFormat="1" applyFont="1" applyFill="1" applyBorder="1"/>
    <xf numFmtId="0" fontId="3" fillId="7" borderId="12" xfId="1" applyNumberFormat="1" applyFont="1" applyFill="1" applyBorder="1"/>
    <xf numFmtId="0" fontId="6" fillId="10" borderId="0" xfId="3" applyNumberFormat="1" applyFont="1" applyFill="1" applyBorder="1" applyAlignment="1">
      <alignment wrapText="1"/>
    </xf>
    <xf numFmtId="0" fontId="8" fillId="0" borderId="0" xfId="0" applyNumberFormat="1" applyFont="1" applyBorder="1"/>
    <xf numFmtId="0" fontId="8" fillId="0" borderId="0" xfId="4" applyFont="1" applyAlignment="1">
      <alignment horizontal="left" vertical="center" wrapText="1"/>
    </xf>
    <xf numFmtId="0" fontId="8" fillId="0" borderId="0" xfId="4" applyFont="1" applyAlignment="1">
      <alignment horizontal="left" vertical="top" wrapText="1"/>
    </xf>
    <xf numFmtId="0" fontId="8" fillId="0" borderId="0" xfId="4" applyFont="1" applyFill="1" applyAlignment="1">
      <alignment horizontal="left" vertical="top" wrapText="1"/>
    </xf>
    <xf numFmtId="0" fontId="0" fillId="0" borderId="0" xfId="0" applyNumberFormat="1"/>
    <xf numFmtId="0" fontId="28" fillId="0" borderId="0" xfId="0" applyFont="1"/>
    <xf numFmtId="0" fontId="26" fillId="11" borderId="13" xfId="0" applyFont="1" applyFill="1" applyBorder="1"/>
    <xf numFmtId="0" fontId="0" fillId="0" borderId="0" xfId="0" applyAlignment="1">
      <alignment wrapText="1"/>
    </xf>
    <xf numFmtId="0" fontId="8" fillId="10" borderId="0" xfId="3" applyNumberFormat="1" applyFont="1" applyFill="1" applyBorder="1" applyAlignment="1">
      <alignment wrapText="1"/>
    </xf>
    <xf numFmtId="0" fontId="0" fillId="0" borderId="14" xfId="0" applyBorder="1"/>
    <xf numFmtId="0" fontId="0" fillId="0" borderId="0" xfId="0" applyBorder="1"/>
    <xf numFmtId="0" fontId="0" fillId="0" borderId="15" xfId="0" applyBorder="1"/>
    <xf numFmtId="0" fontId="0" fillId="0" borderId="16" xfId="0" applyBorder="1"/>
    <xf numFmtId="0" fontId="0" fillId="0" borderId="5" xfId="0" applyBorder="1"/>
    <xf numFmtId="0" fontId="0" fillId="0" borderId="17" xfId="0" applyBorder="1"/>
    <xf numFmtId="0" fontId="16" fillId="0" borderId="5" xfId="6171" applyFont="1" applyBorder="1"/>
    <xf numFmtId="0" fontId="8" fillId="0" borderId="5" xfId="6171" applyFont="1" applyBorder="1"/>
    <xf numFmtId="0" fontId="2" fillId="0" borderId="0" xfId="28"/>
    <xf numFmtId="0" fontId="17" fillId="0" borderId="0" xfId="28" applyFont="1"/>
    <xf numFmtId="0" fontId="8" fillId="0" borderId="0" xfId="28" applyFont="1"/>
    <xf numFmtId="0" fontId="3" fillId="7" borderId="1" xfId="1" applyFont="1" applyFill="1" applyBorder="1"/>
    <xf numFmtId="0" fontId="3" fillId="7" borderId="2" xfId="1" applyFont="1" applyFill="1" applyBorder="1"/>
    <xf numFmtId="0" fontId="3" fillId="7" borderId="3" xfId="1" applyFont="1" applyFill="1" applyBorder="1"/>
    <xf numFmtId="0" fontId="29" fillId="0" borderId="0" xfId="28" applyFont="1"/>
    <xf numFmtId="0" fontId="6" fillId="12" borderId="6" xfId="3" applyFont="1" applyFill="1" applyBorder="1"/>
    <xf numFmtId="0" fontId="6" fillId="12" borderId="7" xfId="3" applyFont="1" applyFill="1" applyBorder="1"/>
    <xf numFmtId="0" fontId="6" fillId="13" borderId="7" xfId="28" applyFont="1" applyFill="1" applyBorder="1"/>
    <xf numFmtId="0" fontId="6" fillId="14" borderId="7" xfId="28" applyFont="1" applyFill="1" applyBorder="1"/>
    <xf numFmtId="0" fontId="6" fillId="15" borderId="7" xfId="28" applyFont="1" applyFill="1" applyBorder="1"/>
    <xf numFmtId="0" fontId="6" fillId="16" borderId="7" xfId="28" applyFont="1" applyFill="1" applyBorder="1"/>
    <xf numFmtId="0" fontId="6" fillId="16" borderId="8" xfId="28" applyFont="1" applyFill="1" applyBorder="1"/>
    <xf numFmtId="0" fontId="8" fillId="9" borderId="6" xfId="28" applyFont="1" applyFill="1" applyBorder="1"/>
    <xf numFmtId="0" fontId="8" fillId="9" borderId="7" xfId="28" applyFont="1" applyFill="1" applyBorder="1"/>
    <xf numFmtId="0" fontId="8" fillId="9" borderId="18" xfId="28" applyFont="1" applyFill="1" applyBorder="1"/>
    <xf numFmtId="0" fontId="8" fillId="9" borderId="19" xfId="28" applyFont="1" applyFill="1" applyBorder="1"/>
    <xf numFmtId="0" fontId="15" fillId="12" borderId="0" xfId="3" applyFont="1" applyFill="1"/>
    <xf numFmtId="0" fontId="15" fillId="13" borderId="14" xfId="28" applyFont="1" applyFill="1" applyBorder="1"/>
    <xf numFmtId="0" fontId="15" fillId="13" borderId="0" xfId="28" applyFont="1" applyFill="1"/>
    <xf numFmtId="0" fontId="15" fillId="14" borderId="14" xfId="28" applyFont="1" applyFill="1" applyBorder="1"/>
    <xf numFmtId="0" fontId="15" fillId="14" borderId="0" xfId="28" applyFont="1" applyFill="1"/>
    <xf numFmtId="0" fontId="6" fillId="15" borderId="14" xfId="28" applyFont="1" applyFill="1" applyBorder="1"/>
    <xf numFmtId="0" fontId="15" fillId="15" borderId="0" xfId="28" applyFont="1" applyFill="1"/>
    <xf numFmtId="0" fontId="6" fillId="15" borderId="0" xfId="28" applyFont="1" applyFill="1"/>
    <xf numFmtId="0" fontId="15" fillId="16" borderId="14" xfId="28" applyFont="1" applyFill="1" applyBorder="1"/>
    <xf numFmtId="0" fontId="15" fillId="16" borderId="0" xfId="28" applyFont="1" applyFill="1"/>
    <xf numFmtId="0" fontId="8" fillId="0" borderId="14" xfId="28" applyFont="1" applyBorder="1"/>
    <xf numFmtId="0" fontId="1" fillId="0" borderId="0" xfId="12465"/>
    <xf numFmtId="0" fontId="26" fillId="17" borderId="6" xfId="0" applyFont="1" applyFill="1" applyBorder="1" applyAlignment="1">
      <alignment wrapText="1"/>
    </xf>
    <xf numFmtId="0" fontId="30" fillId="0" borderId="0" xfId="0" applyFont="1"/>
    <xf numFmtId="0" fontId="30" fillId="0" borderId="0" xfId="0" applyNumberFormat="1" applyFont="1"/>
    <xf numFmtId="0" fontId="26" fillId="11" borderId="20" xfId="0" applyFont="1" applyFill="1" applyBorder="1"/>
    <xf numFmtId="0" fontId="26" fillId="11" borderId="21" xfId="0" applyFont="1" applyFill="1" applyBorder="1"/>
    <xf numFmtId="0" fontId="26" fillId="11" borderId="22" xfId="0" applyFont="1" applyFill="1" applyBorder="1"/>
    <xf numFmtId="0" fontId="0" fillId="0" borderId="20" xfId="0" applyFont="1" applyFill="1" applyBorder="1"/>
    <xf numFmtId="0" fontId="0" fillId="0" borderId="21" xfId="0" applyFont="1" applyFill="1" applyBorder="1"/>
    <xf numFmtId="0" fontId="0" fillId="0" borderId="22" xfId="0" applyFont="1" applyFill="1" applyBorder="1"/>
    <xf numFmtId="0" fontId="0" fillId="0" borderId="16" xfId="0" applyFont="1" applyFill="1" applyBorder="1"/>
    <xf numFmtId="0" fontId="0" fillId="0" borderId="5" xfId="0" applyFont="1" applyFill="1" applyBorder="1"/>
    <xf numFmtId="0" fontId="0" fillId="0" borderId="17" xfId="0" applyFont="1" applyFill="1" applyBorder="1"/>
    <xf numFmtId="0" fontId="8" fillId="0" borderId="0" xfId="0" applyNumberFormat="1" applyFont="1" applyFill="1" applyBorder="1"/>
    <xf numFmtId="0" fontId="26" fillId="11" borderId="13" xfId="0" applyFont="1" applyFill="1" applyBorder="1" applyAlignment="1">
      <alignment wrapText="1"/>
    </xf>
    <xf numFmtId="0" fontId="0" fillId="0" borderId="23" xfId="0" applyBorder="1"/>
    <xf numFmtId="0" fontId="31" fillId="0" borderId="0" xfId="0" applyFont="1"/>
    <xf numFmtId="0" fontId="34" fillId="0" borderId="0" xfId="0" applyFont="1"/>
    <xf numFmtId="0" fontId="35" fillId="0" borderId="0" xfId="0" applyFont="1"/>
  </cellXfs>
  <cellStyles count="12466">
    <cellStyle name="60% - Accent1 2" xfId="5" xr:uid="{00000000-0005-0000-0000-000000000000}"/>
    <cellStyle name="Accent1 2" xfId="6" xr:uid="{00000000-0005-0000-0000-000001000000}"/>
    <cellStyle name="Accent5 2" xfId="7" xr:uid="{00000000-0005-0000-0000-000002000000}"/>
    <cellStyle name="Bad 2" xfId="8" xr:uid="{00000000-0005-0000-0000-000003000000}"/>
    <cellStyle name="Good 2" xfId="9" xr:uid="{00000000-0005-0000-0000-000004000000}"/>
    <cellStyle name="Hyperlink 2" xfId="10" xr:uid="{00000000-0005-0000-0000-000006000000}"/>
    <cellStyle name="Normal" xfId="0" builtinId="0"/>
    <cellStyle name="Normal 10" xfId="11" xr:uid="{00000000-0005-0000-0000-000008000000}"/>
    <cellStyle name="Normal 10 10" xfId="12" xr:uid="{00000000-0005-0000-0000-000009000000}"/>
    <cellStyle name="Normal 10 10 2" xfId="13" xr:uid="{00000000-0005-0000-0000-00000A000000}"/>
    <cellStyle name="Normal 10 10 2 2" xfId="14" xr:uid="{00000000-0005-0000-0000-00000B000000}"/>
    <cellStyle name="Normal 10 10 2 2 2" xfId="15" xr:uid="{00000000-0005-0000-0000-00000C000000}"/>
    <cellStyle name="Normal 10 10 2 3" xfId="16" xr:uid="{00000000-0005-0000-0000-00000D000000}"/>
    <cellStyle name="Normal 10 10 3" xfId="17" xr:uid="{00000000-0005-0000-0000-00000E000000}"/>
    <cellStyle name="Normal 10 10 3 2" xfId="18" xr:uid="{00000000-0005-0000-0000-00000F000000}"/>
    <cellStyle name="Normal 10 10 4" xfId="19" xr:uid="{00000000-0005-0000-0000-000010000000}"/>
    <cellStyle name="Normal 10 11" xfId="20" xr:uid="{00000000-0005-0000-0000-000011000000}"/>
    <cellStyle name="Normal 10 11 2" xfId="21" xr:uid="{00000000-0005-0000-0000-000012000000}"/>
    <cellStyle name="Normal 10 11 2 2" xfId="22" xr:uid="{00000000-0005-0000-0000-000013000000}"/>
    <cellStyle name="Normal 10 11 3" xfId="23" xr:uid="{00000000-0005-0000-0000-000014000000}"/>
    <cellStyle name="Normal 10 12" xfId="24" xr:uid="{00000000-0005-0000-0000-000015000000}"/>
    <cellStyle name="Normal 10 12 2" xfId="25" xr:uid="{00000000-0005-0000-0000-000016000000}"/>
    <cellStyle name="Normal 10 13" xfId="26" xr:uid="{00000000-0005-0000-0000-000017000000}"/>
    <cellStyle name="Normal 10 13 2" xfId="27" xr:uid="{00000000-0005-0000-0000-000018000000}"/>
    <cellStyle name="Normal 10 13 2 2" xfId="28" xr:uid="{00000000-0005-0000-0000-000019000000}"/>
    <cellStyle name="Normal 10 13 2 2 4" xfId="29" xr:uid="{00000000-0005-0000-0000-00001A000000}"/>
    <cellStyle name="Normal 10 2" xfId="30" xr:uid="{00000000-0005-0000-0000-00001B000000}"/>
    <cellStyle name="Normal 10 2 10" xfId="31" xr:uid="{00000000-0005-0000-0000-00001C000000}"/>
    <cellStyle name="Normal 10 2 10 2" xfId="32" xr:uid="{00000000-0005-0000-0000-00001D000000}"/>
    <cellStyle name="Normal 10 2 11" xfId="33" xr:uid="{00000000-0005-0000-0000-00001E000000}"/>
    <cellStyle name="Normal 10 2 2" xfId="34" xr:uid="{00000000-0005-0000-0000-00001F000000}"/>
    <cellStyle name="Normal 10 2 2 10" xfId="35" xr:uid="{00000000-0005-0000-0000-000020000000}"/>
    <cellStyle name="Normal 10 2 2 2" xfId="36" xr:uid="{00000000-0005-0000-0000-000021000000}"/>
    <cellStyle name="Normal 10 2 2 2 2" xfId="37" xr:uid="{00000000-0005-0000-0000-000022000000}"/>
    <cellStyle name="Normal 10 2 2 2 2 2" xfId="38" xr:uid="{00000000-0005-0000-0000-000023000000}"/>
    <cellStyle name="Normal 10 2 2 2 2 2 2" xfId="39" xr:uid="{00000000-0005-0000-0000-000024000000}"/>
    <cellStyle name="Normal 10 2 2 2 2 2 2 2" xfId="40" xr:uid="{00000000-0005-0000-0000-000025000000}"/>
    <cellStyle name="Normal 10 2 2 2 2 2 2 2 2" xfId="41" xr:uid="{00000000-0005-0000-0000-000026000000}"/>
    <cellStyle name="Normal 10 2 2 2 2 2 2 2 2 2" xfId="42" xr:uid="{00000000-0005-0000-0000-000027000000}"/>
    <cellStyle name="Normal 10 2 2 2 2 2 2 2 2 2 2" xfId="43" xr:uid="{00000000-0005-0000-0000-000028000000}"/>
    <cellStyle name="Normal 10 2 2 2 2 2 2 2 2 2 2 2" xfId="44" xr:uid="{00000000-0005-0000-0000-000029000000}"/>
    <cellStyle name="Normal 10 2 2 2 2 2 2 2 2 2 3" xfId="45" xr:uid="{00000000-0005-0000-0000-00002A000000}"/>
    <cellStyle name="Normal 10 2 2 2 2 2 2 2 2 3" xfId="46" xr:uid="{00000000-0005-0000-0000-00002B000000}"/>
    <cellStyle name="Normal 10 2 2 2 2 2 2 2 2 3 2" xfId="47" xr:uid="{00000000-0005-0000-0000-00002C000000}"/>
    <cellStyle name="Normal 10 2 2 2 2 2 2 2 2 4" xfId="48" xr:uid="{00000000-0005-0000-0000-00002D000000}"/>
    <cellStyle name="Normal 10 2 2 2 2 2 2 2 3" xfId="49" xr:uid="{00000000-0005-0000-0000-00002E000000}"/>
    <cellStyle name="Normal 10 2 2 2 2 2 2 2 3 2" xfId="50" xr:uid="{00000000-0005-0000-0000-00002F000000}"/>
    <cellStyle name="Normal 10 2 2 2 2 2 2 2 3 2 2" xfId="51" xr:uid="{00000000-0005-0000-0000-000030000000}"/>
    <cellStyle name="Normal 10 2 2 2 2 2 2 2 3 3" xfId="52" xr:uid="{00000000-0005-0000-0000-000031000000}"/>
    <cellStyle name="Normal 10 2 2 2 2 2 2 2 4" xfId="53" xr:uid="{00000000-0005-0000-0000-000032000000}"/>
    <cellStyle name="Normal 10 2 2 2 2 2 2 2 4 2" xfId="54" xr:uid="{00000000-0005-0000-0000-000033000000}"/>
    <cellStyle name="Normal 10 2 2 2 2 2 2 2 5" xfId="55" xr:uid="{00000000-0005-0000-0000-000034000000}"/>
    <cellStyle name="Normal 10 2 2 2 2 2 2 3" xfId="56" xr:uid="{00000000-0005-0000-0000-000035000000}"/>
    <cellStyle name="Normal 10 2 2 2 2 2 2 3 2" xfId="57" xr:uid="{00000000-0005-0000-0000-000036000000}"/>
    <cellStyle name="Normal 10 2 2 2 2 2 2 3 2 2" xfId="58" xr:uid="{00000000-0005-0000-0000-000037000000}"/>
    <cellStyle name="Normal 10 2 2 2 2 2 2 3 2 2 2" xfId="59" xr:uid="{00000000-0005-0000-0000-000038000000}"/>
    <cellStyle name="Normal 10 2 2 2 2 2 2 3 2 3" xfId="60" xr:uid="{00000000-0005-0000-0000-000039000000}"/>
    <cellStyle name="Normal 10 2 2 2 2 2 2 3 3" xfId="61" xr:uid="{00000000-0005-0000-0000-00003A000000}"/>
    <cellStyle name="Normal 10 2 2 2 2 2 2 3 3 2" xfId="62" xr:uid="{00000000-0005-0000-0000-00003B000000}"/>
    <cellStyle name="Normal 10 2 2 2 2 2 2 3 4" xfId="63" xr:uid="{00000000-0005-0000-0000-00003C000000}"/>
    <cellStyle name="Normal 10 2 2 2 2 2 2 4" xfId="64" xr:uid="{00000000-0005-0000-0000-00003D000000}"/>
    <cellStyle name="Normal 10 2 2 2 2 2 2 4 2" xfId="65" xr:uid="{00000000-0005-0000-0000-00003E000000}"/>
    <cellStyle name="Normal 10 2 2 2 2 2 2 4 2 2" xfId="66" xr:uid="{00000000-0005-0000-0000-00003F000000}"/>
    <cellStyle name="Normal 10 2 2 2 2 2 2 4 3" xfId="67" xr:uid="{00000000-0005-0000-0000-000040000000}"/>
    <cellStyle name="Normal 10 2 2 2 2 2 2 5" xfId="68" xr:uid="{00000000-0005-0000-0000-000041000000}"/>
    <cellStyle name="Normal 10 2 2 2 2 2 2 5 2" xfId="69" xr:uid="{00000000-0005-0000-0000-000042000000}"/>
    <cellStyle name="Normal 10 2 2 2 2 2 2 6" xfId="70" xr:uid="{00000000-0005-0000-0000-000043000000}"/>
    <cellStyle name="Normal 10 2 2 2 2 2 3" xfId="71" xr:uid="{00000000-0005-0000-0000-000044000000}"/>
    <cellStyle name="Normal 10 2 2 2 2 2 3 2" xfId="72" xr:uid="{00000000-0005-0000-0000-000045000000}"/>
    <cellStyle name="Normal 10 2 2 2 2 2 3 2 2" xfId="73" xr:uid="{00000000-0005-0000-0000-000046000000}"/>
    <cellStyle name="Normal 10 2 2 2 2 2 3 2 2 2" xfId="74" xr:uid="{00000000-0005-0000-0000-000047000000}"/>
    <cellStyle name="Normal 10 2 2 2 2 2 3 2 2 2 2" xfId="75" xr:uid="{00000000-0005-0000-0000-000048000000}"/>
    <cellStyle name="Normal 10 2 2 2 2 2 3 2 2 3" xfId="76" xr:uid="{00000000-0005-0000-0000-000049000000}"/>
    <cellStyle name="Normal 10 2 2 2 2 2 3 2 3" xfId="77" xr:uid="{00000000-0005-0000-0000-00004A000000}"/>
    <cellStyle name="Normal 10 2 2 2 2 2 3 2 3 2" xfId="78" xr:uid="{00000000-0005-0000-0000-00004B000000}"/>
    <cellStyle name="Normal 10 2 2 2 2 2 3 2 4" xfId="79" xr:uid="{00000000-0005-0000-0000-00004C000000}"/>
    <cellStyle name="Normal 10 2 2 2 2 2 3 3" xfId="80" xr:uid="{00000000-0005-0000-0000-00004D000000}"/>
    <cellStyle name="Normal 10 2 2 2 2 2 3 3 2" xfId="81" xr:uid="{00000000-0005-0000-0000-00004E000000}"/>
    <cellStyle name="Normal 10 2 2 2 2 2 3 3 2 2" xfId="82" xr:uid="{00000000-0005-0000-0000-00004F000000}"/>
    <cellStyle name="Normal 10 2 2 2 2 2 3 3 3" xfId="83" xr:uid="{00000000-0005-0000-0000-000050000000}"/>
    <cellStyle name="Normal 10 2 2 2 2 2 3 4" xfId="84" xr:uid="{00000000-0005-0000-0000-000051000000}"/>
    <cellStyle name="Normal 10 2 2 2 2 2 3 4 2" xfId="85" xr:uid="{00000000-0005-0000-0000-000052000000}"/>
    <cellStyle name="Normal 10 2 2 2 2 2 3 5" xfId="86" xr:uid="{00000000-0005-0000-0000-000053000000}"/>
    <cellStyle name="Normal 10 2 2 2 2 2 4" xfId="87" xr:uid="{00000000-0005-0000-0000-000054000000}"/>
    <cellStyle name="Normal 10 2 2 2 2 2 4 2" xfId="88" xr:uid="{00000000-0005-0000-0000-000055000000}"/>
    <cellStyle name="Normal 10 2 2 2 2 2 4 2 2" xfId="89" xr:uid="{00000000-0005-0000-0000-000056000000}"/>
    <cellStyle name="Normal 10 2 2 2 2 2 4 2 2 2" xfId="90" xr:uid="{00000000-0005-0000-0000-000057000000}"/>
    <cellStyle name="Normal 10 2 2 2 2 2 4 2 3" xfId="91" xr:uid="{00000000-0005-0000-0000-000058000000}"/>
    <cellStyle name="Normal 10 2 2 2 2 2 4 3" xfId="92" xr:uid="{00000000-0005-0000-0000-000059000000}"/>
    <cellStyle name="Normal 10 2 2 2 2 2 4 3 2" xfId="93" xr:uid="{00000000-0005-0000-0000-00005A000000}"/>
    <cellStyle name="Normal 10 2 2 2 2 2 4 4" xfId="94" xr:uid="{00000000-0005-0000-0000-00005B000000}"/>
    <cellStyle name="Normal 10 2 2 2 2 2 5" xfId="95" xr:uid="{00000000-0005-0000-0000-00005C000000}"/>
    <cellStyle name="Normal 10 2 2 2 2 2 5 2" xfId="96" xr:uid="{00000000-0005-0000-0000-00005D000000}"/>
    <cellStyle name="Normal 10 2 2 2 2 2 5 2 2" xfId="97" xr:uid="{00000000-0005-0000-0000-00005E000000}"/>
    <cellStyle name="Normal 10 2 2 2 2 2 5 3" xfId="98" xr:uid="{00000000-0005-0000-0000-00005F000000}"/>
    <cellStyle name="Normal 10 2 2 2 2 2 6" xfId="99" xr:uid="{00000000-0005-0000-0000-000060000000}"/>
    <cellStyle name="Normal 10 2 2 2 2 2 6 2" xfId="100" xr:uid="{00000000-0005-0000-0000-000061000000}"/>
    <cellStyle name="Normal 10 2 2 2 2 2 7" xfId="101" xr:uid="{00000000-0005-0000-0000-000062000000}"/>
    <cellStyle name="Normal 10 2 2 2 2 3" xfId="102" xr:uid="{00000000-0005-0000-0000-000063000000}"/>
    <cellStyle name="Normal 10 2 2 2 2 3 2" xfId="103" xr:uid="{00000000-0005-0000-0000-000064000000}"/>
    <cellStyle name="Normal 10 2 2 2 2 3 2 2" xfId="104" xr:uid="{00000000-0005-0000-0000-000065000000}"/>
    <cellStyle name="Normal 10 2 2 2 2 3 2 2 2" xfId="105" xr:uid="{00000000-0005-0000-0000-000066000000}"/>
    <cellStyle name="Normal 10 2 2 2 2 3 2 2 2 2" xfId="106" xr:uid="{00000000-0005-0000-0000-000067000000}"/>
    <cellStyle name="Normal 10 2 2 2 2 3 2 2 2 2 2" xfId="107" xr:uid="{00000000-0005-0000-0000-000068000000}"/>
    <cellStyle name="Normal 10 2 2 2 2 3 2 2 2 3" xfId="108" xr:uid="{00000000-0005-0000-0000-000069000000}"/>
    <cellStyle name="Normal 10 2 2 2 2 3 2 2 3" xfId="109" xr:uid="{00000000-0005-0000-0000-00006A000000}"/>
    <cellStyle name="Normal 10 2 2 2 2 3 2 2 3 2" xfId="110" xr:uid="{00000000-0005-0000-0000-00006B000000}"/>
    <cellStyle name="Normal 10 2 2 2 2 3 2 2 4" xfId="111" xr:uid="{00000000-0005-0000-0000-00006C000000}"/>
    <cellStyle name="Normal 10 2 2 2 2 3 2 3" xfId="112" xr:uid="{00000000-0005-0000-0000-00006D000000}"/>
    <cellStyle name="Normal 10 2 2 2 2 3 2 3 2" xfId="113" xr:uid="{00000000-0005-0000-0000-00006E000000}"/>
    <cellStyle name="Normal 10 2 2 2 2 3 2 3 2 2" xfId="114" xr:uid="{00000000-0005-0000-0000-00006F000000}"/>
    <cellStyle name="Normal 10 2 2 2 2 3 2 3 3" xfId="115" xr:uid="{00000000-0005-0000-0000-000070000000}"/>
    <cellStyle name="Normal 10 2 2 2 2 3 2 4" xfId="116" xr:uid="{00000000-0005-0000-0000-000071000000}"/>
    <cellStyle name="Normal 10 2 2 2 2 3 2 4 2" xfId="117" xr:uid="{00000000-0005-0000-0000-000072000000}"/>
    <cellStyle name="Normal 10 2 2 2 2 3 2 5" xfId="118" xr:uid="{00000000-0005-0000-0000-000073000000}"/>
    <cellStyle name="Normal 10 2 2 2 2 3 3" xfId="119" xr:uid="{00000000-0005-0000-0000-000074000000}"/>
    <cellStyle name="Normal 10 2 2 2 2 3 3 2" xfId="120" xr:uid="{00000000-0005-0000-0000-000075000000}"/>
    <cellStyle name="Normal 10 2 2 2 2 3 3 2 2" xfId="121" xr:uid="{00000000-0005-0000-0000-000076000000}"/>
    <cellStyle name="Normal 10 2 2 2 2 3 3 2 2 2" xfId="122" xr:uid="{00000000-0005-0000-0000-000077000000}"/>
    <cellStyle name="Normal 10 2 2 2 2 3 3 2 3" xfId="123" xr:uid="{00000000-0005-0000-0000-000078000000}"/>
    <cellStyle name="Normal 10 2 2 2 2 3 3 3" xfId="124" xr:uid="{00000000-0005-0000-0000-000079000000}"/>
    <cellStyle name="Normal 10 2 2 2 2 3 3 3 2" xfId="125" xr:uid="{00000000-0005-0000-0000-00007A000000}"/>
    <cellStyle name="Normal 10 2 2 2 2 3 3 4" xfId="126" xr:uid="{00000000-0005-0000-0000-00007B000000}"/>
    <cellStyle name="Normal 10 2 2 2 2 3 4" xfId="127" xr:uid="{00000000-0005-0000-0000-00007C000000}"/>
    <cellStyle name="Normal 10 2 2 2 2 3 4 2" xfId="128" xr:uid="{00000000-0005-0000-0000-00007D000000}"/>
    <cellStyle name="Normal 10 2 2 2 2 3 4 2 2" xfId="129" xr:uid="{00000000-0005-0000-0000-00007E000000}"/>
    <cellStyle name="Normal 10 2 2 2 2 3 4 3" xfId="130" xr:uid="{00000000-0005-0000-0000-00007F000000}"/>
    <cellStyle name="Normal 10 2 2 2 2 3 5" xfId="131" xr:uid="{00000000-0005-0000-0000-000080000000}"/>
    <cellStyle name="Normal 10 2 2 2 2 3 5 2" xfId="132" xr:uid="{00000000-0005-0000-0000-000081000000}"/>
    <cellStyle name="Normal 10 2 2 2 2 3 6" xfId="133" xr:uid="{00000000-0005-0000-0000-000082000000}"/>
    <cellStyle name="Normal 10 2 2 2 2 4" xfId="134" xr:uid="{00000000-0005-0000-0000-000083000000}"/>
    <cellStyle name="Normal 10 2 2 2 2 4 2" xfId="135" xr:uid="{00000000-0005-0000-0000-000084000000}"/>
    <cellStyle name="Normal 10 2 2 2 2 4 2 2" xfId="136" xr:uid="{00000000-0005-0000-0000-000085000000}"/>
    <cellStyle name="Normal 10 2 2 2 2 4 2 2 2" xfId="137" xr:uid="{00000000-0005-0000-0000-000086000000}"/>
    <cellStyle name="Normal 10 2 2 2 2 4 2 2 2 2" xfId="138" xr:uid="{00000000-0005-0000-0000-000087000000}"/>
    <cellStyle name="Normal 10 2 2 2 2 4 2 2 3" xfId="139" xr:uid="{00000000-0005-0000-0000-000088000000}"/>
    <cellStyle name="Normal 10 2 2 2 2 4 2 3" xfId="140" xr:uid="{00000000-0005-0000-0000-000089000000}"/>
    <cellStyle name="Normal 10 2 2 2 2 4 2 3 2" xfId="141" xr:uid="{00000000-0005-0000-0000-00008A000000}"/>
    <cellStyle name="Normal 10 2 2 2 2 4 2 4" xfId="142" xr:uid="{00000000-0005-0000-0000-00008B000000}"/>
    <cellStyle name="Normal 10 2 2 2 2 4 3" xfId="143" xr:uid="{00000000-0005-0000-0000-00008C000000}"/>
    <cellStyle name="Normal 10 2 2 2 2 4 3 2" xfId="144" xr:uid="{00000000-0005-0000-0000-00008D000000}"/>
    <cellStyle name="Normal 10 2 2 2 2 4 3 2 2" xfId="145" xr:uid="{00000000-0005-0000-0000-00008E000000}"/>
    <cellStyle name="Normal 10 2 2 2 2 4 3 3" xfId="146" xr:uid="{00000000-0005-0000-0000-00008F000000}"/>
    <cellStyle name="Normal 10 2 2 2 2 4 4" xfId="147" xr:uid="{00000000-0005-0000-0000-000090000000}"/>
    <cellStyle name="Normal 10 2 2 2 2 4 4 2" xfId="148" xr:uid="{00000000-0005-0000-0000-000091000000}"/>
    <cellStyle name="Normal 10 2 2 2 2 4 5" xfId="149" xr:uid="{00000000-0005-0000-0000-000092000000}"/>
    <cellStyle name="Normal 10 2 2 2 2 5" xfId="150" xr:uid="{00000000-0005-0000-0000-000093000000}"/>
    <cellStyle name="Normal 10 2 2 2 2 5 2" xfId="151" xr:uid="{00000000-0005-0000-0000-000094000000}"/>
    <cellStyle name="Normal 10 2 2 2 2 5 2 2" xfId="152" xr:uid="{00000000-0005-0000-0000-000095000000}"/>
    <cellStyle name="Normal 10 2 2 2 2 5 2 2 2" xfId="153" xr:uid="{00000000-0005-0000-0000-000096000000}"/>
    <cellStyle name="Normal 10 2 2 2 2 5 2 3" xfId="154" xr:uid="{00000000-0005-0000-0000-000097000000}"/>
    <cellStyle name="Normal 10 2 2 2 2 5 3" xfId="155" xr:uid="{00000000-0005-0000-0000-000098000000}"/>
    <cellStyle name="Normal 10 2 2 2 2 5 3 2" xfId="156" xr:uid="{00000000-0005-0000-0000-000099000000}"/>
    <cellStyle name="Normal 10 2 2 2 2 5 4" xfId="157" xr:uid="{00000000-0005-0000-0000-00009A000000}"/>
    <cellStyle name="Normal 10 2 2 2 2 6" xfId="158" xr:uid="{00000000-0005-0000-0000-00009B000000}"/>
    <cellStyle name="Normal 10 2 2 2 2 6 2" xfId="159" xr:uid="{00000000-0005-0000-0000-00009C000000}"/>
    <cellStyle name="Normal 10 2 2 2 2 6 2 2" xfId="160" xr:uid="{00000000-0005-0000-0000-00009D000000}"/>
    <cellStyle name="Normal 10 2 2 2 2 6 3" xfId="161" xr:uid="{00000000-0005-0000-0000-00009E000000}"/>
    <cellStyle name="Normal 10 2 2 2 2 7" xfId="162" xr:uid="{00000000-0005-0000-0000-00009F000000}"/>
    <cellStyle name="Normal 10 2 2 2 2 7 2" xfId="163" xr:uid="{00000000-0005-0000-0000-0000A0000000}"/>
    <cellStyle name="Normal 10 2 2 2 2 8" xfId="164" xr:uid="{00000000-0005-0000-0000-0000A1000000}"/>
    <cellStyle name="Normal 10 2 2 2 3" xfId="165" xr:uid="{00000000-0005-0000-0000-0000A2000000}"/>
    <cellStyle name="Normal 10 2 2 2 3 2" xfId="166" xr:uid="{00000000-0005-0000-0000-0000A3000000}"/>
    <cellStyle name="Normal 10 2 2 2 3 2 2" xfId="167" xr:uid="{00000000-0005-0000-0000-0000A4000000}"/>
    <cellStyle name="Normal 10 2 2 2 3 2 2 2" xfId="168" xr:uid="{00000000-0005-0000-0000-0000A5000000}"/>
    <cellStyle name="Normal 10 2 2 2 3 2 2 2 2" xfId="169" xr:uid="{00000000-0005-0000-0000-0000A6000000}"/>
    <cellStyle name="Normal 10 2 2 2 3 2 2 2 2 2" xfId="170" xr:uid="{00000000-0005-0000-0000-0000A7000000}"/>
    <cellStyle name="Normal 10 2 2 2 3 2 2 2 2 2 2" xfId="171" xr:uid="{00000000-0005-0000-0000-0000A8000000}"/>
    <cellStyle name="Normal 10 2 2 2 3 2 2 2 2 3" xfId="172" xr:uid="{00000000-0005-0000-0000-0000A9000000}"/>
    <cellStyle name="Normal 10 2 2 2 3 2 2 2 3" xfId="173" xr:uid="{00000000-0005-0000-0000-0000AA000000}"/>
    <cellStyle name="Normal 10 2 2 2 3 2 2 2 3 2" xfId="174" xr:uid="{00000000-0005-0000-0000-0000AB000000}"/>
    <cellStyle name="Normal 10 2 2 2 3 2 2 2 4" xfId="175" xr:uid="{00000000-0005-0000-0000-0000AC000000}"/>
    <cellStyle name="Normal 10 2 2 2 3 2 2 3" xfId="176" xr:uid="{00000000-0005-0000-0000-0000AD000000}"/>
    <cellStyle name="Normal 10 2 2 2 3 2 2 3 2" xfId="177" xr:uid="{00000000-0005-0000-0000-0000AE000000}"/>
    <cellStyle name="Normal 10 2 2 2 3 2 2 3 2 2" xfId="178" xr:uid="{00000000-0005-0000-0000-0000AF000000}"/>
    <cellStyle name="Normal 10 2 2 2 3 2 2 3 3" xfId="179" xr:uid="{00000000-0005-0000-0000-0000B0000000}"/>
    <cellStyle name="Normal 10 2 2 2 3 2 2 4" xfId="180" xr:uid="{00000000-0005-0000-0000-0000B1000000}"/>
    <cellStyle name="Normal 10 2 2 2 3 2 2 4 2" xfId="181" xr:uid="{00000000-0005-0000-0000-0000B2000000}"/>
    <cellStyle name="Normal 10 2 2 2 3 2 2 5" xfId="182" xr:uid="{00000000-0005-0000-0000-0000B3000000}"/>
    <cellStyle name="Normal 10 2 2 2 3 2 3" xfId="183" xr:uid="{00000000-0005-0000-0000-0000B4000000}"/>
    <cellStyle name="Normal 10 2 2 2 3 2 3 2" xfId="184" xr:uid="{00000000-0005-0000-0000-0000B5000000}"/>
    <cellStyle name="Normal 10 2 2 2 3 2 3 2 2" xfId="185" xr:uid="{00000000-0005-0000-0000-0000B6000000}"/>
    <cellStyle name="Normal 10 2 2 2 3 2 3 2 2 2" xfId="186" xr:uid="{00000000-0005-0000-0000-0000B7000000}"/>
    <cellStyle name="Normal 10 2 2 2 3 2 3 2 3" xfId="187" xr:uid="{00000000-0005-0000-0000-0000B8000000}"/>
    <cellStyle name="Normal 10 2 2 2 3 2 3 3" xfId="188" xr:uid="{00000000-0005-0000-0000-0000B9000000}"/>
    <cellStyle name="Normal 10 2 2 2 3 2 3 3 2" xfId="189" xr:uid="{00000000-0005-0000-0000-0000BA000000}"/>
    <cellStyle name="Normal 10 2 2 2 3 2 3 4" xfId="190" xr:uid="{00000000-0005-0000-0000-0000BB000000}"/>
    <cellStyle name="Normal 10 2 2 2 3 2 4" xfId="191" xr:uid="{00000000-0005-0000-0000-0000BC000000}"/>
    <cellStyle name="Normal 10 2 2 2 3 2 4 2" xfId="192" xr:uid="{00000000-0005-0000-0000-0000BD000000}"/>
    <cellStyle name="Normal 10 2 2 2 3 2 4 2 2" xfId="193" xr:uid="{00000000-0005-0000-0000-0000BE000000}"/>
    <cellStyle name="Normal 10 2 2 2 3 2 4 3" xfId="194" xr:uid="{00000000-0005-0000-0000-0000BF000000}"/>
    <cellStyle name="Normal 10 2 2 2 3 2 5" xfId="195" xr:uid="{00000000-0005-0000-0000-0000C0000000}"/>
    <cellStyle name="Normal 10 2 2 2 3 2 5 2" xfId="196" xr:uid="{00000000-0005-0000-0000-0000C1000000}"/>
    <cellStyle name="Normal 10 2 2 2 3 2 6" xfId="197" xr:uid="{00000000-0005-0000-0000-0000C2000000}"/>
    <cellStyle name="Normal 10 2 2 2 3 3" xfId="198" xr:uid="{00000000-0005-0000-0000-0000C3000000}"/>
    <cellStyle name="Normal 10 2 2 2 3 3 2" xfId="199" xr:uid="{00000000-0005-0000-0000-0000C4000000}"/>
    <cellStyle name="Normal 10 2 2 2 3 3 2 2" xfId="200" xr:uid="{00000000-0005-0000-0000-0000C5000000}"/>
    <cellStyle name="Normal 10 2 2 2 3 3 2 2 2" xfId="201" xr:uid="{00000000-0005-0000-0000-0000C6000000}"/>
    <cellStyle name="Normal 10 2 2 2 3 3 2 2 2 2" xfId="202" xr:uid="{00000000-0005-0000-0000-0000C7000000}"/>
    <cellStyle name="Normal 10 2 2 2 3 3 2 2 3" xfId="203" xr:uid="{00000000-0005-0000-0000-0000C8000000}"/>
    <cellStyle name="Normal 10 2 2 2 3 3 2 3" xfId="204" xr:uid="{00000000-0005-0000-0000-0000C9000000}"/>
    <cellStyle name="Normal 10 2 2 2 3 3 2 3 2" xfId="205" xr:uid="{00000000-0005-0000-0000-0000CA000000}"/>
    <cellStyle name="Normal 10 2 2 2 3 3 2 4" xfId="206" xr:uid="{00000000-0005-0000-0000-0000CB000000}"/>
    <cellStyle name="Normal 10 2 2 2 3 3 3" xfId="207" xr:uid="{00000000-0005-0000-0000-0000CC000000}"/>
    <cellStyle name="Normal 10 2 2 2 3 3 3 2" xfId="208" xr:uid="{00000000-0005-0000-0000-0000CD000000}"/>
    <cellStyle name="Normal 10 2 2 2 3 3 3 2 2" xfId="209" xr:uid="{00000000-0005-0000-0000-0000CE000000}"/>
    <cellStyle name="Normal 10 2 2 2 3 3 3 3" xfId="210" xr:uid="{00000000-0005-0000-0000-0000CF000000}"/>
    <cellStyle name="Normal 10 2 2 2 3 3 4" xfId="211" xr:uid="{00000000-0005-0000-0000-0000D0000000}"/>
    <cellStyle name="Normal 10 2 2 2 3 3 4 2" xfId="212" xr:uid="{00000000-0005-0000-0000-0000D1000000}"/>
    <cellStyle name="Normal 10 2 2 2 3 3 5" xfId="213" xr:uid="{00000000-0005-0000-0000-0000D2000000}"/>
    <cellStyle name="Normal 10 2 2 2 3 4" xfId="214" xr:uid="{00000000-0005-0000-0000-0000D3000000}"/>
    <cellStyle name="Normal 10 2 2 2 3 4 2" xfId="215" xr:uid="{00000000-0005-0000-0000-0000D4000000}"/>
    <cellStyle name="Normal 10 2 2 2 3 4 2 2" xfId="216" xr:uid="{00000000-0005-0000-0000-0000D5000000}"/>
    <cellStyle name="Normal 10 2 2 2 3 4 2 2 2" xfId="217" xr:uid="{00000000-0005-0000-0000-0000D6000000}"/>
    <cellStyle name="Normal 10 2 2 2 3 4 2 3" xfId="218" xr:uid="{00000000-0005-0000-0000-0000D7000000}"/>
    <cellStyle name="Normal 10 2 2 2 3 4 3" xfId="219" xr:uid="{00000000-0005-0000-0000-0000D8000000}"/>
    <cellStyle name="Normal 10 2 2 2 3 4 3 2" xfId="220" xr:uid="{00000000-0005-0000-0000-0000D9000000}"/>
    <cellStyle name="Normal 10 2 2 2 3 4 4" xfId="221" xr:uid="{00000000-0005-0000-0000-0000DA000000}"/>
    <cellStyle name="Normal 10 2 2 2 3 5" xfId="222" xr:uid="{00000000-0005-0000-0000-0000DB000000}"/>
    <cellStyle name="Normal 10 2 2 2 3 5 2" xfId="223" xr:uid="{00000000-0005-0000-0000-0000DC000000}"/>
    <cellStyle name="Normal 10 2 2 2 3 5 2 2" xfId="224" xr:uid="{00000000-0005-0000-0000-0000DD000000}"/>
    <cellStyle name="Normal 10 2 2 2 3 5 3" xfId="225" xr:uid="{00000000-0005-0000-0000-0000DE000000}"/>
    <cellStyle name="Normal 10 2 2 2 3 6" xfId="226" xr:uid="{00000000-0005-0000-0000-0000DF000000}"/>
    <cellStyle name="Normal 10 2 2 2 3 6 2" xfId="227" xr:uid="{00000000-0005-0000-0000-0000E0000000}"/>
    <cellStyle name="Normal 10 2 2 2 3 7" xfId="228" xr:uid="{00000000-0005-0000-0000-0000E1000000}"/>
    <cellStyle name="Normal 10 2 2 2 4" xfId="229" xr:uid="{00000000-0005-0000-0000-0000E2000000}"/>
    <cellStyle name="Normal 10 2 2 2 4 2" xfId="230" xr:uid="{00000000-0005-0000-0000-0000E3000000}"/>
    <cellStyle name="Normal 10 2 2 2 4 2 2" xfId="231" xr:uid="{00000000-0005-0000-0000-0000E4000000}"/>
    <cellStyle name="Normal 10 2 2 2 4 2 2 2" xfId="232" xr:uid="{00000000-0005-0000-0000-0000E5000000}"/>
    <cellStyle name="Normal 10 2 2 2 4 2 2 2 2" xfId="233" xr:uid="{00000000-0005-0000-0000-0000E6000000}"/>
    <cellStyle name="Normal 10 2 2 2 4 2 2 2 2 2" xfId="234" xr:uid="{00000000-0005-0000-0000-0000E7000000}"/>
    <cellStyle name="Normal 10 2 2 2 4 2 2 2 3" xfId="235" xr:uid="{00000000-0005-0000-0000-0000E8000000}"/>
    <cellStyle name="Normal 10 2 2 2 4 2 2 3" xfId="236" xr:uid="{00000000-0005-0000-0000-0000E9000000}"/>
    <cellStyle name="Normal 10 2 2 2 4 2 2 3 2" xfId="237" xr:uid="{00000000-0005-0000-0000-0000EA000000}"/>
    <cellStyle name="Normal 10 2 2 2 4 2 2 4" xfId="238" xr:uid="{00000000-0005-0000-0000-0000EB000000}"/>
    <cellStyle name="Normal 10 2 2 2 4 2 3" xfId="239" xr:uid="{00000000-0005-0000-0000-0000EC000000}"/>
    <cellStyle name="Normal 10 2 2 2 4 2 3 2" xfId="240" xr:uid="{00000000-0005-0000-0000-0000ED000000}"/>
    <cellStyle name="Normal 10 2 2 2 4 2 3 2 2" xfId="241" xr:uid="{00000000-0005-0000-0000-0000EE000000}"/>
    <cellStyle name="Normal 10 2 2 2 4 2 3 3" xfId="242" xr:uid="{00000000-0005-0000-0000-0000EF000000}"/>
    <cellStyle name="Normal 10 2 2 2 4 2 4" xfId="243" xr:uid="{00000000-0005-0000-0000-0000F0000000}"/>
    <cellStyle name="Normal 10 2 2 2 4 2 4 2" xfId="244" xr:uid="{00000000-0005-0000-0000-0000F1000000}"/>
    <cellStyle name="Normal 10 2 2 2 4 2 5" xfId="245" xr:uid="{00000000-0005-0000-0000-0000F2000000}"/>
    <cellStyle name="Normal 10 2 2 2 4 3" xfId="246" xr:uid="{00000000-0005-0000-0000-0000F3000000}"/>
    <cellStyle name="Normal 10 2 2 2 4 3 2" xfId="247" xr:uid="{00000000-0005-0000-0000-0000F4000000}"/>
    <cellStyle name="Normal 10 2 2 2 4 3 2 2" xfId="248" xr:uid="{00000000-0005-0000-0000-0000F5000000}"/>
    <cellStyle name="Normal 10 2 2 2 4 3 2 2 2" xfId="249" xr:uid="{00000000-0005-0000-0000-0000F6000000}"/>
    <cellStyle name="Normal 10 2 2 2 4 3 2 3" xfId="250" xr:uid="{00000000-0005-0000-0000-0000F7000000}"/>
    <cellStyle name="Normal 10 2 2 2 4 3 3" xfId="251" xr:uid="{00000000-0005-0000-0000-0000F8000000}"/>
    <cellStyle name="Normal 10 2 2 2 4 3 3 2" xfId="252" xr:uid="{00000000-0005-0000-0000-0000F9000000}"/>
    <cellStyle name="Normal 10 2 2 2 4 3 4" xfId="253" xr:uid="{00000000-0005-0000-0000-0000FA000000}"/>
    <cellStyle name="Normal 10 2 2 2 4 4" xfId="254" xr:uid="{00000000-0005-0000-0000-0000FB000000}"/>
    <cellStyle name="Normal 10 2 2 2 4 4 2" xfId="255" xr:uid="{00000000-0005-0000-0000-0000FC000000}"/>
    <cellStyle name="Normal 10 2 2 2 4 4 2 2" xfId="256" xr:uid="{00000000-0005-0000-0000-0000FD000000}"/>
    <cellStyle name="Normal 10 2 2 2 4 4 3" xfId="257" xr:uid="{00000000-0005-0000-0000-0000FE000000}"/>
    <cellStyle name="Normal 10 2 2 2 4 5" xfId="258" xr:uid="{00000000-0005-0000-0000-0000FF000000}"/>
    <cellStyle name="Normal 10 2 2 2 4 5 2" xfId="259" xr:uid="{00000000-0005-0000-0000-000000010000}"/>
    <cellStyle name="Normal 10 2 2 2 4 6" xfId="260" xr:uid="{00000000-0005-0000-0000-000001010000}"/>
    <cellStyle name="Normal 10 2 2 2 5" xfId="261" xr:uid="{00000000-0005-0000-0000-000002010000}"/>
    <cellStyle name="Normal 10 2 2 2 5 2" xfId="262" xr:uid="{00000000-0005-0000-0000-000003010000}"/>
    <cellStyle name="Normal 10 2 2 2 5 2 2" xfId="263" xr:uid="{00000000-0005-0000-0000-000004010000}"/>
    <cellStyle name="Normal 10 2 2 2 5 2 2 2" xfId="264" xr:uid="{00000000-0005-0000-0000-000005010000}"/>
    <cellStyle name="Normal 10 2 2 2 5 2 2 2 2" xfId="265" xr:uid="{00000000-0005-0000-0000-000006010000}"/>
    <cellStyle name="Normal 10 2 2 2 5 2 2 3" xfId="266" xr:uid="{00000000-0005-0000-0000-000007010000}"/>
    <cellStyle name="Normal 10 2 2 2 5 2 3" xfId="267" xr:uid="{00000000-0005-0000-0000-000008010000}"/>
    <cellStyle name="Normal 10 2 2 2 5 2 3 2" xfId="268" xr:uid="{00000000-0005-0000-0000-000009010000}"/>
    <cellStyle name="Normal 10 2 2 2 5 2 4" xfId="269" xr:uid="{00000000-0005-0000-0000-00000A010000}"/>
    <cellStyle name="Normal 10 2 2 2 5 3" xfId="270" xr:uid="{00000000-0005-0000-0000-00000B010000}"/>
    <cellStyle name="Normal 10 2 2 2 5 3 2" xfId="271" xr:uid="{00000000-0005-0000-0000-00000C010000}"/>
    <cellStyle name="Normal 10 2 2 2 5 3 2 2" xfId="272" xr:uid="{00000000-0005-0000-0000-00000D010000}"/>
    <cellStyle name="Normal 10 2 2 2 5 3 3" xfId="273" xr:uid="{00000000-0005-0000-0000-00000E010000}"/>
    <cellStyle name="Normal 10 2 2 2 5 4" xfId="274" xr:uid="{00000000-0005-0000-0000-00000F010000}"/>
    <cellStyle name="Normal 10 2 2 2 5 4 2" xfId="275" xr:uid="{00000000-0005-0000-0000-000010010000}"/>
    <cellStyle name="Normal 10 2 2 2 5 5" xfId="276" xr:uid="{00000000-0005-0000-0000-000011010000}"/>
    <cellStyle name="Normal 10 2 2 2 6" xfId="277" xr:uid="{00000000-0005-0000-0000-000012010000}"/>
    <cellStyle name="Normal 10 2 2 2 6 2" xfId="278" xr:uid="{00000000-0005-0000-0000-000013010000}"/>
    <cellStyle name="Normal 10 2 2 2 6 2 2" xfId="279" xr:uid="{00000000-0005-0000-0000-000014010000}"/>
    <cellStyle name="Normal 10 2 2 2 6 2 2 2" xfId="280" xr:uid="{00000000-0005-0000-0000-000015010000}"/>
    <cellStyle name="Normal 10 2 2 2 6 2 3" xfId="281" xr:uid="{00000000-0005-0000-0000-000016010000}"/>
    <cellStyle name="Normal 10 2 2 2 6 3" xfId="282" xr:uid="{00000000-0005-0000-0000-000017010000}"/>
    <cellStyle name="Normal 10 2 2 2 6 3 2" xfId="283" xr:uid="{00000000-0005-0000-0000-000018010000}"/>
    <cellStyle name="Normal 10 2 2 2 6 4" xfId="284" xr:uid="{00000000-0005-0000-0000-000019010000}"/>
    <cellStyle name="Normal 10 2 2 2 7" xfId="285" xr:uid="{00000000-0005-0000-0000-00001A010000}"/>
    <cellStyle name="Normal 10 2 2 2 7 2" xfId="286" xr:uid="{00000000-0005-0000-0000-00001B010000}"/>
    <cellStyle name="Normal 10 2 2 2 7 2 2" xfId="287" xr:uid="{00000000-0005-0000-0000-00001C010000}"/>
    <cellStyle name="Normal 10 2 2 2 7 3" xfId="288" xr:uid="{00000000-0005-0000-0000-00001D010000}"/>
    <cellStyle name="Normal 10 2 2 2 8" xfId="289" xr:uid="{00000000-0005-0000-0000-00001E010000}"/>
    <cellStyle name="Normal 10 2 2 2 8 2" xfId="290" xr:uid="{00000000-0005-0000-0000-00001F010000}"/>
    <cellStyle name="Normal 10 2 2 2 9" xfId="291" xr:uid="{00000000-0005-0000-0000-000020010000}"/>
    <cellStyle name="Normal 10 2 2 3" xfId="292" xr:uid="{00000000-0005-0000-0000-000021010000}"/>
    <cellStyle name="Normal 10 2 2 3 2" xfId="293" xr:uid="{00000000-0005-0000-0000-000022010000}"/>
    <cellStyle name="Normal 10 2 2 3 2 2" xfId="294" xr:uid="{00000000-0005-0000-0000-000023010000}"/>
    <cellStyle name="Normal 10 2 2 3 2 2 2" xfId="295" xr:uid="{00000000-0005-0000-0000-000024010000}"/>
    <cellStyle name="Normal 10 2 2 3 2 2 2 2" xfId="296" xr:uid="{00000000-0005-0000-0000-000025010000}"/>
    <cellStyle name="Normal 10 2 2 3 2 2 2 2 2" xfId="297" xr:uid="{00000000-0005-0000-0000-000026010000}"/>
    <cellStyle name="Normal 10 2 2 3 2 2 2 2 2 2" xfId="298" xr:uid="{00000000-0005-0000-0000-000027010000}"/>
    <cellStyle name="Normal 10 2 2 3 2 2 2 2 2 2 2" xfId="299" xr:uid="{00000000-0005-0000-0000-000028010000}"/>
    <cellStyle name="Normal 10 2 2 3 2 2 2 2 2 3" xfId="300" xr:uid="{00000000-0005-0000-0000-000029010000}"/>
    <cellStyle name="Normal 10 2 2 3 2 2 2 2 3" xfId="301" xr:uid="{00000000-0005-0000-0000-00002A010000}"/>
    <cellStyle name="Normal 10 2 2 3 2 2 2 2 3 2" xfId="302" xr:uid="{00000000-0005-0000-0000-00002B010000}"/>
    <cellStyle name="Normal 10 2 2 3 2 2 2 2 4" xfId="303" xr:uid="{00000000-0005-0000-0000-00002C010000}"/>
    <cellStyle name="Normal 10 2 2 3 2 2 2 3" xfId="304" xr:uid="{00000000-0005-0000-0000-00002D010000}"/>
    <cellStyle name="Normal 10 2 2 3 2 2 2 3 2" xfId="305" xr:uid="{00000000-0005-0000-0000-00002E010000}"/>
    <cellStyle name="Normal 10 2 2 3 2 2 2 3 2 2" xfId="306" xr:uid="{00000000-0005-0000-0000-00002F010000}"/>
    <cellStyle name="Normal 10 2 2 3 2 2 2 3 3" xfId="307" xr:uid="{00000000-0005-0000-0000-000030010000}"/>
    <cellStyle name="Normal 10 2 2 3 2 2 2 4" xfId="308" xr:uid="{00000000-0005-0000-0000-000031010000}"/>
    <cellStyle name="Normal 10 2 2 3 2 2 2 4 2" xfId="309" xr:uid="{00000000-0005-0000-0000-000032010000}"/>
    <cellStyle name="Normal 10 2 2 3 2 2 2 5" xfId="310" xr:uid="{00000000-0005-0000-0000-000033010000}"/>
    <cellStyle name="Normal 10 2 2 3 2 2 3" xfId="311" xr:uid="{00000000-0005-0000-0000-000034010000}"/>
    <cellStyle name="Normal 10 2 2 3 2 2 3 2" xfId="312" xr:uid="{00000000-0005-0000-0000-000035010000}"/>
    <cellStyle name="Normal 10 2 2 3 2 2 3 2 2" xfId="313" xr:uid="{00000000-0005-0000-0000-000036010000}"/>
    <cellStyle name="Normal 10 2 2 3 2 2 3 2 2 2" xfId="314" xr:uid="{00000000-0005-0000-0000-000037010000}"/>
    <cellStyle name="Normal 10 2 2 3 2 2 3 2 3" xfId="315" xr:uid="{00000000-0005-0000-0000-000038010000}"/>
    <cellStyle name="Normal 10 2 2 3 2 2 3 3" xfId="316" xr:uid="{00000000-0005-0000-0000-000039010000}"/>
    <cellStyle name="Normal 10 2 2 3 2 2 3 3 2" xfId="317" xr:uid="{00000000-0005-0000-0000-00003A010000}"/>
    <cellStyle name="Normal 10 2 2 3 2 2 3 4" xfId="318" xr:uid="{00000000-0005-0000-0000-00003B010000}"/>
    <cellStyle name="Normal 10 2 2 3 2 2 4" xfId="319" xr:uid="{00000000-0005-0000-0000-00003C010000}"/>
    <cellStyle name="Normal 10 2 2 3 2 2 4 2" xfId="320" xr:uid="{00000000-0005-0000-0000-00003D010000}"/>
    <cellStyle name="Normal 10 2 2 3 2 2 4 2 2" xfId="321" xr:uid="{00000000-0005-0000-0000-00003E010000}"/>
    <cellStyle name="Normal 10 2 2 3 2 2 4 3" xfId="322" xr:uid="{00000000-0005-0000-0000-00003F010000}"/>
    <cellStyle name="Normal 10 2 2 3 2 2 5" xfId="323" xr:uid="{00000000-0005-0000-0000-000040010000}"/>
    <cellStyle name="Normal 10 2 2 3 2 2 5 2" xfId="324" xr:uid="{00000000-0005-0000-0000-000041010000}"/>
    <cellStyle name="Normal 10 2 2 3 2 2 6" xfId="325" xr:uid="{00000000-0005-0000-0000-000042010000}"/>
    <cellStyle name="Normal 10 2 2 3 2 3" xfId="326" xr:uid="{00000000-0005-0000-0000-000043010000}"/>
    <cellStyle name="Normal 10 2 2 3 2 3 2" xfId="327" xr:uid="{00000000-0005-0000-0000-000044010000}"/>
    <cellStyle name="Normal 10 2 2 3 2 3 2 2" xfId="328" xr:uid="{00000000-0005-0000-0000-000045010000}"/>
    <cellStyle name="Normal 10 2 2 3 2 3 2 2 2" xfId="329" xr:uid="{00000000-0005-0000-0000-000046010000}"/>
    <cellStyle name="Normal 10 2 2 3 2 3 2 2 2 2" xfId="330" xr:uid="{00000000-0005-0000-0000-000047010000}"/>
    <cellStyle name="Normal 10 2 2 3 2 3 2 2 3" xfId="331" xr:uid="{00000000-0005-0000-0000-000048010000}"/>
    <cellStyle name="Normal 10 2 2 3 2 3 2 3" xfId="332" xr:uid="{00000000-0005-0000-0000-000049010000}"/>
    <cellStyle name="Normal 10 2 2 3 2 3 2 3 2" xfId="333" xr:uid="{00000000-0005-0000-0000-00004A010000}"/>
    <cellStyle name="Normal 10 2 2 3 2 3 2 4" xfId="334" xr:uid="{00000000-0005-0000-0000-00004B010000}"/>
    <cellStyle name="Normal 10 2 2 3 2 3 3" xfId="335" xr:uid="{00000000-0005-0000-0000-00004C010000}"/>
    <cellStyle name="Normal 10 2 2 3 2 3 3 2" xfId="336" xr:uid="{00000000-0005-0000-0000-00004D010000}"/>
    <cellStyle name="Normal 10 2 2 3 2 3 3 2 2" xfId="337" xr:uid="{00000000-0005-0000-0000-00004E010000}"/>
    <cellStyle name="Normal 10 2 2 3 2 3 3 3" xfId="338" xr:uid="{00000000-0005-0000-0000-00004F010000}"/>
    <cellStyle name="Normal 10 2 2 3 2 3 4" xfId="339" xr:uid="{00000000-0005-0000-0000-000050010000}"/>
    <cellStyle name="Normal 10 2 2 3 2 3 4 2" xfId="340" xr:uid="{00000000-0005-0000-0000-000051010000}"/>
    <cellStyle name="Normal 10 2 2 3 2 3 5" xfId="341" xr:uid="{00000000-0005-0000-0000-000052010000}"/>
    <cellStyle name="Normal 10 2 2 3 2 4" xfId="342" xr:uid="{00000000-0005-0000-0000-000053010000}"/>
    <cellStyle name="Normal 10 2 2 3 2 4 2" xfId="343" xr:uid="{00000000-0005-0000-0000-000054010000}"/>
    <cellStyle name="Normal 10 2 2 3 2 4 2 2" xfId="344" xr:uid="{00000000-0005-0000-0000-000055010000}"/>
    <cellStyle name="Normal 10 2 2 3 2 4 2 2 2" xfId="345" xr:uid="{00000000-0005-0000-0000-000056010000}"/>
    <cellStyle name="Normal 10 2 2 3 2 4 2 3" xfId="346" xr:uid="{00000000-0005-0000-0000-000057010000}"/>
    <cellStyle name="Normal 10 2 2 3 2 4 3" xfId="347" xr:uid="{00000000-0005-0000-0000-000058010000}"/>
    <cellStyle name="Normal 10 2 2 3 2 4 3 2" xfId="348" xr:uid="{00000000-0005-0000-0000-000059010000}"/>
    <cellStyle name="Normal 10 2 2 3 2 4 4" xfId="349" xr:uid="{00000000-0005-0000-0000-00005A010000}"/>
    <cellStyle name="Normal 10 2 2 3 2 5" xfId="350" xr:uid="{00000000-0005-0000-0000-00005B010000}"/>
    <cellStyle name="Normal 10 2 2 3 2 5 2" xfId="351" xr:uid="{00000000-0005-0000-0000-00005C010000}"/>
    <cellStyle name="Normal 10 2 2 3 2 5 2 2" xfId="352" xr:uid="{00000000-0005-0000-0000-00005D010000}"/>
    <cellStyle name="Normal 10 2 2 3 2 5 3" xfId="353" xr:uid="{00000000-0005-0000-0000-00005E010000}"/>
    <cellStyle name="Normal 10 2 2 3 2 6" xfId="354" xr:uid="{00000000-0005-0000-0000-00005F010000}"/>
    <cellStyle name="Normal 10 2 2 3 2 6 2" xfId="355" xr:uid="{00000000-0005-0000-0000-000060010000}"/>
    <cellStyle name="Normal 10 2 2 3 2 7" xfId="356" xr:uid="{00000000-0005-0000-0000-000061010000}"/>
    <cellStyle name="Normal 10 2 2 3 3" xfId="357" xr:uid="{00000000-0005-0000-0000-000062010000}"/>
    <cellStyle name="Normal 10 2 2 3 3 2" xfId="358" xr:uid="{00000000-0005-0000-0000-000063010000}"/>
    <cellStyle name="Normal 10 2 2 3 3 2 2" xfId="359" xr:uid="{00000000-0005-0000-0000-000064010000}"/>
    <cellStyle name="Normal 10 2 2 3 3 2 2 2" xfId="360" xr:uid="{00000000-0005-0000-0000-000065010000}"/>
    <cellStyle name="Normal 10 2 2 3 3 2 2 2 2" xfId="361" xr:uid="{00000000-0005-0000-0000-000066010000}"/>
    <cellStyle name="Normal 10 2 2 3 3 2 2 2 2 2" xfId="362" xr:uid="{00000000-0005-0000-0000-000067010000}"/>
    <cellStyle name="Normal 10 2 2 3 3 2 2 2 3" xfId="363" xr:uid="{00000000-0005-0000-0000-000068010000}"/>
    <cellStyle name="Normal 10 2 2 3 3 2 2 3" xfId="364" xr:uid="{00000000-0005-0000-0000-000069010000}"/>
    <cellStyle name="Normal 10 2 2 3 3 2 2 3 2" xfId="365" xr:uid="{00000000-0005-0000-0000-00006A010000}"/>
    <cellStyle name="Normal 10 2 2 3 3 2 2 4" xfId="366" xr:uid="{00000000-0005-0000-0000-00006B010000}"/>
    <cellStyle name="Normal 10 2 2 3 3 2 3" xfId="367" xr:uid="{00000000-0005-0000-0000-00006C010000}"/>
    <cellStyle name="Normal 10 2 2 3 3 2 3 2" xfId="368" xr:uid="{00000000-0005-0000-0000-00006D010000}"/>
    <cellStyle name="Normal 10 2 2 3 3 2 3 2 2" xfId="369" xr:uid="{00000000-0005-0000-0000-00006E010000}"/>
    <cellStyle name="Normal 10 2 2 3 3 2 3 3" xfId="370" xr:uid="{00000000-0005-0000-0000-00006F010000}"/>
    <cellStyle name="Normal 10 2 2 3 3 2 4" xfId="371" xr:uid="{00000000-0005-0000-0000-000070010000}"/>
    <cellStyle name="Normal 10 2 2 3 3 2 4 2" xfId="372" xr:uid="{00000000-0005-0000-0000-000071010000}"/>
    <cellStyle name="Normal 10 2 2 3 3 2 5" xfId="373" xr:uid="{00000000-0005-0000-0000-000072010000}"/>
    <cellStyle name="Normal 10 2 2 3 3 3" xfId="374" xr:uid="{00000000-0005-0000-0000-000073010000}"/>
    <cellStyle name="Normal 10 2 2 3 3 3 2" xfId="375" xr:uid="{00000000-0005-0000-0000-000074010000}"/>
    <cellStyle name="Normal 10 2 2 3 3 3 2 2" xfId="376" xr:uid="{00000000-0005-0000-0000-000075010000}"/>
    <cellStyle name="Normal 10 2 2 3 3 3 2 2 2" xfId="377" xr:uid="{00000000-0005-0000-0000-000076010000}"/>
    <cellStyle name="Normal 10 2 2 3 3 3 2 3" xfId="378" xr:uid="{00000000-0005-0000-0000-000077010000}"/>
    <cellStyle name="Normal 10 2 2 3 3 3 3" xfId="379" xr:uid="{00000000-0005-0000-0000-000078010000}"/>
    <cellStyle name="Normal 10 2 2 3 3 3 3 2" xfId="380" xr:uid="{00000000-0005-0000-0000-000079010000}"/>
    <cellStyle name="Normal 10 2 2 3 3 3 4" xfId="381" xr:uid="{00000000-0005-0000-0000-00007A010000}"/>
    <cellStyle name="Normal 10 2 2 3 3 4" xfId="382" xr:uid="{00000000-0005-0000-0000-00007B010000}"/>
    <cellStyle name="Normal 10 2 2 3 3 4 2" xfId="383" xr:uid="{00000000-0005-0000-0000-00007C010000}"/>
    <cellStyle name="Normal 10 2 2 3 3 4 2 2" xfId="384" xr:uid="{00000000-0005-0000-0000-00007D010000}"/>
    <cellStyle name="Normal 10 2 2 3 3 4 3" xfId="385" xr:uid="{00000000-0005-0000-0000-00007E010000}"/>
    <cellStyle name="Normal 10 2 2 3 3 5" xfId="386" xr:uid="{00000000-0005-0000-0000-00007F010000}"/>
    <cellStyle name="Normal 10 2 2 3 3 5 2" xfId="387" xr:uid="{00000000-0005-0000-0000-000080010000}"/>
    <cellStyle name="Normal 10 2 2 3 3 6" xfId="388" xr:uid="{00000000-0005-0000-0000-000081010000}"/>
    <cellStyle name="Normal 10 2 2 3 4" xfId="389" xr:uid="{00000000-0005-0000-0000-000082010000}"/>
    <cellStyle name="Normal 10 2 2 3 4 2" xfId="390" xr:uid="{00000000-0005-0000-0000-000083010000}"/>
    <cellStyle name="Normal 10 2 2 3 4 2 2" xfId="391" xr:uid="{00000000-0005-0000-0000-000084010000}"/>
    <cellStyle name="Normal 10 2 2 3 4 2 2 2" xfId="392" xr:uid="{00000000-0005-0000-0000-000085010000}"/>
    <cellStyle name="Normal 10 2 2 3 4 2 2 2 2" xfId="393" xr:uid="{00000000-0005-0000-0000-000086010000}"/>
    <cellStyle name="Normal 10 2 2 3 4 2 2 3" xfId="394" xr:uid="{00000000-0005-0000-0000-000087010000}"/>
    <cellStyle name="Normal 10 2 2 3 4 2 3" xfId="395" xr:uid="{00000000-0005-0000-0000-000088010000}"/>
    <cellStyle name="Normal 10 2 2 3 4 2 3 2" xfId="396" xr:uid="{00000000-0005-0000-0000-000089010000}"/>
    <cellStyle name="Normal 10 2 2 3 4 2 4" xfId="397" xr:uid="{00000000-0005-0000-0000-00008A010000}"/>
    <cellStyle name="Normal 10 2 2 3 4 3" xfId="398" xr:uid="{00000000-0005-0000-0000-00008B010000}"/>
    <cellStyle name="Normal 10 2 2 3 4 3 2" xfId="399" xr:uid="{00000000-0005-0000-0000-00008C010000}"/>
    <cellStyle name="Normal 10 2 2 3 4 3 2 2" xfId="400" xr:uid="{00000000-0005-0000-0000-00008D010000}"/>
    <cellStyle name="Normal 10 2 2 3 4 3 3" xfId="401" xr:uid="{00000000-0005-0000-0000-00008E010000}"/>
    <cellStyle name="Normal 10 2 2 3 4 4" xfId="402" xr:uid="{00000000-0005-0000-0000-00008F010000}"/>
    <cellStyle name="Normal 10 2 2 3 4 4 2" xfId="403" xr:uid="{00000000-0005-0000-0000-000090010000}"/>
    <cellStyle name="Normal 10 2 2 3 4 5" xfId="404" xr:uid="{00000000-0005-0000-0000-000091010000}"/>
    <cellStyle name="Normal 10 2 2 3 5" xfId="405" xr:uid="{00000000-0005-0000-0000-000092010000}"/>
    <cellStyle name="Normal 10 2 2 3 5 2" xfId="406" xr:uid="{00000000-0005-0000-0000-000093010000}"/>
    <cellStyle name="Normal 10 2 2 3 5 2 2" xfId="407" xr:uid="{00000000-0005-0000-0000-000094010000}"/>
    <cellStyle name="Normal 10 2 2 3 5 2 2 2" xfId="408" xr:uid="{00000000-0005-0000-0000-000095010000}"/>
    <cellStyle name="Normal 10 2 2 3 5 2 3" xfId="409" xr:uid="{00000000-0005-0000-0000-000096010000}"/>
    <cellStyle name="Normal 10 2 2 3 5 3" xfId="410" xr:uid="{00000000-0005-0000-0000-000097010000}"/>
    <cellStyle name="Normal 10 2 2 3 5 3 2" xfId="411" xr:uid="{00000000-0005-0000-0000-000098010000}"/>
    <cellStyle name="Normal 10 2 2 3 5 4" xfId="412" xr:uid="{00000000-0005-0000-0000-000099010000}"/>
    <cellStyle name="Normal 10 2 2 3 6" xfId="413" xr:uid="{00000000-0005-0000-0000-00009A010000}"/>
    <cellStyle name="Normal 10 2 2 3 6 2" xfId="414" xr:uid="{00000000-0005-0000-0000-00009B010000}"/>
    <cellStyle name="Normal 10 2 2 3 6 2 2" xfId="415" xr:uid="{00000000-0005-0000-0000-00009C010000}"/>
    <cellStyle name="Normal 10 2 2 3 6 3" xfId="416" xr:uid="{00000000-0005-0000-0000-00009D010000}"/>
    <cellStyle name="Normal 10 2 2 3 7" xfId="417" xr:uid="{00000000-0005-0000-0000-00009E010000}"/>
    <cellStyle name="Normal 10 2 2 3 7 2" xfId="418" xr:uid="{00000000-0005-0000-0000-00009F010000}"/>
    <cellStyle name="Normal 10 2 2 3 8" xfId="419" xr:uid="{00000000-0005-0000-0000-0000A0010000}"/>
    <cellStyle name="Normal 10 2 2 4" xfId="420" xr:uid="{00000000-0005-0000-0000-0000A1010000}"/>
    <cellStyle name="Normal 10 2 2 4 2" xfId="421" xr:uid="{00000000-0005-0000-0000-0000A2010000}"/>
    <cellStyle name="Normal 10 2 2 4 2 2" xfId="422" xr:uid="{00000000-0005-0000-0000-0000A3010000}"/>
    <cellStyle name="Normal 10 2 2 4 2 2 2" xfId="423" xr:uid="{00000000-0005-0000-0000-0000A4010000}"/>
    <cellStyle name="Normal 10 2 2 4 2 2 2 2" xfId="424" xr:uid="{00000000-0005-0000-0000-0000A5010000}"/>
    <cellStyle name="Normal 10 2 2 4 2 2 2 2 2" xfId="425" xr:uid="{00000000-0005-0000-0000-0000A6010000}"/>
    <cellStyle name="Normal 10 2 2 4 2 2 2 2 2 2" xfId="426" xr:uid="{00000000-0005-0000-0000-0000A7010000}"/>
    <cellStyle name="Normal 10 2 2 4 2 2 2 2 3" xfId="427" xr:uid="{00000000-0005-0000-0000-0000A8010000}"/>
    <cellStyle name="Normal 10 2 2 4 2 2 2 3" xfId="428" xr:uid="{00000000-0005-0000-0000-0000A9010000}"/>
    <cellStyle name="Normal 10 2 2 4 2 2 2 3 2" xfId="429" xr:uid="{00000000-0005-0000-0000-0000AA010000}"/>
    <cellStyle name="Normal 10 2 2 4 2 2 2 4" xfId="430" xr:uid="{00000000-0005-0000-0000-0000AB010000}"/>
    <cellStyle name="Normal 10 2 2 4 2 2 3" xfId="431" xr:uid="{00000000-0005-0000-0000-0000AC010000}"/>
    <cellStyle name="Normal 10 2 2 4 2 2 3 2" xfId="432" xr:uid="{00000000-0005-0000-0000-0000AD010000}"/>
    <cellStyle name="Normal 10 2 2 4 2 2 3 2 2" xfId="433" xr:uid="{00000000-0005-0000-0000-0000AE010000}"/>
    <cellStyle name="Normal 10 2 2 4 2 2 3 3" xfId="434" xr:uid="{00000000-0005-0000-0000-0000AF010000}"/>
    <cellStyle name="Normal 10 2 2 4 2 2 4" xfId="435" xr:uid="{00000000-0005-0000-0000-0000B0010000}"/>
    <cellStyle name="Normal 10 2 2 4 2 2 4 2" xfId="436" xr:uid="{00000000-0005-0000-0000-0000B1010000}"/>
    <cellStyle name="Normal 10 2 2 4 2 2 5" xfId="437" xr:uid="{00000000-0005-0000-0000-0000B2010000}"/>
    <cellStyle name="Normal 10 2 2 4 2 3" xfId="438" xr:uid="{00000000-0005-0000-0000-0000B3010000}"/>
    <cellStyle name="Normal 10 2 2 4 2 3 2" xfId="439" xr:uid="{00000000-0005-0000-0000-0000B4010000}"/>
    <cellStyle name="Normal 10 2 2 4 2 3 2 2" xfId="440" xr:uid="{00000000-0005-0000-0000-0000B5010000}"/>
    <cellStyle name="Normal 10 2 2 4 2 3 2 2 2" xfId="441" xr:uid="{00000000-0005-0000-0000-0000B6010000}"/>
    <cellStyle name="Normal 10 2 2 4 2 3 2 3" xfId="442" xr:uid="{00000000-0005-0000-0000-0000B7010000}"/>
    <cellStyle name="Normal 10 2 2 4 2 3 3" xfId="443" xr:uid="{00000000-0005-0000-0000-0000B8010000}"/>
    <cellStyle name="Normal 10 2 2 4 2 3 3 2" xfId="444" xr:uid="{00000000-0005-0000-0000-0000B9010000}"/>
    <cellStyle name="Normal 10 2 2 4 2 3 4" xfId="445" xr:uid="{00000000-0005-0000-0000-0000BA010000}"/>
    <cellStyle name="Normal 10 2 2 4 2 4" xfId="446" xr:uid="{00000000-0005-0000-0000-0000BB010000}"/>
    <cellStyle name="Normal 10 2 2 4 2 4 2" xfId="447" xr:uid="{00000000-0005-0000-0000-0000BC010000}"/>
    <cellStyle name="Normal 10 2 2 4 2 4 2 2" xfId="448" xr:uid="{00000000-0005-0000-0000-0000BD010000}"/>
    <cellStyle name="Normal 10 2 2 4 2 4 3" xfId="449" xr:uid="{00000000-0005-0000-0000-0000BE010000}"/>
    <cellStyle name="Normal 10 2 2 4 2 5" xfId="450" xr:uid="{00000000-0005-0000-0000-0000BF010000}"/>
    <cellStyle name="Normal 10 2 2 4 2 5 2" xfId="451" xr:uid="{00000000-0005-0000-0000-0000C0010000}"/>
    <cellStyle name="Normal 10 2 2 4 2 6" xfId="452" xr:uid="{00000000-0005-0000-0000-0000C1010000}"/>
    <cellStyle name="Normal 10 2 2 4 3" xfId="453" xr:uid="{00000000-0005-0000-0000-0000C2010000}"/>
    <cellStyle name="Normal 10 2 2 4 3 2" xfId="454" xr:uid="{00000000-0005-0000-0000-0000C3010000}"/>
    <cellStyle name="Normal 10 2 2 4 3 2 2" xfId="455" xr:uid="{00000000-0005-0000-0000-0000C4010000}"/>
    <cellStyle name="Normal 10 2 2 4 3 2 2 2" xfId="456" xr:uid="{00000000-0005-0000-0000-0000C5010000}"/>
    <cellStyle name="Normal 10 2 2 4 3 2 2 2 2" xfId="457" xr:uid="{00000000-0005-0000-0000-0000C6010000}"/>
    <cellStyle name="Normal 10 2 2 4 3 2 2 3" xfId="458" xr:uid="{00000000-0005-0000-0000-0000C7010000}"/>
    <cellStyle name="Normal 10 2 2 4 3 2 3" xfId="459" xr:uid="{00000000-0005-0000-0000-0000C8010000}"/>
    <cellStyle name="Normal 10 2 2 4 3 2 3 2" xfId="460" xr:uid="{00000000-0005-0000-0000-0000C9010000}"/>
    <cellStyle name="Normal 10 2 2 4 3 2 4" xfId="461" xr:uid="{00000000-0005-0000-0000-0000CA010000}"/>
    <cellStyle name="Normal 10 2 2 4 3 3" xfId="462" xr:uid="{00000000-0005-0000-0000-0000CB010000}"/>
    <cellStyle name="Normal 10 2 2 4 3 3 2" xfId="463" xr:uid="{00000000-0005-0000-0000-0000CC010000}"/>
    <cellStyle name="Normal 10 2 2 4 3 3 2 2" xfId="464" xr:uid="{00000000-0005-0000-0000-0000CD010000}"/>
    <cellStyle name="Normal 10 2 2 4 3 3 3" xfId="465" xr:uid="{00000000-0005-0000-0000-0000CE010000}"/>
    <cellStyle name="Normal 10 2 2 4 3 4" xfId="466" xr:uid="{00000000-0005-0000-0000-0000CF010000}"/>
    <cellStyle name="Normal 10 2 2 4 3 4 2" xfId="467" xr:uid="{00000000-0005-0000-0000-0000D0010000}"/>
    <cellStyle name="Normal 10 2 2 4 3 5" xfId="468" xr:uid="{00000000-0005-0000-0000-0000D1010000}"/>
    <cellStyle name="Normal 10 2 2 4 4" xfId="469" xr:uid="{00000000-0005-0000-0000-0000D2010000}"/>
    <cellStyle name="Normal 10 2 2 4 4 2" xfId="470" xr:uid="{00000000-0005-0000-0000-0000D3010000}"/>
    <cellStyle name="Normal 10 2 2 4 4 2 2" xfId="471" xr:uid="{00000000-0005-0000-0000-0000D4010000}"/>
    <cellStyle name="Normal 10 2 2 4 4 2 2 2" xfId="472" xr:uid="{00000000-0005-0000-0000-0000D5010000}"/>
    <cellStyle name="Normal 10 2 2 4 4 2 3" xfId="473" xr:uid="{00000000-0005-0000-0000-0000D6010000}"/>
    <cellStyle name="Normal 10 2 2 4 4 3" xfId="474" xr:uid="{00000000-0005-0000-0000-0000D7010000}"/>
    <cellStyle name="Normal 10 2 2 4 4 3 2" xfId="475" xr:uid="{00000000-0005-0000-0000-0000D8010000}"/>
    <cellStyle name="Normal 10 2 2 4 4 4" xfId="476" xr:uid="{00000000-0005-0000-0000-0000D9010000}"/>
    <cellStyle name="Normal 10 2 2 4 5" xfId="477" xr:uid="{00000000-0005-0000-0000-0000DA010000}"/>
    <cellStyle name="Normal 10 2 2 4 5 2" xfId="478" xr:uid="{00000000-0005-0000-0000-0000DB010000}"/>
    <cellStyle name="Normal 10 2 2 4 5 2 2" xfId="479" xr:uid="{00000000-0005-0000-0000-0000DC010000}"/>
    <cellStyle name="Normal 10 2 2 4 5 3" xfId="480" xr:uid="{00000000-0005-0000-0000-0000DD010000}"/>
    <cellStyle name="Normal 10 2 2 4 6" xfId="481" xr:uid="{00000000-0005-0000-0000-0000DE010000}"/>
    <cellStyle name="Normal 10 2 2 4 6 2" xfId="482" xr:uid="{00000000-0005-0000-0000-0000DF010000}"/>
    <cellStyle name="Normal 10 2 2 4 7" xfId="483" xr:uid="{00000000-0005-0000-0000-0000E0010000}"/>
    <cellStyle name="Normal 10 2 2 5" xfId="484" xr:uid="{00000000-0005-0000-0000-0000E1010000}"/>
    <cellStyle name="Normal 10 2 2 5 2" xfId="485" xr:uid="{00000000-0005-0000-0000-0000E2010000}"/>
    <cellStyle name="Normal 10 2 2 5 2 2" xfId="486" xr:uid="{00000000-0005-0000-0000-0000E3010000}"/>
    <cellStyle name="Normal 10 2 2 5 2 2 2" xfId="487" xr:uid="{00000000-0005-0000-0000-0000E4010000}"/>
    <cellStyle name="Normal 10 2 2 5 2 2 2 2" xfId="488" xr:uid="{00000000-0005-0000-0000-0000E5010000}"/>
    <cellStyle name="Normal 10 2 2 5 2 2 2 2 2" xfId="489" xr:uid="{00000000-0005-0000-0000-0000E6010000}"/>
    <cellStyle name="Normal 10 2 2 5 2 2 2 3" xfId="490" xr:uid="{00000000-0005-0000-0000-0000E7010000}"/>
    <cellStyle name="Normal 10 2 2 5 2 2 3" xfId="491" xr:uid="{00000000-0005-0000-0000-0000E8010000}"/>
    <cellStyle name="Normal 10 2 2 5 2 2 3 2" xfId="492" xr:uid="{00000000-0005-0000-0000-0000E9010000}"/>
    <cellStyle name="Normal 10 2 2 5 2 2 4" xfId="493" xr:uid="{00000000-0005-0000-0000-0000EA010000}"/>
    <cellStyle name="Normal 10 2 2 5 2 3" xfId="494" xr:uid="{00000000-0005-0000-0000-0000EB010000}"/>
    <cellStyle name="Normal 10 2 2 5 2 3 2" xfId="495" xr:uid="{00000000-0005-0000-0000-0000EC010000}"/>
    <cellStyle name="Normal 10 2 2 5 2 3 2 2" xfId="496" xr:uid="{00000000-0005-0000-0000-0000ED010000}"/>
    <cellStyle name="Normal 10 2 2 5 2 3 3" xfId="497" xr:uid="{00000000-0005-0000-0000-0000EE010000}"/>
    <cellStyle name="Normal 10 2 2 5 2 4" xfId="498" xr:uid="{00000000-0005-0000-0000-0000EF010000}"/>
    <cellStyle name="Normal 10 2 2 5 2 4 2" xfId="499" xr:uid="{00000000-0005-0000-0000-0000F0010000}"/>
    <cellStyle name="Normal 10 2 2 5 2 5" xfId="500" xr:uid="{00000000-0005-0000-0000-0000F1010000}"/>
    <cellStyle name="Normal 10 2 2 5 3" xfId="501" xr:uid="{00000000-0005-0000-0000-0000F2010000}"/>
    <cellStyle name="Normal 10 2 2 5 3 2" xfId="502" xr:uid="{00000000-0005-0000-0000-0000F3010000}"/>
    <cellStyle name="Normal 10 2 2 5 3 2 2" xfId="503" xr:uid="{00000000-0005-0000-0000-0000F4010000}"/>
    <cellStyle name="Normal 10 2 2 5 3 2 2 2" xfId="504" xr:uid="{00000000-0005-0000-0000-0000F5010000}"/>
    <cellStyle name="Normal 10 2 2 5 3 2 3" xfId="505" xr:uid="{00000000-0005-0000-0000-0000F6010000}"/>
    <cellStyle name="Normal 10 2 2 5 3 3" xfId="506" xr:uid="{00000000-0005-0000-0000-0000F7010000}"/>
    <cellStyle name="Normal 10 2 2 5 3 3 2" xfId="507" xr:uid="{00000000-0005-0000-0000-0000F8010000}"/>
    <cellStyle name="Normal 10 2 2 5 3 4" xfId="508" xr:uid="{00000000-0005-0000-0000-0000F9010000}"/>
    <cellStyle name="Normal 10 2 2 5 4" xfId="509" xr:uid="{00000000-0005-0000-0000-0000FA010000}"/>
    <cellStyle name="Normal 10 2 2 5 4 2" xfId="510" xr:uid="{00000000-0005-0000-0000-0000FB010000}"/>
    <cellStyle name="Normal 10 2 2 5 4 2 2" xfId="511" xr:uid="{00000000-0005-0000-0000-0000FC010000}"/>
    <cellStyle name="Normal 10 2 2 5 4 3" xfId="512" xr:uid="{00000000-0005-0000-0000-0000FD010000}"/>
    <cellStyle name="Normal 10 2 2 5 5" xfId="513" xr:uid="{00000000-0005-0000-0000-0000FE010000}"/>
    <cellStyle name="Normal 10 2 2 5 5 2" xfId="514" xr:uid="{00000000-0005-0000-0000-0000FF010000}"/>
    <cellStyle name="Normal 10 2 2 5 6" xfId="515" xr:uid="{00000000-0005-0000-0000-000000020000}"/>
    <cellStyle name="Normal 10 2 2 6" xfId="516" xr:uid="{00000000-0005-0000-0000-000001020000}"/>
    <cellStyle name="Normal 10 2 2 6 2" xfId="517" xr:uid="{00000000-0005-0000-0000-000002020000}"/>
    <cellStyle name="Normal 10 2 2 6 2 2" xfId="518" xr:uid="{00000000-0005-0000-0000-000003020000}"/>
    <cellStyle name="Normal 10 2 2 6 2 2 2" xfId="519" xr:uid="{00000000-0005-0000-0000-000004020000}"/>
    <cellStyle name="Normal 10 2 2 6 2 2 2 2" xfId="520" xr:uid="{00000000-0005-0000-0000-000005020000}"/>
    <cellStyle name="Normal 10 2 2 6 2 2 3" xfId="521" xr:uid="{00000000-0005-0000-0000-000006020000}"/>
    <cellStyle name="Normal 10 2 2 6 2 3" xfId="522" xr:uid="{00000000-0005-0000-0000-000007020000}"/>
    <cellStyle name="Normal 10 2 2 6 2 3 2" xfId="523" xr:uid="{00000000-0005-0000-0000-000008020000}"/>
    <cellStyle name="Normal 10 2 2 6 2 4" xfId="524" xr:uid="{00000000-0005-0000-0000-000009020000}"/>
    <cellStyle name="Normal 10 2 2 6 3" xfId="525" xr:uid="{00000000-0005-0000-0000-00000A020000}"/>
    <cellStyle name="Normal 10 2 2 6 3 2" xfId="526" xr:uid="{00000000-0005-0000-0000-00000B020000}"/>
    <cellStyle name="Normal 10 2 2 6 3 2 2" xfId="527" xr:uid="{00000000-0005-0000-0000-00000C020000}"/>
    <cellStyle name="Normal 10 2 2 6 3 3" xfId="528" xr:uid="{00000000-0005-0000-0000-00000D020000}"/>
    <cellStyle name="Normal 10 2 2 6 4" xfId="529" xr:uid="{00000000-0005-0000-0000-00000E020000}"/>
    <cellStyle name="Normal 10 2 2 6 4 2" xfId="530" xr:uid="{00000000-0005-0000-0000-00000F020000}"/>
    <cellStyle name="Normal 10 2 2 6 5" xfId="531" xr:uid="{00000000-0005-0000-0000-000010020000}"/>
    <cellStyle name="Normal 10 2 2 7" xfId="532" xr:uid="{00000000-0005-0000-0000-000011020000}"/>
    <cellStyle name="Normal 10 2 2 7 2" xfId="533" xr:uid="{00000000-0005-0000-0000-000012020000}"/>
    <cellStyle name="Normal 10 2 2 7 2 2" xfId="534" xr:uid="{00000000-0005-0000-0000-000013020000}"/>
    <cellStyle name="Normal 10 2 2 7 2 2 2" xfId="535" xr:uid="{00000000-0005-0000-0000-000014020000}"/>
    <cellStyle name="Normal 10 2 2 7 2 3" xfId="536" xr:uid="{00000000-0005-0000-0000-000015020000}"/>
    <cellStyle name="Normal 10 2 2 7 3" xfId="537" xr:uid="{00000000-0005-0000-0000-000016020000}"/>
    <cellStyle name="Normal 10 2 2 7 3 2" xfId="538" xr:uid="{00000000-0005-0000-0000-000017020000}"/>
    <cellStyle name="Normal 10 2 2 7 4" xfId="539" xr:uid="{00000000-0005-0000-0000-000018020000}"/>
    <cellStyle name="Normal 10 2 2 8" xfId="540" xr:uid="{00000000-0005-0000-0000-000019020000}"/>
    <cellStyle name="Normal 10 2 2 8 2" xfId="541" xr:uid="{00000000-0005-0000-0000-00001A020000}"/>
    <cellStyle name="Normal 10 2 2 8 2 2" xfId="542" xr:uid="{00000000-0005-0000-0000-00001B020000}"/>
    <cellStyle name="Normal 10 2 2 8 3" xfId="543" xr:uid="{00000000-0005-0000-0000-00001C020000}"/>
    <cellStyle name="Normal 10 2 2 9" xfId="544" xr:uid="{00000000-0005-0000-0000-00001D020000}"/>
    <cellStyle name="Normal 10 2 2 9 2" xfId="545" xr:uid="{00000000-0005-0000-0000-00001E020000}"/>
    <cellStyle name="Normal 10 2 3" xfId="546" xr:uid="{00000000-0005-0000-0000-00001F020000}"/>
    <cellStyle name="Normal 10 2 3 2" xfId="547" xr:uid="{00000000-0005-0000-0000-000020020000}"/>
    <cellStyle name="Normal 10 2 3 2 2" xfId="548" xr:uid="{00000000-0005-0000-0000-000021020000}"/>
    <cellStyle name="Normal 10 2 3 2 2 2" xfId="549" xr:uid="{00000000-0005-0000-0000-000022020000}"/>
    <cellStyle name="Normal 10 2 3 2 2 2 2" xfId="550" xr:uid="{00000000-0005-0000-0000-000023020000}"/>
    <cellStyle name="Normal 10 2 3 2 2 2 2 2" xfId="551" xr:uid="{00000000-0005-0000-0000-000024020000}"/>
    <cellStyle name="Normal 10 2 3 2 2 2 2 2 2" xfId="552" xr:uid="{00000000-0005-0000-0000-000025020000}"/>
    <cellStyle name="Normal 10 2 3 2 2 2 2 2 2 2" xfId="553" xr:uid="{00000000-0005-0000-0000-000026020000}"/>
    <cellStyle name="Normal 10 2 3 2 2 2 2 2 2 2 2" xfId="554" xr:uid="{00000000-0005-0000-0000-000027020000}"/>
    <cellStyle name="Normal 10 2 3 2 2 2 2 2 2 3" xfId="555" xr:uid="{00000000-0005-0000-0000-000028020000}"/>
    <cellStyle name="Normal 10 2 3 2 2 2 2 2 3" xfId="556" xr:uid="{00000000-0005-0000-0000-000029020000}"/>
    <cellStyle name="Normal 10 2 3 2 2 2 2 2 3 2" xfId="557" xr:uid="{00000000-0005-0000-0000-00002A020000}"/>
    <cellStyle name="Normal 10 2 3 2 2 2 2 2 4" xfId="558" xr:uid="{00000000-0005-0000-0000-00002B020000}"/>
    <cellStyle name="Normal 10 2 3 2 2 2 2 3" xfId="559" xr:uid="{00000000-0005-0000-0000-00002C020000}"/>
    <cellStyle name="Normal 10 2 3 2 2 2 2 3 2" xfId="560" xr:uid="{00000000-0005-0000-0000-00002D020000}"/>
    <cellStyle name="Normal 10 2 3 2 2 2 2 3 2 2" xfId="561" xr:uid="{00000000-0005-0000-0000-00002E020000}"/>
    <cellStyle name="Normal 10 2 3 2 2 2 2 3 3" xfId="562" xr:uid="{00000000-0005-0000-0000-00002F020000}"/>
    <cellStyle name="Normal 10 2 3 2 2 2 2 4" xfId="563" xr:uid="{00000000-0005-0000-0000-000030020000}"/>
    <cellStyle name="Normal 10 2 3 2 2 2 2 4 2" xfId="564" xr:uid="{00000000-0005-0000-0000-000031020000}"/>
    <cellStyle name="Normal 10 2 3 2 2 2 2 5" xfId="565" xr:uid="{00000000-0005-0000-0000-000032020000}"/>
    <cellStyle name="Normal 10 2 3 2 2 2 3" xfId="566" xr:uid="{00000000-0005-0000-0000-000033020000}"/>
    <cellStyle name="Normal 10 2 3 2 2 2 3 2" xfId="567" xr:uid="{00000000-0005-0000-0000-000034020000}"/>
    <cellStyle name="Normal 10 2 3 2 2 2 3 2 2" xfId="568" xr:uid="{00000000-0005-0000-0000-000035020000}"/>
    <cellStyle name="Normal 10 2 3 2 2 2 3 2 2 2" xfId="569" xr:uid="{00000000-0005-0000-0000-000036020000}"/>
    <cellStyle name="Normal 10 2 3 2 2 2 3 2 3" xfId="570" xr:uid="{00000000-0005-0000-0000-000037020000}"/>
    <cellStyle name="Normal 10 2 3 2 2 2 3 3" xfId="571" xr:uid="{00000000-0005-0000-0000-000038020000}"/>
    <cellStyle name="Normal 10 2 3 2 2 2 3 3 2" xfId="572" xr:uid="{00000000-0005-0000-0000-000039020000}"/>
    <cellStyle name="Normal 10 2 3 2 2 2 3 4" xfId="573" xr:uid="{00000000-0005-0000-0000-00003A020000}"/>
    <cellStyle name="Normal 10 2 3 2 2 2 4" xfId="574" xr:uid="{00000000-0005-0000-0000-00003B020000}"/>
    <cellStyle name="Normal 10 2 3 2 2 2 4 2" xfId="575" xr:uid="{00000000-0005-0000-0000-00003C020000}"/>
    <cellStyle name="Normal 10 2 3 2 2 2 4 2 2" xfId="576" xr:uid="{00000000-0005-0000-0000-00003D020000}"/>
    <cellStyle name="Normal 10 2 3 2 2 2 4 3" xfId="577" xr:uid="{00000000-0005-0000-0000-00003E020000}"/>
    <cellStyle name="Normal 10 2 3 2 2 2 5" xfId="578" xr:uid="{00000000-0005-0000-0000-00003F020000}"/>
    <cellStyle name="Normal 10 2 3 2 2 2 5 2" xfId="579" xr:uid="{00000000-0005-0000-0000-000040020000}"/>
    <cellStyle name="Normal 10 2 3 2 2 2 6" xfId="580" xr:uid="{00000000-0005-0000-0000-000041020000}"/>
    <cellStyle name="Normal 10 2 3 2 2 3" xfId="581" xr:uid="{00000000-0005-0000-0000-000042020000}"/>
    <cellStyle name="Normal 10 2 3 2 2 3 2" xfId="582" xr:uid="{00000000-0005-0000-0000-000043020000}"/>
    <cellStyle name="Normal 10 2 3 2 2 3 2 2" xfId="583" xr:uid="{00000000-0005-0000-0000-000044020000}"/>
    <cellStyle name="Normal 10 2 3 2 2 3 2 2 2" xfId="584" xr:uid="{00000000-0005-0000-0000-000045020000}"/>
    <cellStyle name="Normal 10 2 3 2 2 3 2 2 2 2" xfId="585" xr:uid="{00000000-0005-0000-0000-000046020000}"/>
    <cellStyle name="Normal 10 2 3 2 2 3 2 2 3" xfId="586" xr:uid="{00000000-0005-0000-0000-000047020000}"/>
    <cellStyle name="Normal 10 2 3 2 2 3 2 3" xfId="587" xr:uid="{00000000-0005-0000-0000-000048020000}"/>
    <cellStyle name="Normal 10 2 3 2 2 3 2 3 2" xfId="588" xr:uid="{00000000-0005-0000-0000-000049020000}"/>
    <cellStyle name="Normal 10 2 3 2 2 3 2 4" xfId="589" xr:uid="{00000000-0005-0000-0000-00004A020000}"/>
    <cellStyle name="Normal 10 2 3 2 2 3 3" xfId="590" xr:uid="{00000000-0005-0000-0000-00004B020000}"/>
    <cellStyle name="Normal 10 2 3 2 2 3 3 2" xfId="591" xr:uid="{00000000-0005-0000-0000-00004C020000}"/>
    <cellStyle name="Normal 10 2 3 2 2 3 3 2 2" xfId="592" xr:uid="{00000000-0005-0000-0000-00004D020000}"/>
    <cellStyle name="Normal 10 2 3 2 2 3 3 3" xfId="593" xr:uid="{00000000-0005-0000-0000-00004E020000}"/>
    <cellStyle name="Normal 10 2 3 2 2 3 4" xfId="594" xr:uid="{00000000-0005-0000-0000-00004F020000}"/>
    <cellStyle name="Normal 10 2 3 2 2 3 4 2" xfId="595" xr:uid="{00000000-0005-0000-0000-000050020000}"/>
    <cellStyle name="Normal 10 2 3 2 2 3 5" xfId="596" xr:uid="{00000000-0005-0000-0000-000051020000}"/>
    <cellStyle name="Normal 10 2 3 2 2 4" xfId="597" xr:uid="{00000000-0005-0000-0000-000052020000}"/>
    <cellStyle name="Normal 10 2 3 2 2 4 2" xfId="598" xr:uid="{00000000-0005-0000-0000-000053020000}"/>
    <cellStyle name="Normal 10 2 3 2 2 4 2 2" xfId="599" xr:uid="{00000000-0005-0000-0000-000054020000}"/>
    <cellStyle name="Normal 10 2 3 2 2 4 2 2 2" xfId="600" xr:uid="{00000000-0005-0000-0000-000055020000}"/>
    <cellStyle name="Normal 10 2 3 2 2 4 2 3" xfId="601" xr:uid="{00000000-0005-0000-0000-000056020000}"/>
    <cellStyle name="Normal 10 2 3 2 2 4 3" xfId="602" xr:uid="{00000000-0005-0000-0000-000057020000}"/>
    <cellStyle name="Normal 10 2 3 2 2 4 3 2" xfId="603" xr:uid="{00000000-0005-0000-0000-000058020000}"/>
    <cellStyle name="Normal 10 2 3 2 2 4 4" xfId="604" xr:uid="{00000000-0005-0000-0000-000059020000}"/>
    <cellStyle name="Normal 10 2 3 2 2 5" xfId="605" xr:uid="{00000000-0005-0000-0000-00005A020000}"/>
    <cellStyle name="Normal 10 2 3 2 2 5 2" xfId="606" xr:uid="{00000000-0005-0000-0000-00005B020000}"/>
    <cellStyle name="Normal 10 2 3 2 2 5 2 2" xfId="607" xr:uid="{00000000-0005-0000-0000-00005C020000}"/>
    <cellStyle name="Normal 10 2 3 2 2 5 3" xfId="608" xr:uid="{00000000-0005-0000-0000-00005D020000}"/>
    <cellStyle name="Normal 10 2 3 2 2 6" xfId="609" xr:uid="{00000000-0005-0000-0000-00005E020000}"/>
    <cellStyle name="Normal 10 2 3 2 2 6 2" xfId="610" xr:uid="{00000000-0005-0000-0000-00005F020000}"/>
    <cellStyle name="Normal 10 2 3 2 2 7" xfId="611" xr:uid="{00000000-0005-0000-0000-000060020000}"/>
    <cellStyle name="Normal 10 2 3 2 3" xfId="612" xr:uid="{00000000-0005-0000-0000-000061020000}"/>
    <cellStyle name="Normal 10 2 3 2 3 2" xfId="613" xr:uid="{00000000-0005-0000-0000-000062020000}"/>
    <cellStyle name="Normal 10 2 3 2 3 2 2" xfId="614" xr:uid="{00000000-0005-0000-0000-000063020000}"/>
    <cellStyle name="Normal 10 2 3 2 3 2 2 2" xfId="615" xr:uid="{00000000-0005-0000-0000-000064020000}"/>
    <cellStyle name="Normal 10 2 3 2 3 2 2 2 2" xfId="616" xr:uid="{00000000-0005-0000-0000-000065020000}"/>
    <cellStyle name="Normal 10 2 3 2 3 2 2 2 2 2" xfId="617" xr:uid="{00000000-0005-0000-0000-000066020000}"/>
    <cellStyle name="Normal 10 2 3 2 3 2 2 2 3" xfId="618" xr:uid="{00000000-0005-0000-0000-000067020000}"/>
    <cellStyle name="Normal 10 2 3 2 3 2 2 3" xfId="619" xr:uid="{00000000-0005-0000-0000-000068020000}"/>
    <cellStyle name="Normal 10 2 3 2 3 2 2 3 2" xfId="620" xr:uid="{00000000-0005-0000-0000-000069020000}"/>
    <cellStyle name="Normal 10 2 3 2 3 2 2 4" xfId="621" xr:uid="{00000000-0005-0000-0000-00006A020000}"/>
    <cellStyle name="Normal 10 2 3 2 3 2 3" xfId="622" xr:uid="{00000000-0005-0000-0000-00006B020000}"/>
    <cellStyle name="Normal 10 2 3 2 3 2 3 2" xfId="623" xr:uid="{00000000-0005-0000-0000-00006C020000}"/>
    <cellStyle name="Normal 10 2 3 2 3 2 3 2 2" xfId="624" xr:uid="{00000000-0005-0000-0000-00006D020000}"/>
    <cellStyle name="Normal 10 2 3 2 3 2 3 3" xfId="625" xr:uid="{00000000-0005-0000-0000-00006E020000}"/>
    <cellStyle name="Normal 10 2 3 2 3 2 4" xfId="626" xr:uid="{00000000-0005-0000-0000-00006F020000}"/>
    <cellStyle name="Normal 10 2 3 2 3 2 4 2" xfId="627" xr:uid="{00000000-0005-0000-0000-000070020000}"/>
    <cellStyle name="Normal 10 2 3 2 3 2 5" xfId="628" xr:uid="{00000000-0005-0000-0000-000071020000}"/>
    <cellStyle name="Normal 10 2 3 2 3 3" xfId="629" xr:uid="{00000000-0005-0000-0000-000072020000}"/>
    <cellStyle name="Normal 10 2 3 2 3 3 2" xfId="630" xr:uid="{00000000-0005-0000-0000-000073020000}"/>
    <cellStyle name="Normal 10 2 3 2 3 3 2 2" xfId="631" xr:uid="{00000000-0005-0000-0000-000074020000}"/>
    <cellStyle name="Normal 10 2 3 2 3 3 2 2 2" xfId="632" xr:uid="{00000000-0005-0000-0000-000075020000}"/>
    <cellStyle name="Normal 10 2 3 2 3 3 2 3" xfId="633" xr:uid="{00000000-0005-0000-0000-000076020000}"/>
    <cellStyle name="Normal 10 2 3 2 3 3 3" xfId="634" xr:uid="{00000000-0005-0000-0000-000077020000}"/>
    <cellStyle name="Normal 10 2 3 2 3 3 3 2" xfId="635" xr:uid="{00000000-0005-0000-0000-000078020000}"/>
    <cellStyle name="Normal 10 2 3 2 3 3 4" xfId="636" xr:uid="{00000000-0005-0000-0000-000079020000}"/>
    <cellStyle name="Normal 10 2 3 2 3 4" xfId="637" xr:uid="{00000000-0005-0000-0000-00007A020000}"/>
    <cellStyle name="Normal 10 2 3 2 3 4 2" xfId="638" xr:uid="{00000000-0005-0000-0000-00007B020000}"/>
    <cellStyle name="Normal 10 2 3 2 3 4 2 2" xfId="639" xr:uid="{00000000-0005-0000-0000-00007C020000}"/>
    <cellStyle name="Normal 10 2 3 2 3 4 3" xfId="640" xr:uid="{00000000-0005-0000-0000-00007D020000}"/>
    <cellStyle name="Normal 10 2 3 2 3 5" xfId="641" xr:uid="{00000000-0005-0000-0000-00007E020000}"/>
    <cellStyle name="Normal 10 2 3 2 3 5 2" xfId="642" xr:uid="{00000000-0005-0000-0000-00007F020000}"/>
    <cellStyle name="Normal 10 2 3 2 3 6" xfId="643" xr:uid="{00000000-0005-0000-0000-000080020000}"/>
    <cellStyle name="Normal 10 2 3 2 4" xfId="644" xr:uid="{00000000-0005-0000-0000-000081020000}"/>
    <cellStyle name="Normal 10 2 3 2 4 2" xfId="645" xr:uid="{00000000-0005-0000-0000-000082020000}"/>
    <cellStyle name="Normal 10 2 3 2 4 2 2" xfId="646" xr:uid="{00000000-0005-0000-0000-000083020000}"/>
    <cellStyle name="Normal 10 2 3 2 4 2 2 2" xfId="647" xr:uid="{00000000-0005-0000-0000-000084020000}"/>
    <cellStyle name="Normal 10 2 3 2 4 2 2 2 2" xfId="648" xr:uid="{00000000-0005-0000-0000-000085020000}"/>
    <cellStyle name="Normal 10 2 3 2 4 2 2 3" xfId="649" xr:uid="{00000000-0005-0000-0000-000086020000}"/>
    <cellStyle name="Normal 10 2 3 2 4 2 3" xfId="650" xr:uid="{00000000-0005-0000-0000-000087020000}"/>
    <cellStyle name="Normal 10 2 3 2 4 2 3 2" xfId="651" xr:uid="{00000000-0005-0000-0000-000088020000}"/>
    <cellStyle name="Normal 10 2 3 2 4 2 4" xfId="652" xr:uid="{00000000-0005-0000-0000-000089020000}"/>
    <cellStyle name="Normal 10 2 3 2 4 3" xfId="653" xr:uid="{00000000-0005-0000-0000-00008A020000}"/>
    <cellStyle name="Normal 10 2 3 2 4 3 2" xfId="654" xr:uid="{00000000-0005-0000-0000-00008B020000}"/>
    <cellStyle name="Normal 10 2 3 2 4 3 2 2" xfId="655" xr:uid="{00000000-0005-0000-0000-00008C020000}"/>
    <cellStyle name="Normal 10 2 3 2 4 3 3" xfId="656" xr:uid="{00000000-0005-0000-0000-00008D020000}"/>
    <cellStyle name="Normal 10 2 3 2 4 4" xfId="657" xr:uid="{00000000-0005-0000-0000-00008E020000}"/>
    <cellStyle name="Normal 10 2 3 2 4 4 2" xfId="658" xr:uid="{00000000-0005-0000-0000-00008F020000}"/>
    <cellStyle name="Normal 10 2 3 2 4 5" xfId="659" xr:uid="{00000000-0005-0000-0000-000090020000}"/>
    <cellStyle name="Normal 10 2 3 2 5" xfId="660" xr:uid="{00000000-0005-0000-0000-000091020000}"/>
    <cellStyle name="Normal 10 2 3 2 5 2" xfId="661" xr:uid="{00000000-0005-0000-0000-000092020000}"/>
    <cellStyle name="Normal 10 2 3 2 5 2 2" xfId="662" xr:uid="{00000000-0005-0000-0000-000093020000}"/>
    <cellStyle name="Normal 10 2 3 2 5 2 2 2" xfId="663" xr:uid="{00000000-0005-0000-0000-000094020000}"/>
    <cellStyle name="Normal 10 2 3 2 5 2 3" xfId="664" xr:uid="{00000000-0005-0000-0000-000095020000}"/>
    <cellStyle name="Normal 10 2 3 2 5 3" xfId="665" xr:uid="{00000000-0005-0000-0000-000096020000}"/>
    <cellStyle name="Normal 10 2 3 2 5 3 2" xfId="666" xr:uid="{00000000-0005-0000-0000-000097020000}"/>
    <cellStyle name="Normal 10 2 3 2 5 4" xfId="667" xr:uid="{00000000-0005-0000-0000-000098020000}"/>
    <cellStyle name="Normal 10 2 3 2 6" xfId="668" xr:uid="{00000000-0005-0000-0000-000099020000}"/>
    <cellStyle name="Normal 10 2 3 2 6 2" xfId="669" xr:uid="{00000000-0005-0000-0000-00009A020000}"/>
    <cellStyle name="Normal 10 2 3 2 6 2 2" xfId="670" xr:uid="{00000000-0005-0000-0000-00009B020000}"/>
    <cellStyle name="Normal 10 2 3 2 6 3" xfId="671" xr:uid="{00000000-0005-0000-0000-00009C020000}"/>
    <cellStyle name="Normal 10 2 3 2 7" xfId="672" xr:uid="{00000000-0005-0000-0000-00009D020000}"/>
    <cellStyle name="Normal 10 2 3 2 7 2" xfId="673" xr:uid="{00000000-0005-0000-0000-00009E020000}"/>
    <cellStyle name="Normal 10 2 3 2 8" xfId="674" xr:uid="{00000000-0005-0000-0000-00009F020000}"/>
    <cellStyle name="Normal 10 2 3 3" xfId="675" xr:uid="{00000000-0005-0000-0000-0000A0020000}"/>
    <cellStyle name="Normal 10 2 3 3 2" xfId="676" xr:uid="{00000000-0005-0000-0000-0000A1020000}"/>
    <cellStyle name="Normal 10 2 3 3 2 2" xfId="677" xr:uid="{00000000-0005-0000-0000-0000A2020000}"/>
    <cellStyle name="Normal 10 2 3 3 2 2 2" xfId="678" xr:uid="{00000000-0005-0000-0000-0000A3020000}"/>
    <cellStyle name="Normal 10 2 3 3 2 2 2 2" xfId="679" xr:uid="{00000000-0005-0000-0000-0000A4020000}"/>
    <cellStyle name="Normal 10 2 3 3 2 2 2 2 2" xfId="680" xr:uid="{00000000-0005-0000-0000-0000A5020000}"/>
    <cellStyle name="Normal 10 2 3 3 2 2 2 2 2 2" xfId="681" xr:uid="{00000000-0005-0000-0000-0000A6020000}"/>
    <cellStyle name="Normal 10 2 3 3 2 2 2 2 3" xfId="682" xr:uid="{00000000-0005-0000-0000-0000A7020000}"/>
    <cellStyle name="Normal 10 2 3 3 2 2 2 3" xfId="683" xr:uid="{00000000-0005-0000-0000-0000A8020000}"/>
    <cellStyle name="Normal 10 2 3 3 2 2 2 3 2" xfId="684" xr:uid="{00000000-0005-0000-0000-0000A9020000}"/>
    <cellStyle name="Normal 10 2 3 3 2 2 2 4" xfId="685" xr:uid="{00000000-0005-0000-0000-0000AA020000}"/>
    <cellStyle name="Normal 10 2 3 3 2 2 3" xfId="686" xr:uid="{00000000-0005-0000-0000-0000AB020000}"/>
    <cellStyle name="Normal 10 2 3 3 2 2 3 2" xfId="687" xr:uid="{00000000-0005-0000-0000-0000AC020000}"/>
    <cellStyle name="Normal 10 2 3 3 2 2 3 2 2" xfId="688" xr:uid="{00000000-0005-0000-0000-0000AD020000}"/>
    <cellStyle name="Normal 10 2 3 3 2 2 3 3" xfId="689" xr:uid="{00000000-0005-0000-0000-0000AE020000}"/>
    <cellStyle name="Normal 10 2 3 3 2 2 4" xfId="690" xr:uid="{00000000-0005-0000-0000-0000AF020000}"/>
    <cellStyle name="Normal 10 2 3 3 2 2 4 2" xfId="691" xr:uid="{00000000-0005-0000-0000-0000B0020000}"/>
    <cellStyle name="Normal 10 2 3 3 2 2 5" xfId="692" xr:uid="{00000000-0005-0000-0000-0000B1020000}"/>
    <cellStyle name="Normal 10 2 3 3 2 3" xfId="693" xr:uid="{00000000-0005-0000-0000-0000B2020000}"/>
    <cellStyle name="Normal 10 2 3 3 2 3 2" xfId="694" xr:uid="{00000000-0005-0000-0000-0000B3020000}"/>
    <cellStyle name="Normal 10 2 3 3 2 3 2 2" xfId="695" xr:uid="{00000000-0005-0000-0000-0000B4020000}"/>
    <cellStyle name="Normal 10 2 3 3 2 3 2 2 2" xfId="696" xr:uid="{00000000-0005-0000-0000-0000B5020000}"/>
    <cellStyle name="Normal 10 2 3 3 2 3 2 3" xfId="697" xr:uid="{00000000-0005-0000-0000-0000B6020000}"/>
    <cellStyle name="Normal 10 2 3 3 2 3 3" xfId="698" xr:uid="{00000000-0005-0000-0000-0000B7020000}"/>
    <cellStyle name="Normal 10 2 3 3 2 3 3 2" xfId="699" xr:uid="{00000000-0005-0000-0000-0000B8020000}"/>
    <cellStyle name="Normal 10 2 3 3 2 3 4" xfId="700" xr:uid="{00000000-0005-0000-0000-0000B9020000}"/>
    <cellStyle name="Normal 10 2 3 3 2 4" xfId="701" xr:uid="{00000000-0005-0000-0000-0000BA020000}"/>
    <cellStyle name="Normal 10 2 3 3 2 4 2" xfId="702" xr:uid="{00000000-0005-0000-0000-0000BB020000}"/>
    <cellStyle name="Normal 10 2 3 3 2 4 2 2" xfId="703" xr:uid="{00000000-0005-0000-0000-0000BC020000}"/>
    <cellStyle name="Normal 10 2 3 3 2 4 3" xfId="704" xr:uid="{00000000-0005-0000-0000-0000BD020000}"/>
    <cellStyle name="Normal 10 2 3 3 2 5" xfId="705" xr:uid="{00000000-0005-0000-0000-0000BE020000}"/>
    <cellStyle name="Normal 10 2 3 3 2 5 2" xfId="706" xr:uid="{00000000-0005-0000-0000-0000BF020000}"/>
    <cellStyle name="Normal 10 2 3 3 2 6" xfId="707" xr:uid="{00000000-0005-0000-0000-0000C0020000}"/>
    <cellStyle name="Normal 10 2 3 3 3" xfId="708" xr:uid="{00000000-0005-0000-0000-0000C1020000}"/>
    <cellStyle name="Normal 10 2 3 3 3 2" xfId="709" xr:uid="{00000000-0005-0000-0000-0000C2020000}"/>
    <cellStyle name="Normal 10 2 3 3 3 2 2" xfId="710" xr:uid="{00000000-0005-0000-0000-0000C3020000}"/>
    <cellStyle name="Normal 10 2 3 3 3 2 2 2" xfId="711" xr:uid="{00000000-0005-0000-0000-0000C4020000}"/>
    <cellStyle name="Normal 10 2 3 3 3 2 2 2 2" xfId="712" xr:uid="{00000000-0005-0000-0000-0000C5020000}"/>
    <cellStyle name="Normal 10 2 3 3 3 2 2 3" xfId="713" xr:uid="{00000000-0005-0000-0000-0000C6020000}"/>
    <cellStyle name="Normal 10 2 3 3 3 2 3" xfId="714" xr:uid="{00000000-0005-0000-0000-0000C7020000}"/>
    <cellStyle name="Normal 10 2 3 3 3 2 3 2" xfId="715" xr:uid="{00000000-0005-0000-0000-0000C8020000}"/>
    <cellStyle name="Normal 10 2 3 3 3 2 4" xfId="716" xr:uid="{00000000-0005-0000-0000-0000C9020000}"/>
    <cellStyle name="Normal 10 2 3 3 3 3" xfId="717" xr:uid="{00000000-0005-0000-0000-0000CA020000}"/>
    <cellStyle name="Normal 10 2 3 3 3 3 2" xfId="718" xr:uid="{00000000-0005-0000-0000-0000CB020000}"/>
    <cellStyle name="Normal 10 2 3 3 3 3 2 2" xfId="719" xr:uid="{00000000-0005-0000-0000-0000CC020000}"/>
    <cellStyle name="Normal 10 2 3 3 3 3 3" xfId="720" xr:uid="{00000000-0005-0000-0000-0000CD020000}"/>
    <cellStyle name="Normal 10 2 3 3 3 4" xfId="721" xr:uid="{00000000-0005-0000-0000-0000CE020000}"/>
    <cellStyle name="Normal 10 2 3 3 3 4 2" xfId="722" xr:uid="{00000000-0005-0000-0000-0000CF020000}"/>
    <cellStyle name="Normal 10 2 3 3 3 5" xfId="723" xr:uid="{00000000-0005-0000-0000-0000D0020000}"/>
    <cellStyle name="Normal 10 2 3 3 4" xfId="724" xr:uid="{00000000-0005-0000-0000-0000D1020000}"/>
    <cellStyle name="Normal 10 2 3 3 4 2" xfId="725" xr:uid="{00000000-0005-0000-0000-0000D2020000}"/>
    <cellStyle name="Normal 10 2 3 3 4 2 2" xfId="726" xr:uid="{00000000-0005-0000-0000-0000D3020000}"/>
    <cellStyle name="Normal 10 2 3 3 4 2 2 2" xfId="727" xr:uid="{00000000-0005-0000-0000-0000D4020000}"/>
    <cellStyle name="Normal 10 2 3 3 4 2 3" xfId="728" xr:uid="{00000000-0005-0000-0000-0000D5020000}"/>
    <cellStyle name="Normal 10 2 3 3 4 3" xfId="729" xr:uid="{00000000-0005-0000-0000-0000D6020000}"/>
    <cellStyle name="Normal 10 2 3 3 4 3 2" xfId="730" xr:uid="{00000000-0005-0000-0000-0000D7020000}"/>
    <cellStyle name="Normal 10 2 3 3 4 4" xfId="731" xr:uid="{00000000-0005-0000-0000-0000D8020000}"/>
    <cellStyle name="Normal 10 2 3 3 5" xfId="732" xr:uid="{00000000-0005-0000-0000-0000D9020000}"/>
    <cellStyle name="Normal 10 2 3 3 5 2" xfId="733" xr:uid="{00000000-0005-0000-0000-0000DA020000}"/>
    <cellStyle name="Normal 10 2 3 3 5 2 2" xfId="734" xr:uid="{00000000-0005-0000-0000-0000DB020000}"/>
    <cellStyle name="Normal 10 2 3 3 5 3" xfId="735" xr:uid="{00000000-0005-0000-0000-0000DC020000}"/>
    <cellStyle name="Normal 10 2 3 3 6" xfId="736" xr:uid="{00000000-0005-0000-0000-0000DD020000}"/>
    <cellStyle name="Normal 10 2 3 3 6 2" xfId="737" xr:uid="{00000000-0005-0000-0000-0000DE020000}"/>
    <cellStyle name="Normal 10 2 3 3 7" xfId="738" xr:uid="{00000000-0005-0000-0000-0000DF020000}"/>
    <cellStyle name="Normal 10 2 3 4" xfId="739" xr:uid="{00000000-0005-0000-0000-0000E0020000}"/>
    <cellStyle name="Normal 10 2 3 4 2" xfId="740" xr:uid="{00000000-0005-0000-0000-0000E1020000}"/>
    <cellStyle name="Normal 10 2 3 4 2 2" xfId="741" xr:uid="{00000000-0005-0000-0000-0000E2020000}"/>
    <cellStyle name="Normal 10 2 3 4 2 2 2" xfId="742" xr:uid="{00000000-0005-0000-0000-0000E3020000}"/>
    <cellStyle name="Normal 10 2 3 4 2 2 2 2" xfId="743" xr:uid="{00000000-0005-0000-0000-0000E4020000}"/>
    <cellStyle name="Normal 10 2 3 4 2 2 2 2 2" xfId="744" xr:uid="{00000000-0005-0000-0000-0000E5020000}"/>
    <cellStyle name="Normal 10 2 3 4 2 2 2 3" xfId="745" xr:uid="{00000000-0005-0000-0000-0000E6020000}"/>
    <cellStyle name="Normal 10 2 3 4 2 2 3" xfId="746" xr:uid="{00000000-0005-0000-0000-0000E7020000}"/>
    <cellStyle name="Normal 10 2 3 4 2 2 3 2" xfId="747" xr:uid="{00000000-0005-0000-0000-0000E8020000}"/>
    <cellStyle name="Normal 10 2 3 4 2 2 4" xfId="748" xr:uid="{00000000-0005-0000-0000-0000E9020000}"/>
    <cellStyle name="Normal 10 2 3 4 2 3" xfId="749" xr:uid="{00000000-0005-0000-0000-0000EA020000}"/>
    <cellStyle name="Normal 10 2 3 4 2 3 2" xfId="750" xr:uid="{00000000-0005-0000-0000-0000EB020000}"/>
    <cellStyle name="Normal 10 2 3 4 2 3 2 2" xfId="751" xr:uid="{00000000-0005-0000-0000-0000EC020000}"/>
    <cellStyle name="Normal 10 2 3 4 2 3 3" xfId="752" xr:uid="{00000000-0005-0000-0000-0000ED020000}"/>
    <cellStyle name="Normal 10 2 3 4 2 4" xfId="753" xr:uid="{00000000-0005-0000-0000-0000EE020000}"/>
    <cellStyle name="Normal 10 2 3 4 2 4 2" xfId="754" xr:uid="{00000000-0005-0000-0000-0000EF020000}"/>
    <cellStyle name="Normal 10 2 3 4 2 5" xfId="755" xr:uid="{00000000-0005-0000-0000-0000F0020000}"/>
    <cellStyle name="Normal 10 2 3 4 3" xfId="756" xr:uid="{00000000-0005-0000-0000-0000F1020000}"/>
    <cellStyle name="Normal 10 2 3 4 3 2" xfId="757" xr:uid="{00000000-0005-0000-0000-0000F2020000}"/>
    <cellStyle name="Normal 10 2 3 4 3 2 2" xfId="758" xr:uid="{00000000-0005-0000-0000-0000F3020000}"/>
    <cellStyle name="Normal 10 2 3 4 3 2 2 2" xfId="759" xr:uid="{00000000-0005-0000-0000-0000F4020000}"/>
    <cellStyle name="Normal 10 2 3 4 3 2 3" xfId="760" xr:uid="{00000000-0005-0000-0000-0000F5020000}"/>
    <cellStyle name="Normal 10 2 3 4 3 3" xfId="761" xr:uid="{00000000-0005-0000-0000-0000F6020000}"/>
    <cellStyle name="Normal 10 2 3 4 3 3 2" xfId="762" xr:uid="{00000000-0005-0000-0000-0000F7020000}"/>
    <cellStyle name="Normal 10 2 3 4 3 4" xfId="763" xr:uid="{00000000-0005-0000-0000-0000F8020000}"/>
    <cellStyle name="Normal 10 2 3 4 4" xfId="764" xr:uid="{00000000-0005-0000-0000-0000F9020000}"/>
    <cellStyle name="Normal 10 2 3 4 4 2" xfId="765" xr:uid="{00000000-0005-0000-0000-0000FA020000}"/>
    <cellStyle name="Normal 10 2 3 4 4 2 2" xfId="766" xr:uid="{00000000-0005-0000-0000-0000FB020000}"/>
    <cellStyle name="Normal 10 2 3 4 4 3" xfId="767" xr:uid="{00000000-0005-0000-0000-0000FC020000}"/>
    <cellStyle name="Normal 10 2 3 4 5" xfId="768" xr:uid="{00000000-0005-0000-0000-0000FD020000}"/>
    <cellStyle name="Normal 10 2 3 4 5 2" xfId="769" xr:uid="{00000000-0005-0000-0000-0000FE020000}"/>
    <cellStyle name="Normal 10 2 3 4 6" xfId="770" xr:uid="{00000000-0005-0000-0000-0000FF020000}"/>
    <cellStyle name="Normal 10 2 3 5" xfId="771" xr:uid="{00000000-0005-0000-0000-000000030000}"/>
    <cellStyle name="Normal 10 2 3 5 2" xfId="772" xr:uid="{00000000-0005-0000-0000-000001030000}"/>
    <cellStyle name="Normal 10 2 3 5 2 2" xfId="773" xr:uid="{00000000-0005-0000-0000-000002030000}"/>
    <cellStyle name="Normal 10 2 3 5 2 2 2" xfId="774" xr:uid="{00000000-0005-0000-0000-000003030000}"/>
    <cellStyle name="Normal 10 2 3 5 2 2 2 2" xfId="775" xr:uid="{00000000-0005-0000-0000-000004030000}"/>
    <cellStyle name="Normal 10 2 3 5 2 2 3" xfId="776" xr:uid="{00000000-0005-0000-0000-000005030000}"/>
    <cellStyle name="Normal 10 2 3 5 2 3" xfId="777" xr:uid="{00000000-0005-0000-0000-000006030000}"/>
    <cellStyle name="Normal 10 2 3 5 2 3 2" xfId="778" xr:uid="{00000000-0005-0000-0000-000007030000}"/>
    <cellStyle name="Normal 10 2 3 5 2 4" xfId="779" xr:uid="{00000000-0005-0000-0000-000008030000}"/>
    <cellStyle name="Normal 10 2 3 5 3" xfId="780" xr:uid="{00000000-0005-0000-0000-000009030000}"/>
    <cellStyle name="Normal 10 2 3 5 3 2" xfId="781" xr:uid="{00000000-0005-0000-0000-00000A030000}"/>
    <cellStyle name="Normal 10 2 3 5 3 2 2" xfId="782" xr:uid="{00000000-0005-0000-0000-00000B030000}"/>
    <cellStyle name="Normal 10 2 3 5 3 3" xfId="783" xr:uid="{00000000-0005-0000-0000-00000C030000}"/>
    <cellStyle name="Normal 10 2 3 5 4" xfId="784" xr:uid="{00000000-0005-0000-0000-00000D030000}"/>
    <cellStyle name="Normal 10 2 3 5 4 2" xfId="785" xr:uid="{00000000-0005-0000-0000-00000E030000}"/>
    <cellStyle name="Normal 10 2 3 5 5" xfId="786" xr:uid="{00000000-0005-0000-0000-00000F030000}"/>
    <cellStyle name="Normal 10 2 3 6" xfId="787" xr:uid="{00000000-0005-0000-0000-000010030000}"/>
    <cellStyle name="Normal 10 2 3 6 2" xfId="788" xr:uid="{00000000-0005-0000-0000-000011030000}"/>
    <cellStyle name="Normal 10 2 3 6 2 2" xfId="789" xr:uid="{00000000-0005-0000-0000-000012030000}"/>
    <cellStyle name="Normal 10 2 3 6 2 2 2" xfId="790" xr:uid="{00000000-0005-0000-0000-000013030000}"/>
    <cellStyle name="Normal 10 2 3 6 2 3" xfId="791" xr:uid="{00000000-0005-0000-0000-000014030000}"/>
    <cellStyle name="Normal 10 2 3 6 3" xfId="792" xr:uid="{00000000-0005-0000-0000-000015030000}"/>
    <cellStyle name="Normal 10 2 3 6 3 2" xfId="793" xr:uid="{00000000-0005-0000-0000-000016030000}"/>
    <cellStyle name="Normal 10 2 3 6 4" xfId="794" xr:uid="{00000000-0005-0000-0000-000017030000}"/>
    <cellStyle name="Normal 10 2 3 7" xfId="795" xr:uid="{00000000-0005-0000-0000-000018030000}"/>
    <cellStyle name="Normal 10 2 3 7 2" xfId="796" xr:uid="{00000000-0005-0000-0000-000019030000}"/>
    <cellStyle name="Normal 10 2 3 7 2 2" xfId="797" xr:uid="{00000000-0005-0000-0000-00001A030000}"/>
    <cellStyle name="Normal 10 2 3 7 3" xfId="798" xr:uid="{00000000-0005-0000-0000-00001B030000}"/>
    <cellStyle name="Normal 10 2 3 8" xfId="799" xr:uid="{00000000-0005-0000-0000-00001C030000}"/>
    <cellStyle name="Normal 10 2 3 8 2" xfId="800" xr:uid="{00000000-0005-0000-0000-00001D030000}"/>
    <cellStyle name="Normal 10 2 3 9" xfId="801" xr:uid="{00000000-0005-0000-0000-00001E030000}"/>
    <cellStyle name="Normal 10 2 4" xfId="802" xr:uid="{00000000-0005-0000-0000-00001F030000}"/>
    <cellStyle name="Normal 10 2 4 2" xfId="803" xr:uid="{00000000-0005-0000-0000-000020030000}"/>
    <cellStyle name="Normal 10 2 4 2 2" xfId="804" xr:uid="{00000000-0005-0000-0000-000021030000}"/>
    <cellStyle name="Normal 10 2 4 2 2 2" xfId="805" xr:uid="{00000000-0005-0000-0000-000022030000}"/>
    <cellStyle name="Normal 10 2 4 2 2 2 2" xfId="806" xr:uid="{00000000-0005-0000-0000-000023030000}"/>
    <cellStyle name="Normal 10 2 4 2 2 2 2 2" xfId="807" xr:uid="{00000000-0005-0000-0000-000024030000}"/>
    <cellStyle name="Normal 10 2 4 2 2 2 2 2 2" xfId="808" xr:uid="{00000000-0005-0000-0000-000025030000}"/>
    <cellStyle name="Normal 10 2 4 2 2 2 2 2 2 2" xfId="809" xr:uid="{00000000-0005-0000-0000-000026030000}"/>
    <cellStyle name="Normal 10 2 4 2 2 2 2 2 3" xfId="810" xr:uid="{00000000-0005-0000-0000-000027030000}"/>
    <cellStyle name="Normal 10 2 4 2 2 2 2 3" xfId="811" xr:uid="{00000000-0005-0000-0000-000028030000}"/>
    <cellStyle name="Normal 10 2 4 2 2 2 2 3 2" xfId="812" xr:uid="{00000000-0005-0000-0000-000029030000}"/>
    <cellStyle name="Normal 10 2 4 2 2 2 2 4" xfId="813" xr:uid="{00000000-0005-0000-0000-00002A030000}"/>
    <cellStyle name="Normal 10 2 4 2 2 2 3" xfId="814" xr:uid="{00000000-0005-0000-0000-00002B030000}"/>
    <cellStyle name="Normal 10 2 4 2 2 2 3 2" xfId="815" xr:uid="{00000000-0005-0000-0000-00002C030000}"/>
    <cellStyle name="Normal 10 2 4 2 2 2 3 2 2" xfId="816" xr:uid="{00000000-0005-0000-0000-00002D030000}"/>
    <cellStyle name="Normal 10 2 4 2 2 2 3 3" xfId="817" xr:uid="{00000000-0005-0000-0000-00002E030000}"/>
    <cellStyle name="Normal 10 2 4 2 2 2 4" xfId="818" xr:uid="{00000000-0005-0000-0000-00002F030000}"/>
    <cellStyle name="Normal 10 2 4 2 2 2 4 2" xfId="819" xr:uid="{00000000-0005-0000-0000-000030030000}"/>
    <cellStyle name="Normal 10 2 4 2 2 2 5" xfId="820" xr:uid="{00000000-0005-0000-0000-000031030000}"/>
    <cellStyle name="Normal 10 2 4 2 2 3" xfId="821" xr:uid="{00000000-0005-0000-0000-000032030000}"/>
    <cellStyle name="Normal 10 2 4 2 2 3 2" xfId="822" xr:uid="{00000000-0005-0000-0000-000033030000}"/>
    <cellStyle name="Normal 10 2 4 2 2 3 2 2" xfId="823" xr:uid="{00000000-0005-0000-0000-000034030000}"/>
    <cellStyle name="Normal 10 2 4 2 2 3 2 2 2" xfId="824" xr:uid="{00000000-0005-0000-0000-000035030000}"/>
    <cellStyle name="Normal 10 2 4 2 2 3 2 3" xfId="825" xr:uid="{00000000-0005-0000-0000-000036030000}"/>
    <cellStyle name="Normal 10 2 4 2 2 3 3" xfId="826" xr:uid="{00000000-0005-0000-0000-000037030000}"/>
    <cellStyle name="Normal 10 2 4 2 2 3 3 2" xfId="827" xr:uid="{00000000-0005-0000-0000-000038030000}"/>
    <cellStyle name="Normal 10 2 4 2 2 3 4" xfId="828" xr:uid="{00000000-0005-0000-0000-000039030000}"/>
    <cellStyle name="Normal 10 2 4 2 2 4" xfId="829" xr:uid="{00000000-0005-0000-0000-00003A030000}"/>
    <cellStyle name="Normal 10 2 4 2 2 4 2" xfId="830" xr:uid="{00000000-0005-0000-0000-00003B030000}"/>
    <cellStyle name="Normal 10 2 4 2 2 4 2 2" xfId="831" xr:uid="{00000000-0005-0000-0000-00003C030000}"/>
    <cellStyle name="Normal 10 2 4 2 2 4 3" xfId="832" xr:uid="{00000000-0005-0000-0000-00003D030000}"/>
    <cellStyle name="Normal 10 2 4 2 2 5" xfId="833" xr:uid="{00000000-0005-0000-0000-00003E030000}"/>
    <cellStyle name="Normal 10 2 4 2 2 5 2" xfId="834" xr:uid="{00000000-0005-0000-0000-00003F030000}"/>
    <cellStyle name="Normal 10 2 4 2 2 6" xfId="835" xr:uid="{00000000-0005-0000-0000-000040030000}"/>
    <cellStyle name="Normal 10 2 4 2 3" xfId="836" xr:uid="{00000000-0005-0000-0000-000041030000}"/>
    <cellStyle name="Normal 10 2 4 2 3 2" xfId="837" xr:uid="{00000000-0005-0000-0000-000042030000}"/>
    <cellStyle name="Normal 10 2 4 2 3 2 2" xfId="838" xr:uid="{00000000-0005-0000-0000-000043030000}"/>
    <cellStyle name="Normal 10 2 4 2 3 2 2 2" xfId="839" xr:uid="{00000000-0005-0000-0000-000044030000}"/>
    <cellStyle name="Normal 10 2 4 2 3 2 2 2 2" xfId="840" xr:uid="{00000000-0005-0000-0000-000045030000}"/>
    <cellStyle name="Normal 10 2 4 2 3 2 2 3" xfId="841" xr:uid="{00000000-0005-0000-0000-000046030000}"/>
    <cellStyle name="Normal 10 2 4 2 3 2 3" xfId="842" xr:uid="{00000000-0005-0000-0000-000047030000}"/>
    <cellStyle name="Normal 10 2 4 2 3 2 3 2" xfId="843" xr:uid="{00000000-0005-0000-0000-000048030000}"/>
    <cellStyle name="Normal 10 2 4 2 3 2 4" xfId="844" xr:uid="{00000000-0005-0000-0000-000049030000}"/>
    <cellStyle name="Normal 10 2 4 2 3 3" xfId="845" xr:uid="{00000000-0005-0000-0000-00004A030000}"/>
    <cellStyle name="Normal 10 2 4 2 3 3 2" xfId="846" xr:uid="{00000000-0005-0000-0000-00004B030000}"/>
    <cellStyle name="Normal 10 2 4 2 3 3 2 2" xfId="847" xr:uid="{00000000-0005-0000-0000-00004C030000}"/>
    <cellStyle name="Normal 10 2 4 2 3 3 3" xfId="848" xr:uid="{00000000-0005-0000-0000-00004D030000}"/>
    <cellStyle name="Normal 10 2 4 2 3 4" xfId="849" xr:uid="{00000000-0005-0000-0000-00004E030000}"/>
    <cellStyle name="Normal 10 2 4 2 3 4 2" xfId="850" xr:uid="{00000000-0005-0000-0000-00004F030000}"/>
    <cellStyle name="Normal 10 2 4 2 3 5" xfId="851" xr:uid="{00000000-0005-0000-0000-000050030000}"/>
    <cellStyle name="Normal 10 2 4 2 4" xfId="852" xr:uid="{00000000-0005-0000-0000-000051030000}"/>
    <cellStyle name="Normal 10 2 4 2 4 2" xfId="853" xr:uid="{00000000-0005-0000-0000-000052030000}"/>
    <cellStyle name="Normal 10 2 4 2 4 2 2" xfId="854" xr:uid="{00000000-0005-0000-0000-000053030000}"/>
    <cellStyle name="Normal 10 2 4 2 4 2 2 2" xfId="855" xr:uid="{00000000-0005-0000-0000-000054030000}"/>
    <cellStyle name="Normal 10 2 4 2 4 2 3" xfId="856" xr:uid="{00000000-0005-0000-0000-000055030000}"/>
    <cellStyle name="Normal 10 2 4 2 4 3" xfId="857" xr:uid="{00000000-0005-0000-0000-000056030000}"/>
    <cellStyle name="Normal 10 2 4 2 4 3 2" xfId="858" xr:uid="{00000000-0005-0000-0000-000057030000}"/>
    <cellStyle name="Normal 10 2 4 2 4 4" xfId="859" xr:uid="{00000000-0005-0000-0000-000058030000}"/>
    <cellStyle name="Normal 10 2 4 2 5" xfId="860" xr:uid="{00000000-0005-0000-0000-000059030000}"/>
    <cellStyle name="Normal 10 2 4 2 5 2" xfId="861" xr:uid="{00000000-0005-0000-0000-00005A030000}"/>
    <cellStyle name="Normal 10 2 4 2 5 2 2" xfId="862" xr:uid="{00000000-0005-0000-0000-00005B030000}"/>
    <cellStyle name="Normal 10 2 4 2 5 3" xfId="863" xr:uid="{00000000-0005-0000-0000-00005C030000}"/>
    <cellStyle name="Normal 10 2 4 2 6" xfId="864" xr:uid="{00000000-0005-0000-0000-00005D030000}"/>
    <cellStyle name="Normal 10 2 4 2 6 2" xfId="865" xr:uid="{00000000-0005-0000-0000-00005E030000}"/>
    <cellStyle name="Normal 10 2 4 2 7" xfId="866" xr:uid="{00000000-0005-0000-0000-00005F030000}"/>
    <cellStyle name="Normal 10 2 4 3" xfId="867" xr:uid="{00000000-0005-0000-0000-000060030000}"/>
    <cellStyle name="Normal 10 2 4 3 2" xfId="868" xr:uid="{00000000-0005-0000-0000-000061030000}"/>
    <cellStyle name="Normal 10 2 4 3 2 2" xfId="869" xr:uid="{00000000-0005-0000-0000-000062030000}"/>
    <cellStyle name="Normal 10 2 4 3 2 2 2" xfId="870" xr:uid="{00000000-0005-0000-0000-000063030000}"/>
    <cellStyle name="Normal 10 2 4 3 2 2 2 2" xfId="871" xr:uid="{00000000-0005-0000-0000-000064030000}"/>
    <cellStyle name="Normal 10 2 4 3 2 2 2 2 2" xfId="872" xr:uid="{00000000-0005-0000-0000-000065030000}"/>
    <cellStyle name="Normal 10 2 4 3 2 2 2 3" xfId="873" xr:uid="{00000000-0005-0000-0000-000066030000}"/>
    <cellStyle name="Normal 10 2 4 3 2 2 3" xfId="874" xr:uid="{00000000-0005-0000-0000-000067030000}"/>
    <cellStyle name="Normal 10 2 4 3 2 2 3 2" xfId="875" xr:uid="{00000000-0005-0000-0000-000068030000}"/>
    <cellStyle name="Normal 10 2 4 3 2 2 4" xfId="876" xr:uid="{00000000-0005-0000-0000-000069030000}"/>
    <cellStyle name="Normal 10 2 4 3 2 3" xfId="877" xr:uid="{00000000-0005-0000-0000-00006A030000}"/>
    <cellStyle name="Normal 10 2 4 3 2 3 2" xfId="878" xr:uid="{00000000-0005-0000-0000-00006B030000}"/>
    <cellStyle name="Normal 10 2 4 3 2 3 2 2" xfId="879" xr:uid="{00000000-0005-0000-0000-00006C030000}"/>
    <cellStyle name="Normal 10 2 4 3 2 3 3" xfId="880" xr:uid="{00000000-0005-0000-0000-00006D030000}"/>
    <cellStyle name="Normal 10 2 4 3 2 4" xfId="881" xr:uid="{00000000-0005-0000-0000-00006E030000}"/>
    <cellStyle name="Normal 10 2 4 3 2 4 2" xfId="882" xr:uid="{00000000-0005-0000-0000-00006F030000}"/>
    <cellStyle name="Normal 10 2 4 3 2 5" xfId="883" xr:uid="{00000000-0005-0000-0000-000070030000}"/>
    <cellStyle name="Normal 10 2 4 3 3" xfId="884" xr:uid="{00000000-0005-0000-0000-000071030000}"/>
    <cellStyle name="Normal 10 2 4 3 3 2" xfId="885" xr:uid="{00000000-0005-0000-0000-000072030000}"/>
    <cellStyle name="Normal 10 2 4 3 3 2 2" xfId="886" xr:uid="{00000000-0005-0000-0000-000073030000}"/>
    <cellStyle name="Normal 10 2 4 3 3 2 2 2" xfId="887" xr:uid="{00000000-0005-0000-0000-000074030000}"/>
    <cellStyle name="Normal 10 2 4 3 3 2 3" xfId="888" xr:uid="{00000000-0005-0000-0000-000075030000}"/>
    <cellStyle name="Normal 10 2 4 3 3 3" xfId="889" xr:uid="{00000000-0005-0000-0000-000076030000}"/>
    <cellStyle name="Normal 10 2 4 3 3 3 2" xfId="890" xr:uid="{00000000-0005-0000-0000-000077030000}"/>
    <cellStyle name="Normal 10 2 4 3 3 4" xfId="891" xr:uid="{00000000-0005-0000-0000-000078030000}"/>
    <cellStyle name="Normal 10 2 4 3 4" xfId="892" xr:uid="{00000000-0005-0000-0000-000079030000}"/>
    <cellStyle name="Normal 10 2 4 3 4 2" xfId="893" xr:uid="{00000000-0005-0000-0000-00007A030000}"/>
    <cellStyle name="Normal 10 2 4 3 4 2 2" xfId="894" xr:uid="{00000000-0005-0000-0000-00007B030000}"/>
    <cellStyle name="Normal 10 2 4 3 4 3" xfId="895" xr:uid="{00000000-0005-0000-0000-00007C030000}"/>
    <cellStyle name="Normal 10 2 4 3 5" xfId="896" xr:uid="{00000000-0005-0000-0000-00007D030000}"/>
    <cellStyle name="Normal 10 2 4 3 5 2" xfId="897" xr:uid="{00000000-0005-0000-0000-00007E030000}"/>
    <cellStyle name="Normal 10 2 4 3 6" xfId="898" xr:uid="{00000000-0005-0000-0000-00007F030000}"/>
    <cellStyle name="Normal 10 2 4 4" xfId="899" xr:uid="{00000000-0005-0000-0000-000080030000}"/>
    <cellStyle name="Normal 10 2 4 4 2" xfId="900" xr:uid="{00000000-0005-0000-0000-000081030000}"/>
    <cellStyle name="Normal 10 2 4 4 2 2" xfId="901" xr:uid="{00000000-0005-0000-0000-000082030000}"/>
    <cellStyle name="Normal 10 2 4 4 2 2 2" xfId="902" xr:uid="{00000000-0005-0000-0000-000083030000}"/>
    <cellStyle name="Normal 10 2 4 4 2 2 2 2" xfId="903" xr:uid="{00000000-0005-0000-0000-000084030000}"/>
    <cellStyle name="Normal 10 2 4 4 2 2 3" xfId="904" xr:uid="{00000000-0005-0000-0000-000085030000}"/>
    <cellStyle name="Normal 10 2 4 4 2 3" xfId="905" xr:uid="{00000000-0005-0000-0000-000086030000}"/>
    <cellStyle name="Normal 10 2 4 4 2 3 2" xfId="906" xr:uid="{00000000-0005-0000-0000-000087030000}"/>
    <cellStyle name="Normal 10 2 4 4 2 4" xfId="907" xr:uid="{00000000-0005-0000-0000-000088030000}"/>
    <cellStyle name="Normal 10 2 4 4 3" xfId="908" xr:uid="{00000000-0005-0000-0000-000089030000}"/>
    <cellStyle name="Normal 10 2 4 4 3 2" xfId="909" xr:uid="{00000000-0005-0000-0000-00008A030000}"/>
    <cellStyle name="Normal 10 2 4 4 3 2 2" xfId="910" xr:uid="{00000000-0005-0000-0000-00008B030000}"/>
    <cellStyle name="Normal 10 2 4 4 3 3" xfId="911" xr:uid="{00000000-0005-0000-0000-00008C030000}"/>
    <cellStyle name="Normal 10 2 4 4 4" xfId="912" xr:uid="{00000000-0005-0000-0000-00008D030000}"/>
    <cellStyle name="Normal 10 2 4 4 4 2" xfId="913" xr:uid="{00000000-0005-0000-0000-00008E030000}"/>
    <cellStyle name="Normal 10 2 4 4 5" xfId="914" xr:uid="{00000000-0005-0000-0000-00008F030000}"/>
    <cellStyle name="Normal 10 2 4 5" xfId="915" xr:uid="{00000000-0005-0000-0000-000090030000}"/>
    <cellStyle name="Normal 10 2 4 5 2" xfId="916" xr:uid="{00000000-0005-0000-0000-000091030000}"/>
    <cellStyle name="Normal 10 2 4 5 2 2" xfId="917" xr:uid="{00000000-0005-0000-0000-000092030000}"/>
    <cellStyle name="Normal 10 2 4 5 2 2 2" xfId="918" xr:uid="{00000000-0005-0000-0000-000093030000}"/>
    <cellStyle name="Normal 10 2 4 5 2 3" xfId="919" xr:uid="{00000000-0005-0000-0000-000094030000}"/>
    <cellStyle name="Normal 10 2 4 5 3" xfId="920" xr:uid="{00000000-0005-0000-0000-000095030000}"/>
    <cellStyle name="Normal 10 2 4 5 3 2" xfId="921" xr:uid="{00000000-0005-0000-0000-000096030000}"/>
    <cellStyle name="Normal 10 2 4 5 4" xfId="922" xr:uid="{00000000-0005-0000-0000-000097030000}"/>
    <cellStyle name="Normal 10 2 4 6" xfId="923" xr:uid="{00000000-0005-0000-0000-000098030000}"/>
    <cellStyle name="Normal 10 2 4 6 2" xfId="924" xr:uid="{00000000-0005-0000-0000-000099030000}"/>
    <cellStyle name="Normal 10 2 4 6 2 2" xfId="925" xr:uid="{00000000-0005-0000-0000-00009A030000}"/>
    <cellStyle name="Normal 10 2 4 6 3" xfId="926" xr:uid="{00000000-0005-0000-0000-00009B030000}"/>
    <cellStyle name="Normal 10 2 4 7" xfId="927" xr:uid="{00000000-0005-0000-0000-00009C030000}"/>
    <cellStyle name="Normal 10 2 4 7 2" xfId="928" xr:uid="{00000000-0005-0000-0000-00009D030000}"/>
    <cellStyle name="Normal 10 2 4 8" xfId="929" xr:uid="{00000000-0005-0000-0000-00009E030000}"/>
    <cellStyle name="Normal 10 2 5" xfId="930" xr:uid="{00000000-0005-0000-0000-00009F030000}"/>
    <cellStyle name="Normal 10 2 5 2" xfId="931" xr:uid="{00000000-0005-0000-0000-0000A0030000}"/>
    <cellStyle name="Normal 10 2 5 2 2" xfId="932" xr:uid="{00000000-0005-0000-0000-0000A1030000}"/>
    <cellStyle name="Normal 10 2 5 2 2 2" xfId="933" xr:uid="{00000000-0005-0000-0000-0000A2030000}"/>
    <cellStyle name="Normal 10 2 5 2 2 2 2" xfId="934" xr:uid="{00000000-0005-0000-0000-0000A3030000}"/>
    <cellStyle name="Normal 10 2 5 2 2 2 2 2" xfId="935" xr:uid="{00000000-0005-0000-0000-0000A4030000}"/>
    <cellStyle name="Normal 10 2 5 2 2 2 2 2 2" xfId="936" xr:uid="{00000000-0005-0000-0000-0000A5030000}"/>
    <cellStyle name="Normal 10 2 5 2 2 2 2 3" xfId="937" xr:uid="{00000000-0005-0000-0000-0000A6030000}"/>
    <cellStyle name="Normal 10 2 5 2 2 2 3" xfId="938" xr:uid="{00000000-0005-0000-0000-0000A7030000}"/>
    <cellStyle name="Normal 10 2 5 2 2 2 3 2" xfId="939" xr:uid="{00000000-0005-0000-0000-0000A8030000}"/>
    <cellStyle name="Normal 10 2 5 2 2 2 4" xfId="940" xr:uid="{00000000-0005-0000-0000-0000A9030000}"/>
    <cellStyle name="Normal 10 2 5 2 2 3" xfId="941" xr:uid="{00000000-0005-0000-0000-0000AA030000}"/>
    <cellStyle name="Normal 10 2 5 2 2 3 2" xfId="942" xr:uid="{00000000-0005-0000-0000-0000AB030000}"/>
    <cellStyle name="Normal 10 2 5 2 2 3 2 2" xfId="943" xr:uid="{00000000-0005-0000-0000-0000AC030000}"/>
    <cellStyle name="Normal 10 2 5 2 2 3 3" xfId="944" xr:uid="{00000000-0005-0000-0000-0000AD030000}"/>
    <cellStyle name="Normal 10 2 5 2 2 4" xfId="945" xr:uid="{00000000-0005-0000-0000-0000AE030000}"/>
    <cellStyle name="Normal 10 2 5 2 2 4 2" xfId="946" xr:uid="{00000000-0005-0000-0000-0000AF030000}"/>
    <cellStyle name="Normal 10 2 5 2 2 5" xfId="947" xr:uid="{00000000-0005-0000-0000-0000B0030000}"/>
    <cellStyle name="Normal 10 2 5 2 3" xfId="948" xr:uid="{00000000-0005-0000-0000-0000B1030000}"/>
    <cellStyle name="Normal 10 2 5 2 3 2" xfId="949" xr:uid="{00000000-0005-0000-0000-0000B2030000}"/>
    <cellStyle name="Normal 10 2 5 2 3 2 2" xfId="950" xr:uid="{00000000-0005-0000-0000-0000B3030000}"/>
    <cellStyle name="Normal 10 2 5 2 3 2 2 2" xfId="951" xr:uid="{00000000-0005-0000-0000-0000B4030000}"/>
    <cellStyle name="Normal 10 2 5 2 3 2 3" xfId="952" xr:uid="{00000000-0005-0000-0000-0000B5030000}"/>
    <cellStyle name="Normal 10 2 5 2 3 3" xfId="953" xr:uid="{00000000-0005-0000-0000-0000B6030000}"/>
    <cellStyle name="Normal 10 2 5 2 3 3 2" xfId="954" xr:uid="{00000000-0005-0000-0000-0000B7030000}"/>
    <cellStyle name="Normal 10 2 5 2 3 4" xfId="955" xr:uid="{00000000-0005-0000-0000-0000B8030000}"/>
    <cellStyle name="Normal 10 2 5 2 4" xfId="956" xr:uid="{00000000-0005-0000-0000-0000B9030000}"/>
    <cellStyle name="Normal 10 2 5 2 4 2" xfId="957" xr:uid="{00000000-0005-0000-0000-0000BA030000}"/>
    <cellStyle name="Normal 10 2 5 2 4 2 2" xfId="958" xr:uid="{00000000-0005-0000-0000-0000BB030000}"/>
    <cellStyle name="Normal 10 2 5 2 4 3" xfId="959" xr:uid="{00000000-0005-0000-0000-0000BC030000}"/>
    <cellStyle name="Normal 10 2 5 2 5" xfId="960" xr:uid="{00000000-0005-0000-0000-0000BD030000}"/>
    <cellStyle name="Normal 10 2 5 2 5 2" xfId="961" xr:uid="{00000000-0005-0000-0000-0000BE030000}"/>
    <cellStyle name="Normal 10 2 5 2 6" xfId="962" xr:uid="{00000000-0005-0000-0000-0000BF030000}"/>
    <cellStyle name="Normal 10 2 5 3" xfId="963" xr:uid="{00000000-0005-0000-0000-0000C0030000}"/>
    <cellStyle name="Normal 10 2 5 3 2" xfId="964" xr:uid="{00000000-0005-0000-0000-0000C1030000}"/>
    <cellStyle name="Normal 10 2 5 3 2 2" xfId="965" xr:uid="{00000000-0005-0000-0000-0000C2030000}"/>
    <cellStyle name="Normal 10 2 5 3 2 2 2" xfId="966" xr:uid="{00000000-0005-0000-0000-0000C3030000}"/>
    <cellStyle name="Normal 10 2 5 3 2 2 2 2" xfId="967" xr:uid="{00000000-0005-0000-0000-0000C4030000}"/>
    <cellStyle name="Normal 10 2 5 3 2 2 3" xfId="968" xr:uid="{00000000-0005-0000-0000-0000C5030000}"/>
    <cellStyle name="Normal 10 2 5 3 2 3" xfId="969" xr:uid="{00000000-0005-0000-0000-0000C6030000}"/>
    <cellStyle name="Normal 10 2 5 3 2 3 2" xfId="970" xr:uid="{00000000-0005-0000-0000-0000C7030000}"/>
    <cellStyle name="Normal 10 2 5 3 2 4" xfId="971" xr:uid="{00000000-0005-0000-0000-0000C8030000}"/>
    <cellStyle name="Normal 10 2 5 3 3" xfId="972" xr:uid="{00000000-0005-0000-0000-0000C9030000}"/>
    <cellStyle name="Normal 10 2 5 3 3 2" xfId="973" xr:uid="{00000000-0005-0000-0000-0000CA030000}"/>
    <cellStyle name="Normal 10 2 5 3 3 2 2" xfId="974" xr:uid="{00000000-0005-0000-0000-0000CB030000}"/>
    <cellStyle name="Normal 10 2 5 3 3 3" xfId="975" xr:uid="{00000000-0005-0000-0000-0000CC030000}"/>
    <cellStyle name="Normal 10 2 5 3 4" xfId="976" xr:uid="{00000000-0005-0000-0000-0000CD030000}"/>
    <cellStyle name="Normal 10 2 5 3 4 2" xfId="977" xr:uid="{00000000-0005-0000-0000-0000CE030000}"/>
    <cellStyle name="Normal 10 2 5 3 5" xfId="978" xr:uid="{00000000-0005-0000-0000-0000CF030000}"/>
    <cellStyle name="Normal 10 2 5 4" xfId="979" xr:uid="{00000000-0005-0000-0000-0000D0030000}"/>
    <cellStyle name="Normal 10 2 5 4 2" xfId="980" xr:uid="{00000000-0005-0000-0000-0000D1030000}"/>
    <cellStyle name="Normal 10 2 5 4 2 2" xfId="981" xr:uid="{00000000-0005-0000-0000-0000D2030000}"/>
    <cellStyle name="Normal 10 2 5 4 2 2 2" xfId="982" xr:uid="{00000000-0005-0000-0000-0000D3030000}"/>
    <cellStyle name="Normal 10 2 5 4 2 3" xfId="983" xr:uid="{00000000-0005-0000-0000-0000D4030000}"/>
    <cellStyle name="Normal 10 2 5 4 3" xfId="984" xr:uid="{00000000-0005-0000-0000-0000D5030000}"/>
    <cellStyle name="Normal 10 2 5 4 3 2" xfId="985" xr:uid="{00000000-0005-0000-0000-0000D6030000}"/>
    <cellStyle name="Normal 10 2 5 4 4" xfId="986" xr:uid="{00000000-0005-0000-0000-0000D7030000}"/>
    <cellStyle name="Normal 10 2 5 5" xfId="987" xr:uid="{00000000-0005-0000-0000-0000D8030000}"/>
    <cellStyle name="Normal 10 2 5 5 2" xfId="988" xr:uid="{00000000-0005-0000-0000-0000D9030000}"/>
    <cellStyle name="Normal 10 2 5 5 2 2" xfId="989" xr:uid="{00000000-0005-0000-0000-0000DA030000}"/>
    <cellStyle name="Normal 10 2 5 5 3" xfId="990" xr:uid="{00000000-0005-0000-0000-0000DB030000}"/>
    <cellStyle name="Normal 10 2 5 6" xfId="991" xr:uid="{00000000-0005-0000-0000-0000DC030000}"/>
    <cellStyle name="Normal 10 2 5 6 2" xfId="992" xr:uid="{00000000-0005-0000-0000-0000DD030000}"/>
    <cellStyle name="Normal 10 2 5 7" xfId="993" xr:uid="{00000000-0005-0000-0000-0000DE030000}"/>
    <cellStyle name="Normal 10 2 6" xfId="994" xr:uid="{00000000-0005-0000-0000-0000DF030000}"/>
    <cellStyle name="Normal 10 2 6 2" xfId="995" xr:uid="{00000000-0005-0000-0000-0000E0030000}"/>
    <cellStyle name="Normal 10 2 6 2 2" xfId="996" xr:uid="{00000000-0005-0000-0000-0000E1030000}"/>
    <cellStyle name="Normal 10 2 6 2 2 2" xfId="997" xr:uid="{00000000-0005-0000-0000-0000E2030000}"/>
    <cellStyle name="Normal 10 2 6 2 2 2 2" xfId="998" xr:uid="{00000000-0005-0000-0000-0000E3030000}"/>
    <cellStyle name="Normal 10 2 6 2 2 2 2 2" xfId="999" xr:uid="{00000000-0005-0000-0000-0000E4030000}"/>
    <cellStyle name="Normal 10 2 6 2 2 2 3" xfId="1000" xr:uid="{00000000-0005-0000-0000-0000E5030000}"/>
    <cellStyle name="Normal 10 2 6 2 2 3" xfId="1001" xr:uid="{00000000-0005-0000-0000-0000E6030000}"/>
    <cellStyle name="Normal 10 2 6 2 2 3 2" xfId="1002" xr:uid="{00000000-0005-0000-0000-0000E7030000}"/>
    <cellStyle name="Normal 10 2 6 2 2 4" xfId="1003" xr:uid="{00000000-0005-0000-0000-0000E8030000}"/>
    <cellStyle name="Normal 10 2 6 2 3" xfId="1004" xr:uid="{00000000-0005-0000-0000-0000E9030000}"/>
    <cellStyle name="Normal 10 2 6 2 3 2" xfId="1005" xr:uid="{00000000-0005-0000-0000-0000EA030000}"/>
    <cellStyle name="Normal 10 2 6 2 3 2 2" xfId="1006" xr:uid="{00000000-0005-0000-0000-0000EB030000}"/>
    <cellStyle name="Normal 10 2 6 2 3 3" xfId="1007" xr:uid="{00000000-0005-0000-0000-0000EC030000}"/>
    <cellStyle name="Normal 10 2 6 2 4" xfId="1008" xr:uid="{00000000-0005-0000-0000-0000ED030000}"/>
    <cellStyle name="Normal 10 2 6 2 4 2" xfId="1009" xr:uid="{00000000-0005-0000-0000-0000EE030000}"/>
    <cellStyle name="Normal 10 2 6 2 5" xfId="1010" xr:uid="{00000000-0005-0000-0000-0000EF030000}"/>
    <cellStyle name="Normal 10 2 6 3" xfId="1011" xr:uid="{00000000-0005-0000-0000-0000F0030000}"/>
    <cellStyle name="Normal 10 2 6 3 2" xfId="1012" xr:uid="{00000000-0005-0000-0000-0000F1030000}"/>
    <cellStyle name="Normal 10 2 6 3 2 2" xfId="1013" xr:uid="{00000000-0005-0000-0000-0000F2030000}"/>
    <cellStyle name="Normal 10 2 6 3 2 2 2" xfId="1014" xr:uid="{00000000-0005-0000-0000-0000F3030000}"/>
    <cellStyle name="Normal 10 2 6 3 2 3" xfId="1015" xr:uid="{00000000-0005-0000-0000-0000F4030000}"/>
    <cellStyle name="Normal 10 2 6 3 3" xfId="1016" xr:uid="{00000000-0005-0000-0000-0000F5030000}"/>
    <cellStyle name="Normal 10 2 6 3 3 2" xfId="1017" xr:uid="{00000000-0005-0000-0000-0000F6030000}"/>
    <cellStyle name="Normal 10 2 6 3 4" xfId="1018" xr:uid="{00000000-0005-0000-0000-0000F7030000}"/>
    <cellStyle name="Normal 10 2 6 4" xfId="1019" xr:uid="{00000000-0005-0000-0000-0000F8030000}"/>
    <cellStyle name="Normal 10 2 6 4 2" xfId="1020" xr:uid="{00000000-0005-0000-0000-0000F9030000}"/>
    <cellStyle name="Normal 10 2 6 4 2 2" xfId="1021" xr:uid="{00000000-0005-0000-0000-0000FA030000}"/>
    <cellStyle name="Normal 10 2 6 4 3" xfId="1022" xr:uid="{00000000-0005-0000-0000-0000FB030000}"/>
    <cellStyle name="Normal 10 2 6 5" xfId="1023" xr:uid="{00000000-0005-0000-0000-0000FC030000}"/>
    <cellStyle name="Normal 10 2 6 5 2" xfId="1024" xr:uid="{00000000-0005-0000-0000-0000FD030000}"/>
    <cellStyle name="Normal 10 2 6 6" xfId="1025" xr:uid="{00000000-0005-0000-0000-0000FE030000}"/>
    <cellStyle name="Normal 10 2 7" xfId="1026" xr:uid="{00000000-0005-0000-0000-0000FF030000}"/>
    <cellStyle name="Normal 10 2 7 2" xfId="1027" xr:uid="{00000000-0005-0000-0000-000000040000}"/>
    <cellStyle name="Normal 10 2 7 2 2" xfId="1028" xr:uid="{00000000-0005-0000-0000-000001040000}"/>
    <cellStyle name="Normal 10 2 7 2 2 2" xfId="1029" xr:uid="{00000000-0005-0000-0000-000002040000}"/>
    <cellStyle name="Normal 10 2 7 2 2 2 2" xfId="1030" xr:uid="{00000000-0005-0000-0000-000003040000}"/>
    <cellStyle name="Normal 10 2 7 2 2 3" xfId="1031" xr:uid="{00000000-0005-0000-0000-000004040000}"/>
    <cellStyle name="Normal 10 2 7 2 3" xfId="1032" xr:uid="{00000000-0005-0000-0000-000005040000}"/>
    <cellStyle name="Normal 10 2 7 2 3 2" xfId="1033" xr:uid="{00000000-0005-0000-0000-000006040000}"/>
    <cellStyle name="Normal 10 2 7 2 4" xfId="1034" xr:uid="{00000000-0005-0000-0000-000007040000}"/>
    <cellStyle name="Normal 10 2 7 3" xfId="1035" xr:uid="{00000000-0005-0000-0000-000008040000}"/>
    <cellStyle name="Normal 10 2 7 3 2" xfId="1036" xr:uid="{00000000-0005-0000-0000-000009040000}"/>
    <cellStyle name="Normal 10 2 7 3 2 2" xfId="1037" xr:uid="{00000000-0005-0000-0000-00000A040000}"/>
    <cellStyle name="Normal 10 2 7 3 3" xfId="1038" xr:uid="{00000000-0005-0000-0000-00000B040000}"/>
    <cellStyle name="Normal 10 2 7 4" xfId="1039" xr:uid="{00000000-0005-0000-0000-00000C040000}"/>
    <cellStyle name="Normal 10 2 7 4 2" xfId="1040" xr:uid="{00000000-0005-0000-0000-00000D040000}"/>
    <cellStyle name="Normal 10 2 7 5" xfId="1041" xr:uid="{00000000-0005-0000-0000-00000E040000}"/>
    <cellStyle name="Normal 10 2 8" xfId="1042" xr:uid="{00000000-0005-0000-0000-00000F040000}"/>
    <cellStyle name="Normal 10 2 8 2" xfId="1043" xr:uid="{00000000-0005-0000-0000-000010040000}"/>
    <cellStyle name="Normal 10 2 8 2 2" xfId="1044" xr:uid="{00000000-0005-0000-0000-000011040000}"/>
    <cellStyle name="Normal 10 2 8 2 2 2" xfId="1045" xr:uid="{00000000-0005-0000-0000-000012040000}"/>
    <cellStyle name="Normal 10 2 8 2 3" xfId="1046" xr:uid="{00000000-0005-0000-0000-000013040000}"/>
    <cellStyle name="Normal 10 2 8 3" xfId="1047" xr:uid="{00000000-0005-0000-0000-000014040000}"/>
    <cellStyle name="Normal 10 2 8 3 2" xfId="1048" xr:uid="{00000000-0005-0000-0000-000015040000}"/>
    <cellStyle name="Normal 10 2 8 4" xfId="1049" xr:uid="{00000000-0005-0000-0000-000016040000}"/>
    <cellStyle name="Normal 10 2 9" xfId="1050" xr:uid="{00000000-0005-0000-0000-000017040000}"/>
    <cellStyle name="Normal 10 2 9 2" xfId="1051" xr:uid="{00000000-0005-0000-0000-000018040000}"/>
    <cellStyle name="Normal 10 2 9 2 2" xfId="1052" xr:uid="{00000000-0005-0000-0000-000019040000}"/>
    <cellStyle name="Normal 10 2 9 3" xfId="1053" xr:uid="{00000000-0005-0000-0000-00001A040000}"/>
    <cellStyle name="Normal 10 3" xfId="1054" xr:uid="{00000000-0005-0000-0000-00001B040000}"/>
    <cellStyle name="Normal 10 3 10" xfId="1055" xr:uid="{00000000-0005-0000-0000-00001C040000}"/>
    <cellStyle name="Normal 10 3 10 2" xfId="1056" xr:uid="{00000000-0005-0000-0000-00001D040000}"/>
    <cellStyle name="Normal 10 3 11" xfId="1057" xr:uid="{00000000-0005-0000-0000-00001E040000}"/>
    <cellStyle name="Normal 10 3 2" xfId="1058" xr:uid="{00000000-0005-0000-0000-00001F040000}"/>
    <cellStyle name="Normal 10 3 2 10" xfId="1059" xr:uid="{00000000-0005-0000-0000-000020040000}"/>
    <cellStyle name="Normal 10 3 2 2" xfId="1060" xr:uid="{00000000-0005-0000-0000-000021040000}"/>
    <cellStyle name="Normal 10 3 2 2 2" xfId="1061" xr:uid="{00000000-0005-0000-0000-000022040000}"/>
    <cellStyle name="Normal 10 3 2 2 2 2" xfId="1062" xr:uid="{00000000-0005-0000-0000-000023040000}"/>
    <cellStyle name="Normal 10 3 2 2 2 2 2" xfId="1063" xr:uid="{00000000-0005-0000-0000-000024040000}"/>
    <cellStyle name="Normal 10 3 2 2 2 2 2 2" xfId="1064" xr:uid="{00000000-0005-0000-0000-000025040000}"/>
    <cellStyle name="Normal 10 3 2 2 2 2 2 2 2" xfId="1065" xr:uid="{00000000-0005-0000-0000-000026040000}"/>
    <cellStyle name="Normal 10 3 2 2 2 2 2 2 2 2" xfId="1066" xr:uid="{00000000-0005-0000-0000-000027040000}"/>
    <cellStyle name="Normal 10 3 2 2 2 2 2 2 2 2 2" xfId="1067" xr:uid="{00000000-0005-0000-0000-000028040000}"/>
    <cellStyle name="Normal 10 3 2 2 2 2 2 2 2 2 2 2" xfId="1068" xr:uid="{00000000-0005-0000-0000-000029040000}"/>
    <cellStyle name="Normal 10 3 2 2 2 2 2 2 2 2 3" xfId="1069" xr:uid="{00000000-0005-0000-0000-00002A040000}"/>
    <cellStyle name="Normal 10 3 2 2 2 2 2 2 2 3" xfId="1070" xr:uid="{00000000-0005-0000-0000-00002B040000}"/>
    <cellStyle name="Normal 10 3 2 2 2 2 2 2 2 3 2" xfId="1071" xr:uid="{00000000-0005-0000-0000-00002C040000}"/>
    <cellStyle name="Normal 10 3 2 2 2 2 2 2 2 4" xfId="1072" xr:uid="{00000000-0005-0000-0000-00002D040000}"/>
    <cellStyle name="Normal 10 3 2 2 2 2 2 2 3" xfId="1073" xr:uid="{00000000-0005-0000-0000-00002E040000}"/>
    <cellStyle name="Normal 10 3 2 2 2 2 2 2 3 2" xfId="1074" xr:uid="{00000000-0005-0000-0000-00002F040000}"/>
    <cellStyle name="Normal 10 3 2 2 2 2 2 2 3 2 2" xfId="1075" xr:uid="{00000000-0005-0000-0000-000030040000}"/>
    <cellStyle name="Normal 10 3 2 2 2 2 2 2 3 3" xfId="1076" xr:uid="{00000000-0005-0000-0000-000031040000}"/>
    <cellStyle name="Normal 10 3 2 2 2 2 2 2 4" xfId="1077" xr:uid="{00000000-0005-0000-0000-000032040000}"/>
    <cellStyle name="Normal 10 3 2 2 2 2 2 2 4 2" xfId="1078" xr:uid="{00000000-0005-0000-0000-000033040000}"/>
    <cellStyle name="Normal 10 3 2 2 2 2 2 2 5" xfId="1079" xr:uid="{00000000-0005-0000-0000-000034040000}"/>
    <cellStyle name="Normal 10 3 2 2 2 2 2 3" xfId="1080" xr:uid="{00000000-0005-0000-0000-000035040000}"/>
    <cellStyle name="Normal 10 3 2 2 2 2 2 3 2" xfId="1081" xr:uid="{00000000-0005-0000-0000-000036040000}"/>
    <cellStyle name="Normal 10 3 2 2 2 2 2 3 2 2" xfId="1082" xr:uid="{00000000-0005-0000-0000-000037040000}"/>
    <cellStyle name="Normal 10 3 2 2 2 2 2 3 2 2 2" xfId="1083" xr:uid="{00000000-0005-0000-0000-000038040000}"/>
    <cellStyle name="Normal 10 3 2 2 2 2 2 3 2 3" xfId="1084" xr:uid="{00000000-0005-0000-0000-000039040000}"/>
    <cellStyle name="Normal 10 3 2 2 2 2 2 3 3" xfId="1085" xr:uid="{00000000-0005-0000-0000-00003A040000}"/>
    <cellStyle name="Normal 10 3 2 2 2 2 2 3 3 2" xfId="1086" xr:uid="{00000000-0005-0000-0000-00003B040000}"/>
    <cellStyle name="Normal 10 3 2 2 2 2 2 3 4" xfId="1087" xr:uid="{00000000-0005-0000-0000-00003C040000}"/>
    <cellStyle name="Normal 10 3 2 2 2 2 2 4" xfId="1088" xr:uid="{00000000-0005-0000-0000-00003D040000}"/>
    <cellStyle name="Normal 10 3 2 2 2 2 2 4 2" xfId="1089" xr:uid="{00000000-0005-0000-0000-00003E040000}"/>
    <cellStyle name="Normal 10 3 2 2 2 2 2 4 2 2" xfId="1090" xr:uid="{00000000-0005-0000-0000-00003F040000}"/>
    <cellStyle name="Normal 10 3 2 2 2 2 2 4 3" xfId="1091" xr:uid="{00000000-0005-0000-0000-000040040000}"/>
    <cellStyle name="Normal 10 3 2 2 2 2 2 5" xfId="1092" xr:uid="{00000000-0005-0000-0000-000041040000}"/>
    <cellStyle name="Normal 10 3 2 2 2 2 2 5 2" xfId="1093" xr:uid="{00000000-0005-0000-0000-000042040000}"/>
    <cellStyle name="Normal 10 3 2 2 2 2 2 6" xfId="1094" xr:uid="{00000000-0005-0000-0000-000043040000}"/>
    <cellStyle name="Normal 10 3 2 2 2 2 3" xfId="1095" xr:uid="{00000000-0005-0000-0000-000044040000}"/>
    <cellStyle name="Normal 10 3 2 2 2 2 3 2" xfId="1096" xr:uid="{00000000-0005-0000-0000-000045040000}"/>
    <cellStyle name="Normal 10 3 2 2 2 2 3 2 2" xfId="1097" xr:uid="{00000000-0005-0000-0000-000046040000}"/>
    <cellStyle name="Normal 10 3 2 2 2 2 3 2 2 2" xfId="1098" xr:uid="{00000000-0005-0000-0000-000047040000}"/>
    <cellStyle name="Normal 10 3 2 2 2 2 3 2 2 2 2" xfId="1099" xr:uid="{00000000-0005-0000-0000-000048040000}"/>
    <cellStyle name="Normal 10 3 2 2 2 2 3 2 2 3" xfId="1100" xr:uid="{00000000-0005-0000-0000-000049040000}"/>
    <cellStyle name="Normal 10 3 2 2 2 2 3 2 3" xfId="1101" xr:uid="{00000000-0005-0000-0000-00004A040000}"/>
    <cellStyle name="Normal 10 3 2 2 2 2 3 2 3 2" xfId="1102" xr:uid="{00000000-0005-0000-0000-00004B040000}"/>
    <cellStyle name="Normal 10 3 2 2 2 2 3 2 4" xfId="1103" xr:uid="{00000000-0005-0000-0000-00004C040000}"/>
    <cellStyle name="Normal 10 3 2 2 2 2 3 3" xfId="1104" xr:uid="{00000000-0005-0000-0000-00004D040000}"/>
    <cellStyle name="Normal 10 3 2 2 2 2 3 3 2" xfId="1105" xr:uid="{00000000-0005-0000-0000-00004E040000}"/>
    <cellStyle name="Normal 10 3 2 2 2 2 3 3 2 2" xfId="1106" xr:uid="{00000000-0005-0000-0000-00004F040000}"/>
    <cellStyle name="Normal 10 3 2 2 2 2 3 3 3" xfId="1107" xr:uid="{00000000-0005-0000-0000-000050040000}"/>
    <cellStyle name="Normal 10 3 2 2 2 2 3 4" xfId="1108" xr:uid="{00000000-0005-0000-0000-000051040000}"/>
    <cellStyle name="Normal 10 3 2 2 2 2 3 4 2" xfId="1109" xr:uid="{00000000-0005-0000-0000-000052040000}"/>
    <cellStyle name="Normal 10 3 2 2 2 2 3 5" xfId="1110" xr:uid="{00000000-0005-0000-0000-000053040000}"/>
    <cellStyle name="Normal 10 3 2 2 2 2 4" xfId="1111" xr:uid="{00000000-0005-0000-0000-000054040000}"/>
    <cellStyle name="Normal 10 3 2 2 2 2 4 2" xfId="1112" xr:uid="{00000000-0005-0000-0000-000055040000}"/>
    <cellStyle name="Normal 10 3 2 2 2 2 4 2 2" xfId="1113" xr:uid="{00000000-0005-0000-0000-000056040000}"/>
    <cellStyle name="Normal 10 3 2 2 2 2 4 2 2 2" xfId="1114" xr:uid="{00000000-0005-0000-0000-000057040000}"/>
    <cellStyle name="Normal 10 3 2 2 2 2 4 2 3" xfId="1115" xr:uid="{00000000-0005-0000-0000-000058040000}"/>
    <cellStyle name="Normal 10 3 2 2 2 2 4 3" xfId="1116" xr:uid="{00000000-0005-0000-0000-000059040000}"/>
    <cellStyle name="Normal 10 3 2 2 2 2 4 3 2" xfId="1117" xr:uid="{00000000-0005-0000-0000-00005A040000}"/>
    <cellStyle name="Normal 10 3 2 2 2 2 4 4" xfId="1118" xr:uid="{00000000-0005-0000-0000-00005B040000}"/>
    <cellStyle name="Normal 10 3 2 2 2 2 5" xfId="1119" xr:uid="{00000000-0005-0000-0000-00005C040000}"/>
    <cellStyle name="Normal 10 3 2 2 2 2 5 2" xfId="1120" xr:uid="{00000000-0005-0000-0000-00005D040000}"/>
    <cellStyle name="Normal 10 3 2 2 2 2 5 2 2" xfId="1121" xr:uid="{00000000-0005-0000-0000-00005E040000}"/>
    <cellStyle name="Normal 10 3 2 2 2 2 5 3" xfId="1122" xr:uid="{00000000-0005-0000-0000-00005F040000}"/>
    <cellStyle name="Normal 10 3 2 2 2 2 6" xfId="1123" xr:uid="{00000000-0005-0000-0000-000060040000}"/>
    <cellStyle name="Normal 10 3 2 2 2 2 6 2" xfId="1124" xr:uid="{00000000-0005-0000-0000-000061040000}"/>
    <cellStyle name="Normal 10 3 2 2 2 2 7" xfId="1125" xr:uid="{00000000-0005-0000-0000-000062040000}"/>
    <cellStyle name="Normal 10 3 2 2 2 3" xfId="1126" xr:uid="{00000000-0005-0000-0000-000063040000}"/>
    <cellStyle name="Normal 10 3 2 2 2 3 2" xfId="1127" xr:uid="{00000000-0005-0000-0000-000064040000}"/>
    <cellStyle name="Normal 10 3 2 2 2 3 2 2" xfId="1128" xr:uid="{00000000-0005-0000-0000-000065040000}"/>
    <cellStyle name="Normal 10 3 2 2 2 3 2 2 2" xfId="1129" xr:uid="{00000000-0005-0000-0000-000066040000}"/>
    <cellStyle name="Normal 10 3 2 2 2 3 2 2 2 2" xfId="1130" xr:uid="{00000000-0005-0000-0000-000067040000}"/>
    <cellStyle name="Normal 10 3 2 2 2 3 2 2 2 2 2" xfId="1131" xr:uid="{00000000-0005-0000-0000-000068040000}"/>
    <cellStyle name="Normal 10 3 2 2 2 3 2 2 2 3" xfId="1132" xr:uid="{00000000-0005-0000-0000-000069040000}"/>
    <cellStyle name="Normal 10 3 2 2 2 3 2 2 3" xfId="1133" xr:uid="{00000000-0005-0000-0000-00006A040000}"/>
    <cellStyle name="Normal 10 3 2 2 2 3 2 2 3 2" xfId="1134" xr:uid="{00000000-0005-0000-0000-00006B040000}"/>
    <cellStyle name="Normal 10 3 2 2 2 3 2 2 4" xfId="1135" xr:uid="{00000000-0005-0000-0000-00006C040000}"/>
    <cellStyle name="Normal 10 3 2 2 2 3 2 3" xfId="1136" xr:uid="{00000000-0005-0000-0000-00006D040000}"/>
    <cellStyle name="Normal 10 3 2 2 2 3 2 3 2" xfId="1137" xr:uid="{00000000-0005-0000-0000-00006E040000}"/>
    <cellStyle name="Normal 10 3 2 2 2 3 2 3 2 2" xfId="1138" xr:uid="{00000000-0005-0000-0000-00006F040000}"/>
    <cellStyle name="Normal 10 3 2 2 2 3 2 3 3" xfId="1139" xr:uid="{00000000-0005-0000-0000-000070040000}"/>
    <cellStyle name="Normal 10 3 2 2 2 3 2 4" xfId="1140" xr:uid="{00000000-0005-0000-0000-000071040000}"/>
    <cellStyle name="Normal 10 3 2 2 2 3 2 4 2" xfId="1141" xr:uid="{00000000-0005-0000-0000-000072040000}"/>
    <cellStyle name="Normal 10 3 2 2 2 3 2 5" xfId="1142" xr:uid="{00000000-0005-0000-0000-000073040000}"/>
    <cellStyle name="Normal 10 3 2 2 2 3 3" xfId="1143" xr:uid="{00000000-0005-0000-0000-000074040000}"/>
    <cellStyle name="Normal 10 3 2 2 2 3 3 2" xfId="1144" xr:uid="{00000000-0005-0000-0000-000075040000}"/>
    <cellStyle name="Normal 10 3 2 2 2 3 3 2 2" xfId="1145" xr:uid="{00000000-0005-0000-0000-000076040000}"/>
    <cellStyle name="Normal 10 3 2 2 2 3 3 2 2 2" xfId="1146" xr:uid="{00000000-0005-0000-0000-000077040000}"/>
    <cellStyle name="Normal 10 3 2 2 2 3 3 2 3" xfId="1147" xr:uid="{00000000-0005-0000-0000-000078040000}"/>
    <cellStyle name="Normal 10 3 2 2 2 3 3 3" xfId="1148" xr:uid="{00000000-0005-0000-0000-000079040000}"/>
    <cellStyle name="Normal 10 3 2 2 2 3 3 3 2" xfId="1149" xr:uid="{00000000-0005-0000-0000-00007A040000}"/>
    <cellStyle name="Normal 10 3 2 2 2 3 3 4" xfId="1150" xr:uid="{00000000-0005-0000-0000-00007B040000}"/>
    <cellStyle name="Normal 10 3 2 2 2 3 4" xfId="1151" xr:uid="{00000000-0005-0000-0000-00007C040000}"/>
    <cellStyle name="Normal 10 3 2 2 2 3 4 2" xfId="1152" xr:uid="{00000000-0005-0000-0000-00007D040000}"/>
    <cellStyle name="Normal 10 3 2 2 2 3 4 2 2" xfId="1153" xr:uid="{00000000-0005-0000-0000-00007E040000}"/>
    <cellStyle name="Normal 10 3 2 2 2 3 4 3" xfId="1154" xr:uid="{00000000-0005-0000-0000-00007F040000}"/>
    <cellStyle name="Normal 10 3 2 2 2 3 5" xfId="1155" xr:uid="{00000000-0005-0000-0000-000080040000}"/>
    <cellStyle name="Normal 10 3 2 2 2 3 5 2" xfId="1156" xr:uid="{00000000-0005-0000-0000-000081040000}"/>
    <cellStyle name="Normal 10 3 2 2 2 3 6" xfId="1157" xr:uid="{00000000-0005-0000-0000-000082040000}"/>
    <cellStyle name="Normal 10 3 2 2 2 4" xfId="1158" xr:uid="{00000000-0005-0000-0000-000083040000}"/>
    <cellStyle name="Normal 10 3 2 2 2 4 2" xfId="1159" xr:uid="{00000000-0005-0000-0000-000084040000}"/>
    <cellStyle name="Normal 10 3 2 2 2 4 2 2" xfId="1160" xr:uid="{00000000-0005-0000-0000-000085040000}"/>
    <cellStyle name="Normal 10 3 2 2 2 4 2 2 2" xfId="1161" xr:uid="{00000000-0005-0000-0000-000086040000}"/>
    <cellStyle name="Normal 10 3 2 2 2 4 2 2 2 2" xfId="1162" xr:uid="{00000000-0005-0000-0000-000087040000}"/>
    <cellStyle name="Normal 10 3 2 2 2 4 2 2 3" xfId="1163" xr:uid="{00000000-0005-0000-0000-000088040000}"/>
    <cellStyle name="Normal 10 3 2 2 2 4 2 3" xfId="1164" xr:uid="{00000000-0005-0000-0000-000089040000}"/>
    <cellStyle name="Normal 10 3 2 2 2 4 2 3 2" xfId="1165" xr:uid="{00000000-0005-0000-0000-00008A040000}"/>
    <cellStyle name="Normal 10 3 2 2 2 4 2 4" xfId="1166" xr:uid="{00000000-0005-0000-0000-00008B040000}"/>
    <cellStyle name="Normal 10 3 2 2 2 4 3" xfId="1167" xr:uid="{00000000-0005-0000-0000-00008C040000}"/>
    <cellStyle name="Normal 10 3 2 2 2 4 3 2" xfId="1168" xr:uid="{00000000-0005-0000-0000-00008D040000}"/>
    <cellStyle name="Normal 10 3 2 2 2 4 3 2 2" xfId="1169" xr:uid="{00000000-0005-0000-0000-00008E040000}"/>
    <cellStyle name="Normal 10 3 2 2 2 4 3 3" xfId="1170" xr:uid="{00000000-0005-0000-0000-00008F040000}"/>
    <cellStyle name="Normal 10 3 2 2 2 4 4" xfId="1171" xr:uid="{00000000-0005-0000-0000-000090040000}"/>
    <cellStyle name="Normal 10 3 2 2 2 4 4 2" xfId="1172" xr:uid="{00000000-0005-0000-0000-000091040000}"/>
    <cellStyle name="Normal 10 3 2 2 2 4 5" xfId="1173" xr:uid="{00000000-0005-0000-0000-000092040000}"/>
    <cellStyle name="Normal 10 3 2 2 2 5" xfId="1174" xr:uid="{00000000-0005-0000-0000-000093040000}"/>
    <cellStyle name="Normal 10 3 2 2 2 5 2" xfId="1175" xr:uid="{00000000-0005-0000-0000-000094040000}"/>
    <cellStyle name="Normal 10 3 2 2 2 5 2 2" xfId="1176" xr:uid="{00000000-0005-0000-0000-000095040000}"/>
    <cellStyle name="Normal 10 3 2 2 2 5 2 2 2" xfId="1177" xr:uid="{00000000-0005-0000-0000-000096040000}"/>
    <cellStyle name="Normal 10 3 2 2 2 5 2 3" xfId="1178" xr:uid="{00000000-0005-0000-0000-000097040000}"/>
    <cellStyle name="Normal 10 3 2 2 2 5 3" xfId="1179" xr:uid="{00000000-0005-0000-0000-000098040000}"/>
    <cellStyle name="Normal 10 3 2 2 2 5 3 2" xfId="1180" xr:uid="{00000000-0005-0000-0000-000099040000}"/>
    <cellStyle name="Normal 10 3 2 2 2 5 4" xfId="1181" xr:uid="{00000000-0005-0000-0000-00009A040000}"/>
    <cellStyle name="Normal 10 3 2 2 2 6" xfId="1182" xr:uid="{00000000-0005-0000-0000-00009B040000}"/>
    <cellStyle name="Normal 10 3 2 2 2 6 2" xfId="1183" xr:uid="{00000000-0005-0000-0000-00009C040000}"/>
    <cellStyle name="Normal 10 3 2 2 2 6 2 2" xfId="1184" xr:uid="{00000000-0005-0000-0000-00009D040000}"/>
    <cellStyle name="Normal 10 3 2 2 2 6 3" xfId="1185" xr:uid="{00000000-0005-0000-0000-00009E040000}"/>
    <cellStyle name="Normal 10 3 2 2 2 7" xfId="1186" xr:uid="{00000000-0005-0000-0000-00009F040000}"/>
    <cellStyle name="Normal 10 3 2 2 2 7 2" xfId="1187" xr:uid="{00000000-0005-0000-0000-0000A0040000}"/>
    <cellStyle name="Normal 10 3 2 2 2 8" xfId="1188" xr:uid="{00000000-0005-0000-0000-0000A1040000}"/>
    <cellStyle name="Normal 10 3 2 2 3" xfId="1189" xr:uid="{00000000-0005-0000-0000-0000A2040000}"/>
    <cellStyle name="Normal 10 3 2 2 3 2" xfId="1190" xr:uid="{00000000-0005-0000-0000-0000A3040000}"/>
    <cellStyle name="Normal 10 3 2 2 3 2 2" xfId="1191" xr:uid="{00000000-0005-0000-0000-0000A4040000}"/>
    <cellStyle name="Normal 10 3 2 2 3 2 2 2" xfId="1192" xr:uid="{00000000-0005-0000-0000-0000A5040000}"/>
    <cellStyle name="Normal 10 3 2 2 3 2 2 2 2" xfId="1193" xr:uid="{00000000-0005-0000-0000-0000A6040000}"/>
    <cellStyle name="Normal 10 3 2 2 3 2 2 2 2 2" xfId="1194" xr:uid="{00000000-0005-0000-0000-0000A7040000}"/>
    <cellStyle name="Normal 10 3 2 2 3 2 2 2 2 2 2" xfId="1195" xr:uid="{00000000-0005-0000-0000-0000A8040000}"/>
    <cellStyle name="Normal 10 3 2 2 3 2 2 2 2 3" xfId="1196" xr:uid="{00000000-0005-0000-0000-0000A9040000}"/>
    <cellStyle name="Normal 10 3 2 2 3 2 2 2 3" xfId="1197" xr:uid="{00000000-0005-0000-0000-0000AA040000}"/>
    <cellStyle name="Normal 10 3 2 2 3 2 2 2 3 2" xfId="1198" xr:uid="{00000000-0005-0000-0000-0000AB040000}"/>
    <cellStyle name="Normal 10 3 2 2 3 2 2 2 4" xfId="1199" xr:uid="{00000000-0005-0000-0000-0000AC040000}"/>
    <cellStyle name="Normal 10 3 2 2 3 2 2 3" xfId="1200" xr:uid="{00000000-0005-0000-0000-0000AD040000}"/>
    <cellStyle name="Normal 10 3 2 2 3 2 2 3 2" xfId="1201" xr:uid="{00000000-0005-0000-0000-0000AE040000}"/>
    <cellStyle name="Normal 10 3 2 2 3 2 2 3 2 2" xfId="1202" xr:uid="{00000000-0005-0000-0000-0000AF040000}"/>
    <cellStyle name="Normal 10 3 2 2 3 2 2 3 3" xfId="1203" xr:uid="{00000000-0005-0000-0000-0000B0040000}"/>
    <cellStyle name="Normal 10 3 2 2 3 2 2 4" xfId="1204" xr:uid="{00000000-0005-0000-0000-0000B1040000}"/>
    <cellStyle name="Normal 10 3 2 2 3 2 2 4 2" xfId="1205" xr:uid="{00000000-0005-0000-0000-0000B2040000}"/>
    <cellStyle name="Normal 10 3 2 2 3 2 2 5" xfId="1206" xr:uid="{00000000-0005-0000-0000-0000B3040000}"/>
    <cellStyle name="Normal 10 3 2 2 3 2 3" xfId="1207" xr:uid="{00000000-0005-0000-0000-0000B4040000}"/>
    <cellStyle name="Normal 10 3 2 2 3 2 3 2" xfId="1208" xr:uid="{00000000-0005-0000-0000-0000B5040000}"/>
    <cellStyle name="Normal 10 3 2 2 3 2 3 2 2" xfId="1209" xr:uid="{00000000-0005-0000-0000-0000B6040000}"/>
    <cellStyle name="Normal 10 3 2 2 3 2 3 2 2 2" xfId="1210" xr:uid="{00000000-0005-0000-0000-0000B7040000}"/>
    <cellStyle name="Normal 10 3 2 2 3 2 3 2 3" xfId="1211" xr:uid="{00000000-0005-0000-0000-0000B8040000}"/>
    <cellStyle name="Normal 10 3 2 2 3 2 3 3" xfId="1212" xr:uid="{00000000-0005-0000-0000-0000B9040000}"/>
    <cellStyle name="Normal 10 3 2 2 3 2 3 3 2" xfId="1213" xr:uid="{00000000-0005-0000-0000-0000BA040000}"/>
    <cellStyle name="Normal 10 3 2 2 3 2 3 4" xfId="1214" xr:uid="{00000000-0005-0000-0000-0000BB040000}"/>
    <cellStyle name="Normal 10 3 2 2 3 2 4" xfId="1215" xr:uid="{00000000-0005-0000-0000-0000BC040000}"/>
    <cellStyle name="Normal 10 3 2 2 3 2 4 2" xfId="1216" xr:uid="{00000000-0005-0000-0000-0000BD040000}"/>
    <cellStyle name="Normal 10 3 2 2 3 2 4 2 2" xfId="1217" xr:uid="{00000000-0005-0000-0000-0000BE040000}"/>
    <cellStyle name="Normal 10 3 2 2 3 2 4 3" xfId="1218" xr:uid="{00000000-0005-0000-0000-0000BF040000}"/>
    <cellStyle name="Normal 10 3 2 2 3 2 5" xfId="1219" xr:uid="{00000000-0005-0000-0000-0000C0040000}"/>
    <cellStyle name="Normal 10 3 2 2 3 2 5 2" xfId="1220" xr:uid="{00000000-0005-0000-0000-0000C1040000}"/>
    <cellStyle name="Normal 10 3 2 2 3 2 6" xfId="1221" xr:uid="{00000000-0005-0000-0000-0000C2040000}"/>
    <cellStyle name="Normal 10 3 2 2 3 3" xfId="1222" xr:uid="{00000000-0005-0000-0000-0000C3040000}"/>
    <cellStyle name="Normal 10 3 2 2 3 3 2" xfId="1223" xr:uid="{00000000-0005-0000-0000-0000C4040000}"/>
    <cellStyle name="Normal 10 3 2 2 3 3 2 2" xfId="1224" xr:uid="{00000000-0005-0000-0000-0000C5040000}"/>
    <cellStyle name="Normal 10 3 2 2 3 3 2 2 2" xfId="1225" xr:uid="{00000000-0005-0000-0000-0000C6040000}"/>
    <cellStyle name="Normal 10 3 2 2 3 3 2 2 2 2" xfId="1226" xr:uid="{00000000-0005-0000-0000-0000C7040000}"/>
    <cellStyle name="Normal 10 3 2 2 3 3 2 2 3" xfId="1227" xr:uid="{00000000-0005-0000-0000-0000C8040000}"/>
    <cellStyle name="Normal 10 3 2 2 3 3 2 3" xfId="1228" xr:uid="{00000000-0005-0000-0000-0000C9040000}"/>
    <cellStyle name="Normal 10 3 2 2 3 3 2 3 2" xfId="1229" xr:uid="{00000000-0005-0000-0000-0000CA040000}"/>
    <cellStyle name="Normal 10 3 2 2 3 3 2 4" xfId="1230" xr:uid="{00000000-0005-0000-0000-0000CB040000}"/>
    <cellStyle name="Normal 10 3 2 2 3 3 3" xfId="1231" xr:uid="{00000000-0005-0000-0000-0000CC040000}"/>
    <cellStyle name="Normal 10 3 2 2 3 3 3 2" xfId="1232" xr:uid="{00000000-0005-0000-0000-0000CD040000}"/>
    <cellStyle name="Normal 10 3 2 2 3 3 3 2 2" xfId="1233" xr:uid="{00000000-0005-0000-0000-0000CE040000}"/>
    <cellStyle name="Normal 10 3 2 2 3 3 3 3" xfId="1234" xr:uid="{00000000-0005-0000-0000-0000CF040000}"/>
    <cellStyle name="Normal 10 3 2 2 3 3 4" xfId="1235" xr:uid="{00000000-0005-0000-0000-0000D0040000}"/>
    <cellStyle name="Normal 10 3 2 2 3 3 4 2" xfId="1236" xr:uid="{00000000-0005-0000-0000-0000D1040000}"/>
    <cellStyle name="Normal 10 3 2 2 3 3 5" xfId="1237" xr:uid="{00000000-0005-0000-0000-0000D2040000}"/>
    <cellStyle name="Normal 10 3 2 2 3 4" xfId="1238" xr:uid="{00000000-0005-0000-0000-0000D3040000}"/>
    <cellStyle name="Normal 10 3 2 2 3 4 2" xfId="1239" xr:uid="{00000000-0005-0000-0000-0000D4040000}"/>
    <cellStyle name="Normal 10 3 2 2 3 4 2 2" xfId="1240" xr:uid="{00000000-0005-0000-0000-0000D5040000}"/>
    <cellStyle name="Normal 10 3 2 2 3 4 2 2 2" xfId="1241" xr:uid="{00000000-0005-0000-0000-0000D6040000}"/>
    <cellStyle name="Normal 10 3 2 2 3 4 2 3" xfId="1242" xr:uid="{00000000-0005-0000-0000-0000D7040000}"/>
    <cellStyle name="Normal 10 3 2 2 3 4 3" xfId="1243" xr:uid="{00000000-0005-0000-0000-0000D8040000}"/>
    <cellStyle name="Normal 10 3 2 2 3 4 3 2" xfId="1244" xr:uid="{00000000-0005-0000-0000-0000D9040000}"/>
    <cellStyle name="Normal 10 3 2 2 3 4 4" xfId="1245" xr:uid="{00000000-0005-0000-0000-0000DA040000}"/>
    <cellStyle name="Normal 10 3 2 2 3 5" xfId="1246" xr:uid="{00000000-0005-0000-0000-0000DB040000}"/>
    <cellStyle name="Normal 10 3 2 2 3 5 2" xfId="1247" xr:uid="{00000000-0005-0000-0000-0000DC040000}"/>
    <cellStyle name="Normal 10 3 2 2 3 5 2 2" xfId="1248" xr:uid="{00000000-0005-0000-0000-0000DD040000}"/>
    <cellStyle name="Normal 10 3 2 2 3 5 3" xfId="1249" xr:uid="{00000000-0005-0000-0000-0000DE040000}"/>
    <cellStyle name="Normal 10 3 2 2 3 6" xfId="1250" xr:uid="{00000000-0005-0000-0000-0000DF040000}"/>
    <cellStyle name="Normal 10 3 2 2 3 6 2" xfId="1251" xr:uid="{00000000-0005-0000-0000-0000E0040000}"/>
    <cellStyle name="Normal 10 3 2 2 3 7" xfId="1252" xr:uid="{00000000-0005-0000-0000-0000E1040000}"/>
    <cellStyle name="Normal 10 3 2 2 4" xfId="1253" xr:uid="{00000000-0005-0000-0000-0000E2040000}"/>
    <cellStyle name="Normal 10 3 2 2 4 2" xfId="1254" xr:uid="{00000000-0005-0000-0000-0000E3040000}"/>
    <cellStyle name="Normal 10 3 2 2 4 2 2" xfId="1255" xr:uid="{00000000-0005-0000-0000-0000E4040000}"/>
    <cellStyle name="Normal 10 3 2 2 4 2 2 2" xfId="1256" xr:uid="{00000000-0005-0000-0000-0000E5040000}"/>
    <cellStyle name="Normal 10 3 2 2 4 2 2 2 2" xfId="1257" xr:uid="{00000000-0005-0000-0000-0000E6040000}"/>
    <cellStyle name="Normal 10 3 2 2 4 2 2 2 2 2" xfId="1258" xr:uid="{00000000-0005-0000-0000-0000E7040000}"/>
    <cellStyle name="Normal 10 3 2 2 4 2 2 2 3" xfId="1259" xr:uid="{00000000-0005-0000-0000-0000E8040000}"/>
    <cellStyle name="Normal 10 3 2 2 4 2 2 3" xfId="1260" xr:uid="{00000000-0005-0000-0000-0000E9040000}"/>
    <cellStyle name="Normal 10 3 2 2 4 2 2 3 2" xfId="1261" xr:uid="{00000000-0005-0000-0000-0000EA040000}"/>
    <cellStyle name="Normal 10 3 2 2 4 2 2 4" xfId="1262" xr:uid="{00000000-0005-0000-0000-0000EB040000}"/>
    <cellStyle name="Normal 10 3 2 2 4 2 3" xfId="1263" xr:uid="{00000000-0005-0000-0000-0000EC040000}"/>
    <cellStyle name="Normal 10 3 2 2 4 2 3 2" xfId="1264" xr:uid="{00000000-0005-0000-0000-0000ED040000}"/>
    <cellStyle name="Normal 10 3 2 2 4 2 3 2 2" xfId="1265" xr:uid="{00000000-0005-0000-0000-0000EE040000}"/>
    <cellStyle name="Normal 10 3 2 2 4 2 3 3" xfId="1266" xr:uid="{00000000-0005-0000-0000-0000EF040000}"/>
    <cellStyle name="Normal 10 3 2 2 4 2 4" xfId="1267" xr:uid="{00000000-0005-0000-0000-0000F0040000}"/>
    <cellStyle name="Normal 10 3 2 2 4 2 4 2" xfId="1268" xr:uid="{00000000-0005-0000-0000-0000F1040000}"/>
    <cellStyle name="Normal 10 3 2 2 4 2 5" xfId="1269" xr:uid="{00000000-0005-0000-0000-0000F2040000}"/>
    <cellStyle name="Normal 10 3 2 2 4 3" xfId="1270" xr:uid="{00000000-0005-0000-0000-0000F3040000}"/>
    <cellStyle name="Normal 10 3 2 2 4 3 2" xfId="1271" xr:uid="{00000000-0005-0000-0000-0000F4040000}"/>
    <cellStyle name="Normal 10 3 2 2 4 3 2 2" xfId="1272" xr:uid="{00000000-0005-0000-0000-0000F5040000}"/>
    <cellStyle name="Normal 10 3 2 2 4 3 2 2 2" xfId="1273" xr:uid="{00000000-0005-0000-0000-0000F6040000}"/>
    <cellStyle name="Normal 10 3 2 2 4 3 2 3" xfId="1274" xr:uid="{00000000-0005-0000-0000-0000F7040000}"/>
    <cellStyle name="Normal 10 3 2 2 4 3 3" xfId="1275" xr:uid="{00000000-0005-0000-0000-0000F8040000}"/>
    <cellStyle name="Normal 10 3 2 2 4 3 3 2" xfId="1276" xr:uid="{00000000-0005-0000-0000-0000F9040000}"/>
    <cellStyle name="Normal 10 3 2 2 4 3 4" xfId="1277" xr:uid="{00000000-0005-0000-0000-0000FA040000}"/>
    <cellStyle name="Normal 10 3 2 2 4 4" xfId="1278" xr:uid="{00000000-0005-0000-0000-0000FB040000}"/>
    <cellStyle name="Normal 10 3 2 2 4 4 2" xfId="1279" xr:uid="{00000000-0005-0000-0000-0000FC040000}"/>
    <cellStyle name="Normal 10 3 2 2 4 4 2 2" xfId="1280" xr:uid="{00000000-0005-0000-0000-0000FD040000}"/>
    <cellStyle name="Normal 10 3 2 2 4 4 3" xfId="1281" xr:uid="{00000000-0005-0000-0000-0000FE040000}"/>
    <cellStyle name="Normal 10 3 2 2 4 5" xfId="1282" xr:uid="{00000000-0005-0000-0000-0000FF040000}"/>
    <cellStyle name="Normal 10 3 2 2 4 5 2" xfId="1283" xr:uid="{00000000-0005-0000-0000-000000050000}"/>
    <cellStyle name="Normal 10 3 2 2 4 6" xfId="1284" xr:uid="{00000000-0005-0000-0000-000001050000}"/>
    <cellStyle name="Normal 10 3 2 2 5" xfId="1285" xr:uid="{00000000-0005-0000-0000-000002050000}"/>
    <cellStyle name="Normal 10 3 2 2 5 2" xfId="1286" xr:uid="{00000000-0005-0000-0000-000003050000}"/>
    <cellStyle name="Normal 10 3 2 2 5 2 2" xfId="1287" xr:uid="{00000000-0005-0000-0000-000004050000}"/>
    <cellStyle name="Normal 10 3 2 2 5 2 2 2" xfId="1288" xr:uid="{00000000-0005-0000-0000-000005050000}"/>
    <cellStyle name="Normal 10 3 2 2 5 2 2 2 2" xfId="1289" xr:uid="{00000000-0005-0000-0000-000006050000}"/>
    <cellStyle name="Normal 10 3 2 2 5 2 2 3" xfId="1290" xr:uid="{00000000-0005-0000-0000-000007050000}"/>
    <cellStyle name="Normal 10 3 2 2 5 2 3" xfId="1291" xr:uid="{00000000-0005-0000-0000-000008050000}"/>
    <cellStyle name="Normal 10 3 2 2 5 2 3 2" xfId="1292" xr:uid="{00000000-0005-0000-0000-000009050000}"/>
    <cellStyle name="Normal 10 3 2 2 5 2 4" xfId="1293" xr:uid="{00000000-0005-0000-0000-00000A050000}"/>
    <cellStyle name="Normal 10 3 2 2 5 3" xfId="1294" xr:uid="{00000000-0005-0000-0000-00000B050000}"/>
    <cellStyle name="Normal 10 3 2 2 5 3 2" xfId="1295" xr:uid="{00000000-0005-0000-0000-00000C050000}"/>
    <cellStyle name="Normal 10 3 2 2 5 3 2 2" xfId="1296" xr:uid="{00000000-0005-0000-0000-00000D050000}"/>
    <cellStyle name="Normal 10 3 2 2 5 3 3" xfId="1297" xr:uid="{00000000-0005-0000-0000-00000E050000}"/>
    <cellStyle name="Normal 10 3 2 2 5 4" xfId="1298" xr:uid="{00000000-0005-0000-0000-00000F050000}"/>
    <cellStyle name="Normal 10 3 2 2 5 4 2" xfId="1299" xr:uid="{00000000-0005-0000-0000-000010050000}"/>
    <cellStyle name="Normal 10 3 2 2 5 5" xfId="1300" xr:uid="{00000000-0005-0000-0000-000011050000}"/>
    <cellStyle name="Normal 10 3 2 2 6" xfId="1301" xr:uid="{00000000-0005-0000-0000-000012050000}"/>
    <cellStyle name="Normal 10 3 2 2 6 2" xfId="1302" xr:uid="{00000000-0005-0000-0000-000013050000}"/>
    <cellStyle name="Normal 10 3 2 2 6 2 2" xfId="1303" xr:uid="{00000000-0005-0000-0000-000014050000}"/>
    <cellStyle name="Normal 10 3 2 2 6 2 2 2" xfId="1304" xr:uid="{00000000-0005-0000-0000-000015050000}"/>
    <cellStyle name="Normal 10 3 2 2 6 2 3" xfId="1305" xr:uid="{00000000-0005-0000-0000-000016050000}"/>
    <cellStyle name="Normal 10 3 2 2 6 3" xfId="1306" xr:uid="{00000000-0005-0000-0000-000017050000}"/>
    <cellStyle name="Normal 10 3 2 2 6 3 2" xfId="1307" xr:uid="{00000000-0005-0000-0000-000018050000}"/>
    <cellStyle name="Normal 10 3 2 2 6 4" xfId="1308" xr:uid="{00000000-0005-0000-0000-000019050000}"/>
    <cellStyle name="Normal 10 3 2 2 7" xfId="1309" xr:uid="{00000000-0005-0000-0000-00001A050000}"/>
    <cellStyle name="Normal 10 3 2 2 7 2" xfId="1310" xr:uid="{00000000-0005-0000-0000-00001B050000}"/>
    <cellStyle name="Normal 10 3 2 2 7 2 2" xfId="1311" xr:uid="{00000000-0005-0000-0000-00001C050000}"/>
    <cellStyle name="Normal 10 3 2 2 7 3" xfId="1312" xr:uid="{00000000-0005-0000-0000-00001D050000}"/>
    <cellStyle name="Normal 10 3 2 2 8" xfId="1313" xr:uid="{00000000-0005-0000-0000-00001E050000}"/>
    <cellStyle name="Normal 10 3 2 2 8 2" xfId="1314" xr:uid="{00000000-0005-0000-0000-00001F050000}"/>
    <cellStyle name="Normal 10 3 2 2 9" xfId="1315" xr:uid="{00000000-0005-0000-0000-000020050000}"/>
    <cellStyle name="Normal 10 3 2 3" xfId="1316" xr:uid="{00000000-0005-0000-0000-000021050000}"/>
    <cellStyle name="Normal 10 3 2 3 2" xfId="1317" xr:uid="{00000000-0005-0000-0000-000022050000}"/>
    <cellStyle name="Normal 10 3 2 3 2 2" xfId="1318" xr:uid="{00000000-0005-0000-0000-000023050000}"/>
    <cellStyle name="Normal 10 3 2 3 2 2 2" xfId="1319" xr:uid="{00000000-0005-0000-0000-000024050000}"/>
    <cellStyle name="Normal 10 3 2 3 2 2 2 2" xfId="1320" xr:uid="{00000000-0005-0000-0000-000025050000}"/>
    <cellStyle name="Normal 10 3 2 3 2 2 2 2 2" xfId="1321" xr:uid="{00000000-0005-0000-0000-000026050000}"/>
    <cellStyle name="Normal 10 3 2 3 2 2 2 2 2 2" xfId="1322" xr:uid="{00000000-0005-0000-0000-000027050000}"/>
    <cellStyle name="Normal 10 3 2 3 2 2 2 2 2 2 2" xfId="1323" xr:uid="{00000000-0005-0000-0000-000028050000}"/>
    <cellStyle name="Normal 10 3 2 3 2 2 2 2 2 3" xfId="1324" xr:uid="{00000000-0005-0000-0000-000029050000}"/>
    <cellStyle name="Normal 10 3 2 3 2 2 2 2 3" xfId="1325" xr:uid="{00000000-0005-0000-0000-00002A050000}"/>
    <cellStyle name="Normal 10 3 2 3 2 2 2 2 3 2" xfId="1326" xr:uid="{00000000-0005-0000-0000-00002B050000}"/>
    <cellStyle name="Normal 10 3 2 3 2 2 2 2 4" xfId="1327" xr:uid="{00000000-0005-0000-0000-00002C050000}"/>
    <cellStyle name="Normal 10 3 2 3 2 2 2 3" xfId="1328" xr:uid="{00000000-0005-0000-0000-00002D050000}"/>
    <cellStyle name="Normal 10 3 2 3 2 2 2 3 2" xfId="1329" xr:uid="{00000000-0005-0000-0000-00002E050000}"/>
    <cellStyle name="Normal 10 3 2 3 2 2 2 3 2 2" xfId="1330" xr:uid="{00000000-0005-0000-0000-00002F050000}"/>
    <cellStyle name="Normal 10 3 2 3 2 2 2 3 3" xfId="1331" xr:uid="{00000000-0005-0000-0000-000030050000}"/>
    <cellStyle name="Normal 10 3 2 3 2 2 2 4" xfId="1332" xr:uid="{00000000-0005-0000-0000-000031050000}"/>
    <cellStyle name="Normal 10 3 2 3 2 2 2 4 2" xfId="1333" xr:uid="{00000000-0005-0000-0000-000032050000}"/>
    <cellStyle name="Normal 10 3 2 3 2 2 2 5" xfId="1334" xr:uid="{00000000-0005-0000-0000-000033050000}"/>
    <cellStyle name="Normal 10 3 2 3 2 2 3" xfId="1335" xr:uid="{00000000-0005-0000-0000-000034050000}"/>
    <cellStyle name="Normal 10 3 2 3 2 2 3 2" xfId="1336" xr:uid="{00000000-0005-0000-0000-000035050000}"/>
    <cellStyle name="Normal 10 3 2 3 2 2 3 2 2" xfId="1337" xr:uid="{00000000-0005-0000-0000-000036050000}"/>
    <cellStyle name="Normal 10 3 2 3 2 2 3 2 2 2" xfId="1338" xr:uid="{00000000-0005-0000-0000-000037050000}"/>
    <cellStyle name="Normal 10 3 2 3 2 2 3 2 3" xfId="1339" xr:uid="{00000000-0005-0000-0000-000038050000}"/>
    <cellStyle name="Normal 10 3 2 3 2 2 3 3" xfId="1340" xr:uid="{00000000-0005-0000-0000-000039050000}"/>
    <cellStyle name="Normal 10 3 2 3 2 2 3 3 2" xfId="1341" xr:uid="{00000000-0005-0000-0000-00003A050000}"/>
    <cellStyle name="Normal 10 3 2 3 2 2 3 4" xfId="1342" xr:uid="{00000000-0005-0000-0000-00003B050000}"/>
    <cellStyle name="Normal 10 3 2 3 2 2 4" xfId="1343" xr:uid="{00000000-0005-0000-0000-00003C050000}"/>
    <cellStyle name="Normal 10 3 2 3 2 2 4 2" xfId="1344" xr:uid="{00000000-0005-0000-0000-00003D050000}"/>
    <cellStyle name="Normal 10 3 2 3 2 2 4 2 2" xfId="1345" xr:uid="{00000000-0005-0000-0000-00003E050000}"/>
    <cellStyle name="Normal 10 3 2 3 2 2 4 3" xfId="1346" xr:uid="{00000000-0005-0000-0000-00003F050000}"/>
    <cellStyle name="Normal 10 3 2 3 2 2 5" xfId="1347" xr:uid="{00000000-0005-0000-0000-000040050000}"/>
    <cellStyle name="Normal 10 3 2 3 2 2 5 2" xfId="1348" xr:uid="{00000000-0005-0000-0000-000041050000}"/>
    <cellStyle name="Normal 10 3 2 3 2 2 6" xfId="1349" xr:uid="{00000000-0005-0000-0000-000042050000}"/>
    <cellStyle name="Normal 10 3 2 3 2 3" xfId="1350" xr:uid="{00000000-0005-0000-0000-000043050000}"/>
    <cellStyle name="Normal 10 3 2 3 2 3 2" xfId="1351" xr:uid="{00000000-0005-0000-0000-000044050000}"/>
    <cellStyle name="Normal 10 3 2 3 2 3 2 2" xfId="1352" xr:uid="{00000000-0005-0000-0000-000045050000}"/>
    <cellStyle name="Normal 10 3 2 3 2 3 2 2 2" xfId="1353" xr:uid="{00000000-0005-0000-0000-000046050000}"/>
    <cellStyle name="Normal 10 3 2 3 2 3 2 2 2 2" xfId="1354" xr:uid="{00000000-0005-0000-0000-000047050000}"/>
    <cellStyle name="Normal 10 3 2 3 2 3 2 2 3" xfId="1355" xr:uid="{00000000-0005-0000-0000-000048050000}"/>
    <cellStyle name="Normal 10 3 2 3 2 3 2 3" xfId="1356" xr:uid="{00000000-0005-0000-0000-000049050000}"/>
    <cellStyle name="Normal 10 3 2 3 2 3 2 3 2" xfId="1357" xr:uid="{00000000-0005-0000-0000-00004A050000}"/>
    <cellStyle name="Normal 10 3 2 3 2 3 2 4" xfId="1358" xr:uid="{00000000-0005-0000-0000-00004B050000}"/>
    <cellStyle name="Normal 10 3 2 3 2 3 3" xfId="1359" xr:uid="{00000000-0005-0000-0000-00004C050000}"/>
    <cellStyle name="Normal 10 3 2 3 2 3 3 2" xfId="1360" xr:uid="{00000000-0005-0000-0000-00004D050000}"/>
    <cellStyle name="Normal 10 3 2 3 2 3 3 2 2" xfId="1361" xr:uid="{00000000-0005-0000-0000-00004E050000}"/>
    <cellStyle name="Normal 10 3 2 3 2 3 3 3" xfId="1362" xr:uid="{00000000-0005-0000-0000-00004F050000}"/>
    <cellStyle name="Normal 10 3 2 3 2 3 4" xfId="1363" xr:uid="{00000000-0005-0000-0000-000050050000}"/>
    <cellStyle name="Normal 10 3 2 3 2 3 4 2" xfId="1364" xr:uid="{00000000-0005-0000-0000-000051050000}"/>
    <cellStyle name="Normal 10 3 2 3 2 3 5" xfId="1365" xr:uid="{00000000-0005-0000-0000-000052050000}"/>
    <cellStyle name="Normal 10 3 2 3 2 4" xfId="1366" xr:uid="{00000000-0005-0000-0000-000053050000}"/>
    <cellStyle name="Normal 10 3 2 3 2 4 2" xfId="1367" xr:uid="{00000000-0005-0000-0000-000054050000}"/>
    <cellStyle name="Normal 10 3 2 3 2 4 2 2" xfId="1368" xr:uid="{00000000-0005-0000-0000-000055050000}"/>
    <cellStyle name="Normal 10 3 2 3 2 4 2 2 2" xfId="1369" xr:uid="{00000000-0005-0000-0000-000056050000}"/>
    <cellStyle name="Normal 10 3 2 3 2 4 2 3" xfId="1370" xr:uid="{00000000-0005-0000-0000-000057050000}"/>
    <cellStyle name="Normal 10 3 2 3 2 4 3" xfId="1371" xr:uid="{00000000-0005-0000-0000-000058050000}"/>
    <cellStyle name="Normal 10 3 2 3 2 4 3 2" xfId="1372" xr:uid="{00000000-0005-0000-0000-000059050000}"/>
    <cellStyle name="Normal 10 3 2 3 2 4 4" xfId="1373" xr:uid="{00000000-0005-0000-0000-00005A050000}"/>
    <cellStyle name="Normal 10 3 2 3 2 5" xfId="1374" xr:uid="{00000000-0005-0000-0000-00005B050000}"/>
    <cellStyle name="Normal 10 3 2 3 2 5 2" xfId="1375" xr:uid="{00000000-0005-0000-0000-00005C050000}"/>
    <cellStyle name="Normal 10 3 2 3 2 5 2 2" xfId="1376" xr:uid="{00000000-0005-0000-0000-00005D050000}"/>
    <cellStyle name="Normal 10 3 2 3 2 5 3" xfId="1377" xr:uid="{00000000-0005-0000-0000-00005E050000}"/>
    <cellStyle name="Normal 10 3 2 3 2 6" xfId="1378" xr:uid="{00000000-0005-0000-0000-00005F050000}"/>
    <cellStyle name="Normal 10 3 2 3 2 6 2" xfId="1379" xr:uid="{00000000-0005-0000-0000-000060050000}"/>
    <cellStyle name="Normal 10 3 2 3 2 7" xfId="1380" xr:uid="{00000000-0005-0000-0000-000061050000}"/>
    <cellStyle name="Normal 10 3 2 3 3" xfId="1381" xr:uid="{00000000-0005-0000-0000-000062050000}"/>
    <cellStyle name="Normal 10 3 2 3 3 2" xfId="1382" xr:uid="{00000000-0005-0000-0000-000063050000}"/>
    <cellStyle name="Normal 10 3 2 3 3 2 2" xfId="1383" xr:uid="{00000000-0005-0000-0000-000064050000}"/>
    <cellStyle name="Normal 10 3 2 3 3 2 2 2" xfId="1384" xr:uid="{00000000-0005-0000-0000-000065050000}"/>
    <cellStyle name="Normal 10 3 2 3 3 2 2 2 2" xfId="1385" xr:uid="{00000000-0005-0000-0000-000066050000}"/>
    <cellStyle name="Normal 10 3 2 3 3 2 2 2 2 2" xfId="1386" xr:uid="{00000000-0005-0000-0000-000067050000}"/>
    <cellStyle name="Normal 10 3 2 3 3 2 2 2 3" xfId="1387" xr:uid="{00000000-0005-0000-0000-000068050000}"/>
    <cellStyle name="Normal 10 3 2 3 3 2 2 3" xfId="1388" xr:uid="{00000000-0005-0000-0000-000069050000}"/>
    <cellStyle name="Normal 10 3 2 3 3 2 2 3 2" xfId="1389" xr:uid="{00000000-0005-0000-0000-00006A050000}"/>
    <cellStyle name="Normal 10 3 2 3 3 2 2 4" xfId="1390" xr:uid="{00000000-0005-0000-0000-00006B050000}"/>
    <cellStyle name="Normal 10 3 2 3 3 2 3" xfId="1391" xr:uid="{00000000-0005-0000-0000-00006C050000}"/>
    <cellStyle name="Normal 10 3 2 3 3 2 3 2" xfId="1392" xr:uid="{00000000-0005-0000-0000-00006D050000}"/>
    <cellStyle name="Normal 10 3 2 3 3 2 3 2 2" xfId="1393" xr:uid="{00000000-0005-0000-0000-00006E050000}"/>
    <cellStyle name="Normal 10 3 2 3 3 2 3 3" xfId="1394" xr:uid="{00000000-0005-0000-0000-00006F050000}"/>
    <cellStyle name="Normal 10 3 2 3 3 2 4" xfId="1395" xr:uid="{00000000-0005-0000-0000-000070050000}"/>
    <cellStyle name="Normal 10 3 2 3 3 2 4 2" xfId="1396" xr:uid="{00000000-0005-0000-0000-000071050000}"/>
    <cellStyle name="Normal 10 3 2 3 3 2 5" xfId="1397" xr:uid="{00000000-0005-0000-0000-000072050000}"/>
    <cellStyle name="Normal 10 3 2 3 3 3" xfId="1398" xr:uid="{00000000-0005-0000-0000-000073050000}"/>
    <cellStyle name="Normal 10 3 2 3 3 3 2" xfId="1399" xr:uid="{00000000-0005-0000-0000-000074050000}"/>
    <cellStyle name="Normal 10 3 2 3 3 3 2 2" xfId="1400" xr:uid="{00000000-0005-0000-0000-000075050000}"/>
    <cellStyle name="Normal 10 3 2 3 3 3 2 2 2" xfId="1401" xr:uid="{00000000-0005-0000-0000-000076050000}"/>
    <cellStyle name="Normal 10 3 2 3 3 3 2 3" xfId="1402" xr:uid="{00000000-0005-0000-0000-000077050000}"/>
    <cellStyle name="Normal 10 3 2 3 3 3 3" xfId="1403" xr:uid="{00000000-0005-0000-0000-000078050000}"/>
    <cellStyle name="Normal 10 3 2 3 3 3 3 2" xfId="1404" xr:uid="{00000000-0005-0000-0000-000079050000}"/>
    <cellStyle name="Normal 10 3 2 3 3 3 4" xfId="1405" xr:uid="{00000000-0005-0000-0000-00007A050000}"/>
    <cellStyle name="Normal 10 3 2 3 3 4" xfId="1406" xr:uid="{00000000-0005-0000-0000-00007B050000}"/>
    <cellStyle name="Normal 10 3 2 3 3 4 2" xfId="1407" xr:uid="{00000000-0005-0000-0000-00007C050000}"/>
    <cellStyle name="Normal 10 3 2 3 3 4 2 2" xfId="1408" xr:uid="{00000000-0005-0000-0000-00007D050000}"/>
    <cellStyle name="Normal 10 3 2 3 3 4 3" xfId="1409" xr:uid="{00000000-0005-0000-0000-00007E050000}"/>
    <cellStyle name="Normal 10 3 2 3 3 5" xfId="1410" xr:uid="{00000000-0005-0000-0000-00007F050000}"/>
    <cellStyle name="Normal 10 3 2 3 3 5 2" xfId="1411" xr:uid="{00000000-0005-0000-0000-000080050000}"/>
    <cellStyle name="Normal 10 3 2 3 3 6" xfId="1412" xr:uid="{00000000-0005-0000-0000-000081050000}"/>
    <cellStyle name="Normal 10 3 2 3 4" xfId="1413" xr:uid="{00000000-0005-0000-0000-000082050000}"/>
    <cellStyle name="Normal 10 3 2 3 4 2" xfId="1414" xr:uid="{00000000-0005-0000-0000-000083050000}"/>
    <cellStyle name="Normal 10 3 2 3 4 2 2" xfId="1415" xr:uid="{00000000-0005-0000-0000-000084050000}"/>
    <cellStyle name="Normal 10 3 2 3 4 2 2 2" xfId="1416" xr:uid="{00000000-0005-0000-0000-000085050000}"/>
    <cellStyle name="Normal 10 3 2 3 4 2 2 2 2" xfId="1417" xr:uid="{00000000-0005-0000-0000-000086050000}"/>
    <cellStyle name="Normal 10 3 2 3 4 2 2 3" xfId="1418" xr:uid="{00000000-0005-0000-0000-000087050000}"/>
    <cellStyle name="Normal 10 3 2 3 4 2 3" xfId="1419" xr:uid="{00000000-0005-0000-0000-000088050000}"/>
    <cellStyle name="Normal 10 3 2 3 4 2 3 2" xfId="1420" xr:uid="{00000000-0005-0000-0000-000089050000}"/>
    <cellStyle name="Normal 10 3 2 3 4 2 4" xfId="1421" xr:uid="{00000000-0005-0000-0000-00008A050000}"/>
    <cellStyle name="Normal 10 3 2 3 4 3" xfId="1422" xr:uid="{00000000-0005-0000-0000-00008B050000}"/>
    <cellStyle name="Normal 10 3 2 3 4 3 2" xfId="1423" xr:uid="{00000000-0005-0000-0000-00008C050000}"/>
    <cellStyle name="Normal 10 3 2 3 4 3 2 2" xfId="1424" xr:uid="{00000000-0005-0000-0000-00008D050000}"/>
    <cellStyle name="Normal 10 3 2 3 4 3 3" xfId="1425" xr:uid="{00000000-0005-0000-0000-00008E050000}"/>
    <cellStyle name="Normal 10 3 2 3 4 4" xfId="1426" xr:uid="{00000000-0005-0000-0000-00008F050000}"/>
    <cellStyle name="Normal 10 3 2 3 4 4 2" xfId="1427" xr:uid="{00000000-0005-0000-0000-000090050000}"/>
    <cellStyle name="Normal 10 3 2 3 4 5" xfId="1428" xr:uid="{00000000-0005-0000-0000-000091050000}"/>
    <cellStyle name="Normal 10 3 2 3 5" xfId="1429" xr:uid="{00000000-0005-0000-0000-000092050000}"/>
    <cellStyle name="Normal 10 3 2 3 5 2" xfId="1430" xr:uid="{00000000-0005-0000-0000-000093050000}"/>
    <cellStyle name="Normal 10 3 2 3 5 2 2" xfId="1431" xr:uid="{00000000-0005-0000-0000-000094050000}"/>
    <cellStyle name="Normal 10 3 2 3 5 2 2 2" xfId="1432" xr:uid="{00000000-0005-0000-0000-000095050000}"/>
    <cellStyle name="Normal 10 3 2 3 5 2 3" xfId="1433" xr:uid="{00000000-0005-0000-0000-000096050000}"/>
    <cellStyle name="Normal 10 3 2 3 5 3" xfId="1434" xr:uid="{00000000-0005-0000-0000-000097050000}"/>
    <cellStyle name="Normal 10 3 2 3 5 3 2" xfId="1435" xr:uid="{00000000-0005-0000-0000-000098050000}"/>
    <cellStyle name="Normal 10 3 2 3 5 4" xfId="1436" xr:uid="{00000000-0005-0000-0000-000099050000}"/>
    <cellStyle name="Normal 10 3 2 3 6" xfId="1437" xr:uid="{00000000-0005-0000-0000-00009A050000}"/>
    <cellStyle name="Normal 10 3 2 3 6 2" xfId="1438" xr:uid="{00000000-0005-0000-0000-00009B050000}"/>
    <cellStyle name="Normal 10 3 2 3 6 2 2" xfId="1439" xr:uid="{00000000-0005-0000-0000-00009C050000}"/>
    <cellStyle name="Normal 10 3 2 3 6 3" xfId="1440" xr:uid="{00000000-0005-0000-0000-00009D050000}"/>
    <cellStyle name="Normal 10 3 2 3 7" xfId="1441" xr:uid="{00000000-0005-0000-0000-00009E050000}"/>
    <cellStyle name="Normal 10 3 2 3 7 2" xfId="1442" xr:uid="{00000000-0005-0000-0000-00009F050000}"/>
    <cellStyle name="Normal 10 3 2 3 8" xfId="1443" xr:uid="{00000000-0005-0000-0000-0000A0050000}"/>
    <cellStyle name="Normal 10 3 2 4" xfId="1444" xr:uid="{00000000-0005-0000-0000-0000A1050000}"/>
    <cellStyle name="Normal 10 3 2 4 2" xfId="1445" xr:uid="{00000000-0005-0000-0000-0000A2050000}"/>
    <cellStyle name="Normal 10 3 2 4 2 2" xfId="1446" xr:uid="{00000000-0005-0000-0000-0000A3050000}"/>
    <cellStyle name="Normal 10 3 2 4 2 2 2" xfId="1447" xr:uid="{00000000-0005-0000-0000-0000A4050000}"/>
    <cellStyle name="Normal 10 3 2 4 2 2 2 2" xfId="1448" xr:uid="{00000000-0005-0000-0000-0000A5050000}"/>
    <cellStyle name="Normal 10 3 2 4 2 2 2 2 2" xfId="1449" xr:uid="{00000000-0005-0000-0000-0000A6050000}"/>
    <cellStyle name="Normal 10 3 2 4 2 2 2 2 2 2" xfId="1450" xr:uid="{00000000-0005-0000-0000-0000A7050000}"/>
    <cellStyle name="Normal 10 3 2 4 2 2 2 2 3" xfId="1451" xr:uid="{00000000-0005-0000-0000-0000A8050000}"/>
    <cellStyle name="Normal 10 3 2 4 2 2 2 3" xfId="1452" xr:uid="{00000000-0005-0000-0000-0000A9050000}"/>
    <cellStyle name="Normal 10 3 2 4 2 2 2 3 2" xfId="1453" xr:uid="{00000000-0005-0000-0000-0000AA050000}"/>
    <cellStyle name="Normal 10 3 2 4 2 2 2 4" xfId="1454" xr:uid="{00000000-0005-0000-0000-0000AB050000}"/>
    <cellStyle name="Normal 10 3 2 4 2 2 3" xfId="1455" xr:uid="{00000000-0005-0000-0000-0000AC050000}"/>
    <cellStyle name="Normal 10 3 2 4 2 2 3 2" xfId="1456" xr:uid="{00000000-0005-0000-0000-0000AD050000}"/>
    <cellStyle name="Normal 10 3 2 4 2 2 3 2 2" xfId="1457" xr:uid="{00000000-0005-0000-0000-0000AE050000}"/>
    <cellStyle name="Normal 10 3 2 4 2 2 3 3" xfId="1458" xr:uid="{00000000-0005-0000-0000-0000AF050000}"/>
    <cellStyle name="Normal 10 3 2 4 2 2 4" xfId="1459" xr:uid="{00000000-0005-0000-0000-0000B0050000}"/>
    <cellStyle name="Normal 10 3 2 4 2 2 4 2" xfId="1460" xr:uid="{00000000-0005-0000-0000-0000B1050000}"/>
    <cellStyle name="Normal 10 3 2 4 2 2 5" xfId="1461" xr:uid="{00000000-0005-0000-0000-0000B2050000}"/>
    <cellStyle name="Normal 10 3 2 4 2 3" xfId="1462" xr:uid="{00000000-0005-0000-0000-0000B3050000}"/>
    <cellStyle name="Normal 10 3 2 4 2 3 2" xfId="1463" xr:uid="{00000000-0005-0000-0000-0000B4050000}"/>
    <cellStyle name="Normal 10 3 2 4 2 3 2 2" xfId="1464" xr:uid="{00000000-0005-0000-0000-0000B5050000}"/>
    <cellStyle name="Normal 10 3 2 4 2 3 2 2 2" xfId="1465" xr:uid="{00000000-0005-0000-0000-0000B6050000}"/>
    <cellStyle name="Normal 10 3 2 4 2 3 2 3" xfId="1466" xr:uid="{00000000-0005-0000-0000-0000B7050000}"/>
    <cellStyle name="Normal 10 3 2 4 2 3 3" xfId="1467" xr:uid="{00000000-0005-0000-0000-0000B8050000}"/>
    <cellStyle name="Normal 10 3 2 4 2 3 3 2" xfId="1468" xr:uid="{00000000-0005-0000-0000-0000B9050000}"/>
    <cellStyle name="Normal 10 3 2 4 2 3 4" xfId="1469" xr:uid="{00000000-0005-0000-0000-0000BA050000}"/>
    <cellStyle name="Normal 10 3 2 4 2 4" xfId="1470" xr:uid="{00000000-0005-0000-0000-0000BB050000}"/>
    <cellStyle name="Normal 10 3 2 4 2 4 2" xfId="1471" xr:uid="{00000000-0005-0000-0000-0000BC050000}"/>
    <cellStyle name="Normal 10 3 2 4 2 4 2 2" xfId="1472" xr:uid="{00000000-0005-0000-0000-0000BD050000}"/>
    <cellStyle name="Normal 10 3 2 4 2 4 3" xfId="1473" xr:uid="{00000000-0005-0000-0000-0000BE050000}"/>
    <cellStyle name="Normal 10 3 2 4 2 5" xfId="1474" xr:uid="{00000000-0005-0000-0000-0000BF050000}"/>
    <cellStyle name="Normal 10 3 2 4 2 5 2" xfId="1475" xr:uid="{00000000-0005-0000-0000-0000C0050000}"/>
    <cellStyle name="Normal 10 3 2 4 2 6" xfId="1476" xr:uid="{00000000-0005-0000-0000-0000C1050000}"/>
    <cellStyle name="Normal 10 3 2 4 3" xfId="1477" xr:uid="{00000000-0005-0000-0000-0000C2050000}"/>
    <cellStyle name="Normal 10 3 2 4 3 2" xfId="1478" xr:uid="{00000000-0005-0000-0000-0000C3050000}"/>
    <cellStyle name="Normal 10 3 2 4 3 2 2" xfId="1479" xr:uid="{00000000-0005-0000-0000-0000C4050000}"/>
    <cellStyle name="Normal 10 3 2 4 3 2 2 2" xfId="1480" xr:uid="{00000000-0005-0000-0000-0000C5050000}"/>
    <cellStyle name="Normal 10 3 2 4 3 2 2 2 2" xfId="1481" xr:uid="{00000000-0005-0000-0000-0000C6050000}"/>
    <cellStyle name="Normal 10 3 2 4 3 2 2 3" xfId="1482" xr:uid="{00000000-0005-0000-0000-0000C7050000}"/>
    <cellStyle name="Normal 10 3 2 4 3 2 3" xfId="1483" xr:uid="{00000000-0005-0000-0000-0000C8050000}"/>
    <cellStyle name="Normal 10 3 2 4 3 2 3 2" xfId="1484" xr:uid="{00000000-0005-0000-0000-0000C9050000}"/>
    <cellStyle name="Normal 10 3 2 4 3 2 4" xfId="1485" xr:uid="{00000000-0005-0000-0000-0000CA050000}"/>
    <cellStyle name="Normal 10 3 2 4 3 3" xfId="1486" xr:uid="{00000000-0005-0000-0000-0000CB050000}"/>
    <cellStyle name="Normal 10 3 2 4 3 3 2" xfId="1487" xr:uid="{00000000-0005-0000-0000-0000CC050000}"/>
    <cellStyle name="Normal 10 3 2 4 3 3 2 2" xfId="1488" xr:uid="{00000000-0005-0000-0000-0000CD050000}"/>
    <cellStyle name="Normal 10 3 2 4 3 3 3" xfId="1489" xr:uid="{00000000-0005-0000-0000-0000CE050000}"/>
    <cellStyle name="Normal 10 3 2 4 3 4" xfId="1490" xr:uid="{00000000-0005-0000-0000-0000CF050000}"/>
    <cellStyle name="Normal 10 3 2 4 3 4 2" xfId="1491" xr:uid="{00000000-0005-0000-0000-0000D0050000}"/>
    <cellStyle name="Normal 10 3 2 4 3 5" xfId="1492" xr:uid="{00000000-0005-0000-0000-0000D1050000}"/>
    <cellStyle name="Normal 10 3 2 4 4" xfId="1493" xr:uid="{00000000-0005-0000-0000-0000D2050000}"/>
    <cellStyle name="Normal 10 3 2 4 4 2" xfId="1494" xr:uid="{00000000-0005-0000-0000-0000D3050000}"/>
    <cellStyle name="Normal 10 3 2 4 4 2 2" xfId="1495" xr:uid="{00000000-0005-0000-0000-0000D4050000}"/>
    <cellStyle name="Normal 10 3 2 4 4 2 2 2" xfId="1496" xr:uid="{00000000-0005-0000-0000-0000D5050000}"/>
    <cellStyle name="Normal 10 3 2 4 4 2 3" xfId="1497" xr:uid="{00000000-0005-0000-0000-0000D6050000}"/>
    <cellStyle name="Normal 10 3 2 4 4 3" xfId="1498" xr:uid="{00000000-0005-0000-0000-0000D7050000}"/>
    <cellStyle name="Normal 10 3 2 4 4 3 2" xfId="1499" xr:uid="{00000000-0005-0000-0000-0000D8050000}"/>
    <cellStyle name="Normal 10 3 2 4 4 4" xfId="1500" xr:uid="{00000000-0005-0000-0000-0000D9050000}"/>
    <cellStyle name="Normal 10 3 2 4 5" xfId="1501" xr:uid="{00000000-0005-0000-0000-0000DA050000}"/>
    <cellStyle name="Normal 10 3 2 4 5 2" xfId="1502" xr:uid="{00000000-0005-0000-0000-0000DB050000}"/>
    <cellStyle name="Normal 10 3 2 4 5 2 2" xfId="1503" xr:uid="{00000000-0005-0000-0000-0000DC050000}"/>
    <cellStyle name="Normal 10 3 2 4 5 3" xfId="1504" xr:uid="{00000000-0005-0000-0000-0000DD050000}"/>
    <cellStyle name="Normal 10 3 2 4 6" xfId="1505" xr:uid="{00000000-0005-0000-0000-0000DE050000}"/>
    <cellStyle name="Normal 10 3 2 4 6 2" xfId="1506" xr:uid="{00000000-0005-0000-0000-0000DF050000}"/>
    <cellStyle name="Normal 10 3 2 4 7" xfId="1507" xr:uid="{00000000-0005-0000-0000-0000E0050000}"/>
    <cellStyle name="Normal 10 3 2 5" xfId="1508" xr:uid="{00000000-0005-0000-0000-0000E1050000}"/>
    <cellStyle name="Normal 10 3 2 5 2" xfId="1509" xr:uid="{00000000-0005-0000-0000-0000E2050000}"/>
    <cellStyle name="Normal 10 3 2 5 2 2" xfId="1510" xr:uid="{00000000-0005-0000-0000-0000E3050000}"/>
    <cellStyle name="Normal 10 3 2 5 2 2 2" xfId="1511" xr:uid="{00000000-0005-0000-0000-0000E4050000}"/>
    <cellStyle name="Normal 10 3 2 5 2 2 2 2" xfId="1512" xr:uid="{00000000-0005-0000-0000-0000E5050000}"/>
    <cellStyle name="Normal 10 3 2 5 2 2 2 2 2" xfId="1513" xr:uid="{00000000-0005-0000-0000-0000E6050000}"/>
    <cellStyle name="Normal 10 3 2 5 2 2 2 3" xfId="1514" xr:uid="{00000000-0005-0000-0000-0000E7050000}"/>
    <cellStyle name="Normal 10 3 2 5 2 2 3" xfId="1515" xr:uid="{00000000-0005-0000-0000-0000E8050000}"/>
    <cellStyle name="Normal 10 3 2 5 2 2 3 2" xfId="1516" xr:uid="{00000000-0005-0000-0000-0000E9050000}"/>
    <cellStyle name="Normal 10 3 2 5 2 2 4" xfId="1517" xr:uid="{00000000-0005-0000-0000-0000EA050000}"/>
    <cellStyle name="Normal 10 3 2 5 2 3" xfId="1518" xr:uid="{00000000-0005-0000-0000-0000EB050000}"/>
    <cellStyle name="Normal 10 3 2 5 2 3 2" xfId="1519" xr:uid="{00000000-0005-0000-0000-0000EC050000}"/>
    <cellStyle name="Normal 10 3 2 5 2 3 2 2" xfId="1520" xr:uid="{00000000-0005-0000-0000-0000ED050000}"/>
    <cellStyle name="Normal 10 3 2 5 2 3 3" xfId="1521" xr:uid="{00000000-0005-0000-0000-0000EE050000}"/>
    <cellStyle name="Normal 10 3 2 5 2 4" xfId="1522" xr:uid="{00000000-0005-0000-0000-0000EF050000}"/>
    <cellStyle name="Normal 10 3 2 5 2 4 2" xfId="1523" xr:uid="{00000000-0005-0000-0000-0000F0050000}"/>
    <cellStyle name="Normal 10 3 2 5 2 5" xfId="1524" xr:uid="{00000000-0005-0000-0000-0000F1050000}"/>
    <cellStyle name="Normal 10 3 2 5 3" xfId="1525" xr:uid="{00000000-0005-0000-0000-0000F2050000}"/>
    <cellStyle name="Normal 10 3 2 5 3 2" xfId="1526" xr:uid="{00000000-0005-0000-0000-0000F3050000}"/>
    <cellStyle name="Normal 10 3 2 5 3 2 2" xfId="1527" xr:uid="{00000000-0005-0000-0000-0000F4050000}"/>
    <cellStyle name="Normal 10 3 2 5 3 2 2 2" xfId="1528" xr:uid="{00000000-0005-0000-0000-0000F5050000}"/>
    <cellStyle name="Normal 10 3 2 5 3 2 3" xfId="1529" xr:uid="{00000000-0005-0000-0000-0000F6050000}"/>
    <cellStyle name="Normal 10 3 2 5 3 3" xfId="1530" xr:uid="{00000000-0005-0000-0000-0000F7050000}"/>
    <cellStyle name="Normal 10 3 2 5 3 3 2" xfId="1531" xr:uid="{00000000-0005-0000-0000-0000F8050000}"/>
    <cellStyle name="Normal 10 3 2 5 3 4" xfId="1532" xr:uid="{00000000-0005-0000-0000-0000F9050000}"/>
    <cellStyle name="Normal 10 3 2 5 4" xfId="1533" xr:uid="{00000000-0005-0000-0000-0000FA050000}"/>
    <cellStyle name="Normal 10 3 2 5 4 2" xfId="1534" xr:uid="{00000000-0005-0000-0000-0000FB050000}"/>
    <cellStyle name="Normal 10 3 2 5 4 2 2" xfId="1535" xr:uid="{00000000-0005-0000-0000-0000FC050000}"/>
    <cellStyle name="Normal 10 3 2 5 4 3" xfId="1536" xr:uid="{00000000-0005-0000-0000-0000FD050000}"/>
    <cellStyle name="Normal 10 3 2 5 5" xfId="1537" xr:uid="{00000000-0005-0000-0000-0000FE050000}"/>
    <cellStyle name="Normal 10 3 2 5 5 2" xfId="1538" xr:uid="{00000000-0005-0000-0000-0000FF050000}"/>
    <cellStyle name="Normal 10 3 2 5 6" xfId="1539" xr:uid="{00000000-0005-0000-0000-000000060000}"/>
    <cellStyle name="Normal 10 3 2 6" xfId="1540" xr:uid="{00000000-0005-0000-0000-000001060000}"/>
    <cellStyle name="Normal 10 3 2 6 2" xfId="1541" xr:uid="{00000000-0005-0000-0000-000002060000}"/>
    <cellStyle name="Normal 10 3 2 6 2 2" xfId="1542" xr:uid="{00000000-0005-0000-0000-000003060000}"/>
    <cellStyle name="Normal 10 3 2 6 2 2 2" xfId="1543" xr:uid="{00000000-0005-0000-0000-000004060000}"/>
    <cellStyle name="Normal 10 3 2 6 2 2 2 2" xfId="1544" xr:uid="{00000000-0005-0000-0000-000005060000}"/>
    <cellStyle name="Normal 10 3 2 6 2 2 3" xfId="1545" xr:uid="{00000000-0005-0000-0000-000006060000}"/>
    <cellStyle name="Normal 10 3 2 6 2 3" xfId="1546" xr:uid="{00000000-0005-0000-0000-000007060000}"/>
    <cellStyle name="Normal 10 3 2 6 2 3 2" xfId="1547" xr:uid="{00000000-0005-0000-0000-000008060000}"/>
    <cellStyle name="Normal 10 3 2 6 2 4" xfId="1548" xr:uid="{00000000-0005-0000-0000-000009060000}"/>
    <cellStyle name="Normal 10 3 2 6 3" xfId="1549" xr:uid="{00000000-0005-0000-0000-00000A060000}"/>
    <cellStyle name="Normal 10 3 2 6 3 2" xfId="1550" xr:uid="{00000000-0005-0000-0000-00000B060000}"/>
    <cellStyle name="Normal 10 3 2 6 3 2 2" xfId="1551" xr:uid="{00000000-0005-0000-0000-00000C060000}"/>
    <cellStyle name="Normal 10 3 2 6 3 3" xfId="1552" xr:uid="{00000000-0005-0000-0000-00000D060000}"/>
    <cellStyle name="Normal 10 3 2 6 4" xfId="1553" xr:uid="{00000000-0005-0000-0000-00000E060000}"/>
    <cellStyle name="Normal 10 3 2 6 4 2" xfId="1554" xr:uid="{00000000-0005-0000-0000-00000F060000}"/>
    <cellStyle name="Normal 10 3 2 6 5" xfId="1555" xr:uid="{00000000-0005-0000-0000-000010060000}"/>
    <cellStyle name="Normal 10 3 2 7" xfId="1556" xr:uid="{00000000-0005-0000-0000-000011060000}"/>
    <cellStyle name="Normal 10 3 2 7 2" xfId="1557" xr:uid="{00000000-0005-0000-0000-000012060000}"/>
    <cellStyle name="Normal 10 3 2 7 2 2" xfId="1558" xr:uid="{00000000-0005-0000-0000-000013060000}"/>
    <cellStyle name="Normal 10 3 2 7 2 2 2" xfId="1559" xr:uid="{00000000-0005-0000-0000-000014060000}"/>
    <cellStyle name="Normal 10 3 2 7 2 3" xfId="1560" xr:uid="{00000000-0005-0000-0000-000015060000}"/>
    <cellStyle name="Normal 10 3 2 7 3" xfId="1561" xr:uid="{00000000-0005-0000-0000-000016060000}"/>
    <cellStyle name="Normal 10 3 2 7 3 2" xfId="1562" xr:uid="{00000000-0005-0000-0000-000017060000}"/>
    <cellStyle name="Normal 10 3 2 7 4" xfId="1563" xr:uid="{00000000-0005-0000-0000-000018060000}"/>
    <cellStyle name="Normal 10 3 2 8" xfId="1564" xr:uid="{00000000-0005-0000-0000-000019060000}"/>
    <cellStyle name="Normal 10 3 2 8 2" xfId="1565" xr:uid="{00000000-0005-0000-0000-00001A060000}"/>
    <cellStyle name="Normal 10 3 2 8 2 2" xfId="1566" xr:uid="{00000000-0005-0000-0000-00001B060000}"/>
    <cellStyle name="Normal 10 3 2 8 3" xfId="1567" xr:uid="{00000000-0005-0000-0000-00001C060000}"/>
    <cellStyle name="Normal 10 3 2 9" xfId="1568" xr:uid="{00000000-0005-0000-0000-00001D060000}"/>
    <cellStyle name="Normal 10 3 2 9 2" xfId="1569" xr:uid="{00000000-0005-0000-0000-00001E060000}"/>
    <cellStyle name="Normal 10 3 3" xfId="1570" xr:uid="{00000000-0005-0000-0000-00001F060000}"/>
    <cellStyle name="Normal 10 3 3 2" xfId="1571" xr:uid="{00000000-0005-0000-0000-000020060000}"/>
    <cellStyle name="Normal 10 3 3 2 2" xfId="1572" xr:uid="{00000000-0005-0000-0000-000021060000}"/>
    <cellStyle name="Normal 10 3 3 2 2 2" xfId="1573" xr:uid="{00000000-0005-0000-0000-000022060000}"/>
    <cellStyle name="Normal 10 3 3 2 2 2 2" xfId="1574" xr:uid="{00000000-0005-0000-0000-000023060000}"/>
    <cellStyle name="Normal 10 3 3 2 2 2 2 2" xfId="1575" xr:uid="{00000000-0005-0000-0000-000024060000}"/>
    <cellStyle name="Normal 10 3 3 2 2 2 2 2 2" xfId="1576" xr:uid="{00000000-0005-0000-0000-000025060000}"/>
    <cellStyle name="Normal 10 3 3 2 2 2 2 2 2 2" xfId="1577" xr:uid="{00000000-0005-0000-0000-000026060000}"/>
    <cellStyle name="Normal 10 3 3 2 2 2 2 2 2 2 2" xfId="1578" xr:uid="{00000000-0005-0000-0000-000027060000}"/>
    <cellStyle name="Normal 10 3 3 2 2 2 2 2 2 3" xfId="1579" xr:uid="{00000000-0005-0000-0000-000028060000}"/>
    <cellStyle name="Normal 10 3 3 2 2 2 2 2 3" xfId="1580" xr:uid="{00000000-0005-0000-0000-000029060000}"/>
    <cellStyle name="Normal 10 3 3 2 2 2 2 2 3 2" xfId="1581" xr:uid="{00000000-0005-0000-0000-00002A060000}"/>
    <cellStyle name="Normal 10 3 3 2 2 2 2 2 4" xfId="1582" xr:uid="{00000000-0005-0000-0000-00002B060000}"/>
    <cellStyle name="Normal 10 3 3 2 2 2 2 3" xfId="1583" xr:uid="{00000000-0005-0000-0000-00002C060000}"/>
    <cellStyle name="Normal 10 3 3 2 2 2 2 3 2" xfId="1584" xr:uid="{00000000-0005-0000-0000-00002D060000}"/>
    <cellStyle name="Normal 10 3 3 2 2 2 2 3 2 2" xfId="1585" xr:uid="{00000000-0005-0000-0000-00002E060000}"/>
    <cellStyle name="Normal 10 3 3 2 2 2 2 3 3" xfId="1586" xr:uid="{00000000-0005-0000-0000-00002F060000}"/>
    <cellStyle name="Normal 10 3 3 2 2 2 2 4" xfId="1587" xr:uid="{00000000-0005-0000-0000-000030060000}"/>
    <cellStyle name="Normal 10 3 3 2 2 2 2 4 2" xfId="1588" xr:uid="{00000000-0005-0000-0000-000031060000}"/>
    <cellStyle name="Normal 10 3 3 2 2 2 2 5" xfId="1589" xr:uid="{00000000-0005-0000-0000-000032060000}"/>
    <cellStyle name="Normal 10 3 3 2 2 2 3" xfId="1590" xr:uid="{00000000-0005-0000-0000-000033060000}"/>
    <cellStyle name="Normal 10 3 3 2 2 2 3 2" xfId="1591" xr:uid="{00000000-0005-0000-0000-000034060000}"/>
    <cellStyle name="Normal 10 3 3 2 2 2 3 2 2" xfId="1592" xr:uid="{00000000-0005-0000-0000-000035060000}"/>
    <cellStyle name="Normal 10 3 3 2 2 2 3 2 2 2" xfId="1593" xr:uid="{00000000-0005-0000-0000-000036060000}"/>
    <cellStyle name="Normal 10 3 3 2 2 2 3 2 3" xfId="1594" xr:uid="{00000000-0005-0000-0000-000037060000}"/>
    <cellStyle name="Normal 10 3 3 2 2 2 3 3" xfId="1595" xr:uid="{00000000-0005-0000-0000-000038060000}"/>
    <cellStyle name="Normal 10 3 3 2 2 2 3 3 2" xfId="1596" xr:uid="{00000000-0005-0000-0000-000039060000}"/>
    <cellStyle name="Normal 10 3 3 2 2 2 3 4" xfId="1597" xr:uid="{00000000-0005-0000-0000-00003A060000}"/>
    <cellStyle name="Normal 10 3 3 2 2 2 4" xfId="1598" xr:uid="{00000000-0005-0000-0000-00003B060000}"/>
    <cellStyle name="Normal 10 3 3 2 2 2 4 2" xfId="1599" xr:uid="{00000000-0005-0000-0000-00003C060000}"/>
    <cellStyle name="Normal 10 3 3 2 2 2 4 2 2" xfId="1600" xr:uid="{00000000-0005-0000-0000-00003D060000}"/>
    <cellStyle name="Normal 10 3 3 2 2 2 4 3" xfId="1601" xr:uid="{00000000-0005-0000-0000-00003E060000}"/>
    <cellStyle name="Normal 10 3 3 2 2 2 5" xfId="1602" xr:uid="{00000000-0005-0000-0000-00003F060000}"/>
    <cellStyle name="Normal 10 3 3 2 2 2 5 2" xfId="1603" xr:uid="{00000000-0005-0000-0000-000040060000}"/>
    <cellStyle name="Normal 10 3 3 2 2 2 6" xfId="1604" xr:uid="{00000000-0005-0000-0000-000041060000}"/>
    <cellStyle name="Normal 10 3 3 2 2 3" xfId="1605" xr:uid="{00000000-0005-0000-0000-000042060000}"/>
    <cellStyle name="Normal 10 3 3 2 2 3 2" xfId="1606" xr:uid="{00000000-0005-0000-0000-000043060000}"/>
    <cellStyle name="Normal 10 3 3 2 2 3 2 2" xfId="1607" xr:uid="{00000000-0005-0000-0000-000044060000}"/>
    <cellStyle name="Normal 10 3 3 2 2 3 2 2 2" xfId="1608" xr:uid="{00000000-0005-0000-0000-000045060000}"/>
    <cellStyle name="Normal 10 3 3 2 2 3 2 2 2 2" xfId="1609" xr:uid="{00000000-0005-0000-0000-000046060000}"/>
    <cellStyle name="Normal 10 3 3 2 2 3 2 2 3" xfId="1610" xr:uid="{00000000-0005-0000-0000-000047060000}"/>
    <cellStyle name="Normal 10 3 3 2 2 3 2 3" xfId="1611" xr:uid="{00000000-0005-0000-0000-000048060000}"/>
    <cellStyle name="Normal 10 3 3 2 2 3 2 3 2" xfId="1612" xr:uid="{00000000-0005-0000-0000-000049060000}"/>
    <cellStyle name="Normal 10 3 3 2 2 3 2 4" xfId="1613" xr:uid="{00000000-0005-0000-0000-00004A060000}"/>
    <cellStyle name="Normal 10 3 3 2 2 3 3" xfId="1614" xr:uid="{00000000-0005-0000-0000-00004B060000}"/>
    <cellStyle name="Normal 10 3 3 2 2 3 3 2" xfId="1615" xr:uid="{00000000-0005-0000-0000-00004C060000}"/>
    <cellStyle name="Normal 10 3 3 2 2 3 3 2 2" xfId="1616" xr:uid="{00000000-0005-0000-0000-00004D060000}"/>
    <cellStyle name="Normal 10 3 3 2 2 3 3 3" xfId="1617" xr:uid="{00000000-0005-0000-0000-00004E060000}"/>
    <cellStyle name="Normal 10 3 3 2 2 3 4" xfId="1618" xr:uid="{00000000-0005-0000-0000-00004F060000}"/>
    <cellStyle name="Normal 10 3 3 2 2 3 4 2" xfId="1619" xr:uid="{00000000-0005-0000-0000-000050060000}"/>
    <cellStyle name="Normal 10 3 3 2 2 3 5" xfId="1620" xr:uid="{00000000-0005-0000-0000-000051060000}"/>
    <cellStyle name="Normal 10 3 3 2 2 4" xfId="1621" xr:uid="{00000000-0005-0000-0000-000052060000}"/>
    <cellStyle name="Normal 10 3 3 2 2 4 2" xfId="1622" xr:uid="{00000000-0005-0000-0000-000053060000}"/>
    <cellStyle name="Normal 10 3 3 2 2 4 2 2" xfId="1623" xr:uid="{00000000-0005-0000-0000-000054060000}"/>
    <cellStyle name="Normal 10 3 3 2 2 4 2 2 2" xfId="1624" xr:uid="{00000000-0005-0000-0000-000055060000}"/>
    <cellStyle name="Normal 10 3 3 2 2 4 2 3" xfId="1625" xr:uid="{00000000-0005-0000-0000-000056060000}"/>
    <cellStyle name="Normal 10 3 3 2 2 4 3" xfId="1626" xr:uid="{00000000-0005-0000-0000-000057060000}"/>
    <cellStyle name="Normal 10 3 3 2 2 4 3 2" xfId="1627" xr:uid="{00000000-0005-0000-0000-000058060000}"/>
    <cellStyle name="Normal 10 3 3 2 2 4 4" xfId="1628" xr:uid="{00000000-0005-0000-0000-000059060000}"/>
    <cellStyle name="Normal 10 3 3 2 2 5" xfId="1629" xr:uid="{00000000-0005-0000-0000-00005A060000}"/>
    <cellStyle name="Normal 10 3 3 2 2 5 2" xfId="1630" xr:uid="{00000000-0005-0000-0000-00005B060000}"/>
    <cellStyle name="Normal 10 3 3 2 2 5 2 2" xfId="1631" xr:uid="{00000000-0005-0000-0000-00005C060000}"/>
    <cellStyle name="Normal 10 3 3 2 2 5 3" xfId="1632" xr:uid="{00000000-0005-0000-0000-00005D060000}"/>
    <cellStyle name="Normal 10 3 3 2 2 6" xfId="1633" xr:uid="{00000000-0005-0000-0000-00005E060000}"/>
    <cellStyle name="Normal 10 3 3 2 2 6 2" xfId="1634" xr:uid="{00000000-0005-0000-0000-00005F060000}"/>
    <cellStyle name="Normal 10 3 3 2 2 7" xfId="1635" xr:uid="{00000000-0005-0000-0000-000060060000}"/>
    <cellStyle name="Normal 10 3 3 2 3" xfId="1636" xr:uid="{00000000-0005-0000-0000-000061060000}"/>
    <cellStyle name="Normal 10 3 3 2 3 2" xfId="1637" xr:uid="{00000000-0005-0000-0000-000062060000}"/>
    <cellStyle name="Normal 10 3 3 2 3 2 2" xfId="1638" xr:uid="{00000000-0005-0000-0000-000063060000}"/>
    <cellStyle name="Normal 10 3 3 2 3 2 2 2" xfId="1639" xr:uid="{00000000-0005-0000-0000-000064060000}"/>
    <cellStyle name="Normal 10 3 3 2 3 2 2 2 2" xfId="1640" xr:uid="{00000000-0005-0000-0000-000065060000}"/>
    <cellStyle name="Normal 10 3 3 2 3 2 2 2 2 2" xfId="1641" xr:uid="{00000000-0005-0000-0000-000066060000}"/>
    <cellStyle name="Normal 10 3 3 2 3 2 2 2 3" xfId="1642" xr:uid="{00000000-0005-0000-0000-000067060000}"/>
    <cellStyle name="Normal 10 3 3 2 3 2 2 3" xfId="1643" xr:uid="{00000000-0005-0000-0000-000068060000}"/>
    <cellStyle name="Normal 10 3 3 2 3 2 2 3 2" xfId="1644" xr:uid="{00000000-0005-0000-0000-000069060000}"/>
    <cellStyle name="Normal 10 3 3 2 3 2 2 4" xfId="1645" xr:uid="{00000000-0005-0000-0000-00006A060000}"/>
    <cellStyle name="Normal 10 3 3 2 3 2 3" xfId="1646" xr:uid="{00000000-0005-0000-0000-00006B060000}"/>
    <cellStyle name="Normal 10 3 3 2 3 2 3 2" xfId="1647" xr:uid="{00000000-0005-0000-0000-00006C060000}"/>
    <cellStyle name="Normal 10 3 3 2 3 2 3 2 2" xfId="1648" xr:uid="{00000000-0005-0000-0000-00006D060000}"/>
    <cellStyle name="Normal 10 3 3 2 3 2 3 3" xfId="1649" xr:uid="{00000000-0005-0000-0000-00006E060000}"/>
    <cellStyle name="Normal 10 3 3 2 3 2 4" xfId="1650" xr:uid="{00000000-0005-0000-0000-00006F060000}"/>
    <cellStyle name="Normal 10 3 3 2 3 2 4 2" xfId="1651" xr:uid="{00000000-0005-0000-0000-000070060000}"/>
    <cellStyle name="Normal 10 3 3 2 3 2 5" xfId="1652" xr:uid="{00000000-0005-0000-0000-000071060000}"/>
    <cellStyle name="Normal 10 3 3 2 3 3" xfId="1653" xr:uid="{00000000-0005-0000-0000-000072060000}"/>
    <cellStyle name="Normal 10 3 3 2 3 3 2" xfId="1654" xr:uid="{00000000-0005-0000-0000-000073060000}"/>
    <cellStyle name="Normal 10 3 3 2 3 3 2 2" xfId="1655" xr:uid="{00000000-0005-0000-0000-000074060000}"/>
    <cellStyle name="Normal 10 3 3 2 3 3 2 2 2" xfId="1656" xr:uid="{00000000-0005-0000-0000-000075060000}"/>
    <cellStyle name="Normal 10 3 3 2 3 3 2 3" xfId="1657" xr:uid="{00000000-0005-0000-0000-000076060000}"/>
    <cellStyle name="Normal 10 3 3 2 3 3 3" xfId="1658" xr:uid="{00000000-0005-0000-0000-000077060000}"/>
    <cellStyle name="Normal 10 3 3 2 3 3 3 2" xfId="1659" xr:uid="{00000000-0005-0000-0000-000078060000}"/>
    <cellStyle name="Normal 10 3 3 2 3 3 4" xfId="1660" xr:uid="{00000000-0005-0000-0000-000079060000}"/>
    <cellStyle name="Normal 10 3 3 2 3 4" xfId="1661" xr:uid="{00000000-0005-0000-0000-00007A060000}"/>
    <cellStyle name="Normal 10 3 3 2 3 4 2" xfId="1662" xr:uid="{00000000-0005-0000-0000-00007B060000}"/>
    <cellStyle name="Normal 10 3 3 2 3 4 2 2" xfId="1663" xr:uid="{00000000-0005-0000-0000-00007C060000}"/>
    <cellStyle name="Normal 10 3 3 2 3 4 3" xfId="1664" xr:uid="{00000000-0005-0000-0000-00007D060000}"/>
    <cellStyle name="Normal 10 3 3 2 3 5" xfId="1665" xr:uid="{00000000-0005-0000-0000-00007E060000}"/>
    <cellStyle name="Normal 10 3 3 2 3 5 2" xfId="1666" xr:uid="{00000000-0005-0000-0000-00007F060000}"/>
    <cellStyle name="Normal 10 3 3 2 3 6" xfId="1667" xr:uid="{00000000-0005-0000-0000-000080060000}"/>
    <cellStyle name="Normal 10 3 3 2 4" xfId="1668" xr:uid="{00000000-0005-0000-0000-000081060000}"/>
    <cellStyle name="Normal 10 3 3 2 4 2" xfId="1669" xr:uid="{00000000-0005-0000-0000-000082060000}"/>
    <cellStyle name="Normal 10 3 3 2 4 2 2" xfId="1670" xr:uid="{00000000-0005-0000-0000-000083060000}"/>
    <cellStyle name="Normal 10 3 3 2 4 2 2 2" xfId="1671" xr:uid="{00000000-0005-0000-0000-000084060000}"/>
    <cellStyle name="Normal 10 3 3 2 4 2 2 2 2" xfId="1672" xr:uid="{00000000-0005-0000-0000-000085060000}"/>
    <cellStyle name="Normal 10 3 3 2 4 2 2 3" xfId="1673" xr:uid="{00000000-0005-0000-0000-000086060000}"/>
    <cellStyle name="Normal 10 3 3 2 4 2 3" xfId="1674" xr:uid="{00000000-0005-0000-0000-000087060000}"/>
    <cellStyle name="Normal 10 3 3 2 4 2 3 2" xfId="1675" xr:uid="{00000000-0005-0000-0000-000088060000}"/>
    <cellStyle name="Normal 10 3 3 2 4 2 4" xfId="1676" xr:uid="{00000000-0005-0000-0000-000089060000}"/>
    <cellStyle name="Normal 10 3 3 2 4 3" xfId="1677" xr:uid="{00000000-0005-0000-0000-00008A060000}"/>
    <cellStyle name="Normal 10 3 3 2 4 3 2" xfId="1678" xr:uid="{00000000-0005-0000-0000-00008B060000}"/>
    <cellStyle name="Normal 10 3 3 2 4 3 2 2" xfId="1679" xr:uid="{00000000-0005-0000-0000-00008C060000}"/>
    <cellStyle name="Normal 10 3 3 2 4 3 3" xfId="1680" xr:uid="{00000000-0005-0000-0000-00008D060000}"/>
    <cellStyle name="Normal 10 3 3 2 4 4" xfId="1681" xr:uid="{00000000-0005-0000-0000-00008E060000}"/>
    <cellStyle name="Normal 10 3 3 2 4 4 2" xfId="1682" xr:uid="{00000000-0005-0000-0000-00008F060000}"/>
    <cellStyle name="Normal 10 3 3 2 4 5" xfId="1683" xr:uid="{00000000-0005-0000-0000-000090060000}"/>
    <cellStyle name="Normal 10 3 3 2 5" xfId="1684" xr:uid="{00000000-0005-0000-0000-000091060000}"/>
    <cellStyle name="Normal 10 3 3 2 5 2" xfId="1685" xr:uid="{00000000-0005-0000-0000-000092060000}"/>
    <cellStyle name="Normal 10 3 3 2 5 2 2" xfId="1686" xr:uid="{00000000-0005-0000-0000-000093060000}"/>
    <cellStyle name="Normal 10 3 3 2 5 2 2 2" xfId="1687" xr:uid="{00000000-0005-0000-0000-000094060000}"/>
    <cellStyle name="Normal 10 3 3 2 5 2 3" xfId="1688" xr:uid="{00000000-0005-0000-0000-000095060000}"/>
    <cellStyle name="Normal 10 3 3 2 5 3" xfId="1689" xr:uid="{00000000-0005-0000-0000-000096060000}"/>
    <cellStyle name="Normal 10 3 3 2 5 3 2" xfId="1690" xr:uid="{00000000-0005-0000-0000-000097060000}"/>
    <cellStyle name="Normal 10 3 3 2 5 4" xfId="1691" xr:uid="{00000000-0005-0000-0000-000098060000}"/>
    <cellStyle name="Normal 10 3 3 2 6" xfId="1692" xr:uid="{00000000-0005-0000-0000-000099060000}"/>
    <cellStyle name="Normal 10 3 3 2 6 2" xfId="1693" xr:uid="{00000000-0005-0000-0000-00009A060000}"/>
    <cellStyle name="Normal 10 3 3 2 6 2 2" xfId="1694" xr:uid="{00000000-0005-0000-0000-00009B060000}"/>
    <cellStyle name="Normal 10 3 3 2 6 3" xfId="1695" xr:uid="{00000000-0005-0000-0000-00009C060000}"/>
    <cellStyle name="Normal 10 3 3 2 7" xfId="1696" xr:uid="{00000000-0005-0000-0000-00009D060000}"/>
    <cellStyle name="Normal 10 3 3 2 7 2" xfId="1697" xr:uid="{00000000-0005-0000-0000-00009E060000}"/>
    <cellStyle name="Normal 10 3 3 2 8" xfId="1698" xr:uid="{00000000-0005-0000-0000-00009F060000}"/>
    <cellStyle name="Normal 10 3 3 3" xfId="1699" xr:uid="{00000000-0005-0000-0000-0000A0060000}"/>
    <cellStyle name="Normal 10 3 3 3 2" xfId="1700" xr:uid="{00000000-0005-0000-0000-0000A1060000}"/>
    <cellStyle name="Normal 10 3 3 3 2 2" xfId="1701" xr:uid="{00000000-0005-0000-0000-0000A2060000}"/>
    <cellStyle name="Normal 10 3 3 3 2 2 2" xfId="1702" xr:uid="{00000000-0005-0000-0000-0000A3060000}"/>
    <cellStyle name="Normal 10 3 3 3 2 2 2 2" xfId="1703" xr:uid="{00000000-0005-0000-0000-0000A4060000}"/>
    <cellStyle name="Normal 10 3 3 3 2 2 2 2 2" xfId="1704" xr:uid="{00000000-0005-0000-0000-0000A5060000}"/>
    <cellStyle name="Normal 10 3 3 3 2 2 2 2 2 2" xfId="1705" xr:uid="{00000000-0005-0000-0000-0000A6060000}"/>
    <cellStyle name="Normal 10 3 3 3 2 2 2 2 3" xfId="1706" xr:uid="{00000000-0005-0000-0000-0000A7060000}"/>
    <cellStyle name="Normal 10 3 3 3 2 2 2 3" xfId="1707" xr:uid="{00000000-0005-0000-0000-0000A8060000}"/>
    <cellStyle name="Normal 10 3 3 3 2 2 2 3 2" xfId="1708" xr:uid="{00000000-0005-0000-0000-0000A9060000}"/>
    <cellStyle name="Normal 10 3 3 3 2 2 2 4" xfId="1709" xr:uid="{00000000-0005-0000-0000-0000AA060000}"/>
    <cellStyle name="Normal 10 3 3 3 2 2 3" xfId="1710" xr:uid="{00000000-0005-0000-0000-0000AB060000}"/>
    <cellStyle name="Normal 10 3 3 3 2 2 3 2" xfId="1711" xr:uid="{00000000-0005-0000-0000-0000AC060000}"/>
    <cellStyle name="Normal 10 3 3 3 2 2 3 2 2" xfId="1712" xr:uid="{00000000-0005-0000-0000-0000AD060000}"/>
    <cellStyle name="Normal 10 3 3 3 2 2 3 3" xfId="1713" xr:uid="{00000000-0005-0000-0000-0000AE060000}"/>
    <cellStyle name="Normal 10 3 3 3 2 2 4" xfId="1714" xr:uid="{00000000-0005-0000-0000-0000AF060000}"/>
    <cellStyle name="Normal 10 3 3 3 2 2 4 2" xfId="1715" xr:uid="{00000000-0005-0000-0000-0000B0060000}"/>
    <cellStyle name="Normal 10 3 3 3 2 2 5" xfId="1716" xr:uid="{00000000-0005-0000-0000-0000B1060000}"/>
    <cellStyle name="Normal 10 3 3 3 2 3" xfId="1717" xr:uid="{00000000-0005-0000-0000-0000B2060000}"/>
    <cellStyle name="Normal 10 3 3 3 2 3 2" xfId="1718" xr:uid="{00000000-0005-0000-0000-0000B3060000}"/>
    <cellStyle name="Normal 10 3 3 3 2 3 2 2" xfId="1719" xr:uid="{00000000-0005-0000-0000-0000B4060000}"/>
    <cellStyle name="Normal 10 3 3 3 2 3 2 2 2" xfId="1720" xr:uid="{00000000-0005-0000-0000-0000B5060000}"/>
    <cellStyle name="Normal 10 3 3 3 2 3 2 3" xfId="1721" xr:uid="{00000000-0005-0000-0000-0000B6060000}"/>
    <cellStyle name="Normal 10 3 3 3 2 3 3" xfId="1722" xr:uid="{00000000-0005-0000-0000-0000B7060000}"/>
    <cellStyle name="Normal 10 3 3 3 2 3 3 2" xfId="1723" xr:uid="{00000000-0005-0000-0000-0000B8060000}"/>
    <cellStyle name="Normal 10 3 3 3 2 3 4" xfId="1724" xr:uid="{00000000-0005-0000-0000-0000B9060000}"/>
    <cellStyle name="Normal 10 3 3 3 2 4" xfId="1725" xr:uid="{00000000-0005-0000-0000-0000BA060000}"/>
    <cellStyle name="Normal 10 3 3 3 2 4 2" xfId="1726" xr:uid="{00000000-0005-0000-0000-0000BB060000}"/>
    <cellStyle name="Normal 10 3 3 3 2 4 2 2" xfId="1727" xr:uid="{00000000-0005-0000-0000-0000BC060000}"/>
    <cellStyle name="Normal 10 3 3 3 2 4 3" xfId="1728" xr:uid="{00000000-0005-0000-0000-0000BD060000}"/>
    <cellStyle name="Normal 10 3 3 3 2 5" xfId="1729" xr:uid="{00000000-0005-0000-0000-0000BE060000}"/>
    <cellStyle name="Normal 10 3 3 3 2 5 2" xfId="1730" xr:uid="{00000000-0005-0000-0000-0000BF060000}"/>
    <cellStyle name="Normal 10 3 3 3 2 6" xfId="1731" xr:uid="{00000000-0005-0000-0000-0000C0060000}"/>
    <cellStyle name="Normal 10 3 3 3 3" xfId="1732" xr:uid="{00000000-0005-0000-0000-0000C1060000}"/>
    <cellStyle name="Normal 10 3 3 3 3 2" xfId="1733" xr:uid="{00000000-0005-0000-0000-0000C2060000}"/>
    <cellStyle name="Normal 10 3 3 3 3 2 2" xfId="1734" xr:uid="{00000000-0005-0000-0000-0000C3060000}"/>
    <cellStyle name="Normal 10 3 3 3 3 2 2 2" xfId="1735" xr:uid="{00000000-0005-0000-0000-0000C4060000}"/>
    <cellStyle name="Normal 10 3 3 3 3 2 2 2 2" xfId="1736" xr:uid="{00000000-0005-0000-0000-0000C5060000}"/>
    <cellStyle name="Normal 10 3 3 3 3 2 2 3" xfId="1737" xr:uid="{00000000-0005-0000-0000-0000C6060000}"/>
    <cellStyle name="Normal 10 3 3 3 3 2 3" xfId="1738" xr:uid="{00000000-0005-0000-0000-0000C7060000}"/>
    <cellStyle name="Normal 10 3 3 3 3 2 3 2" xfId="1739" xr:uid="{00000000-0005-0000-0000-0000C8060000}"/>
    <cellStyle name="Normal 10 3 3 3 3 2 4" xfId="1740" xr:uid="{00000000-0005-0000-0000-0000C9060000}"/>
    <cellStyle name="Normal 10 3 3 3 3 3" xfId="1741" xr:uid="{00000000-0005-0000-0000-0000CA060000}"/>
    <cellStyle name="Normal 10 3 3 3 3 3 2" xfId="1742" xr:uid="{00000000-0005-0000-0000-0000CB060000}"/>
    <cellStyle name="Normal 10 3 3 3 3 3 2 2" xfId="1743" xr:uid="{00000000-0005-0000-0000-0000CC060000}"/>
    <cellStyle name="Normal 10 3 3 3 3 3 3" xfId="1744" xr:uid="{00000000-0005-0000-0000-0000CD060000}"/>
    <cellStyle name="Normal 10 3 3 3 3 4" xfId="1745" xr:uid="{00000000-0005-0000-0000-0000CE060000}"/>
    <cellStyle name="Normal 10 3 3 3 3 4 2" xfId="1746" xr:uid="{00000000-0005-0000-0000-0000CF060000}"/>
    <cellStyle name="Normal 10 3 3 3 3 5" xfId="1747" xr:uid="{00000000-0005-0000-0000-0000D0060000}"/>
    <cellStyle name="Normal 10 3 3 3 4" xfId="1748" xr:uid="{00000000-0005-0000-0000-0000D1060000}"/>
    <cellStyle name="Normal 10 3 3 3 4 2" xfId="1749" xr:uid="{00000000-0005-0000-0000-0000D2060000}"/>
    <cellStyle name="Normal 10 3 3 3 4 2 2" xfId="1750" xr:uid="{00000000-0005-0000-0000-0000D3060000}"/>
    <cellStyle name="Normal 10 3 3 3 4 2 2 2" xfId="1751" xr:uid="{00000000-0005-0000-0000-0000D4060000}"/>
    <cellStyle name="Normal 10 3 3 3 4 2 3" xfId="1752" xr:uid="{00000000-0005-0000-0000-0000D5060000}"/>
    <cellStyle name="Normal 10 3 3 3 4 3" xfId="1753" xr:uid="{00000000-0005-0000-0000-0000D6060000}"/>
    <cellStyle name="Normal 10 3 3 3 4 3 2" xfId="1754" xr:uid="{00000000-0005-0000-0000-0000D7060000}"/>
    <cellStyle name="Normal 10 3 3 3 4 4" xfId="1755" xr:uid="{00000000-0005-0000-0000-0000D8060000}"/>
    <cellStyle name="Normal 10 3 3 3 5" xfId="1756" xr:uid="{00000000-0005-0000-0000-0000D9060000}"/>
    <cellStyle name="Normal 10 3 3 3 5 2" xfId="1757" xr:uid="{00000000-0005-0000-0000-0000DA060000}"/>
    <cellStyle name="Normal 10 3 3 3 5 2 2" xfId="1758" xr:uid="{00000000-0005-0000-0000-0000DB060000}"/>
    <cellStyle name="Normal 10 3 3 3 5 3" xfId="1759" xr:uid="{00000000-0005-0000-0000-0000DC060000}"/>
    <cellStyle name="Normal 10 3 3 3 6" xfId="1760" xr:uid="{00000000-0005-0000-0000-0000DD060000}"/>
    <cellStyle name="Normal 10 3 3 3 6 2" xfId="1761" xr:uid="{00000000-0005-0000-0000-0000DE060000}"/>
    <cellStyle name="Normal 10 3 3 3 7" xfId="1762" xr:uid="{00000000-0005-0000-0000-0000DF060000}"/>
    <cellStyle name="Normal 10 3 3 4" xfId="1763" xr:uid="{00000000-0005-0000-0000-0000E0060000}"/>
    <cellStyle name="Normal 10 3 3 4 2" xfId="1764" xr:uid="{00000000-0005-0000-0000-0000E1060000}"/>
    <cellStyle name="Normal 10 3 3 4 2 2" xfId="1765" xr:uid="{00000000-0005-0000-0000-0000E2060000}"/>
    <cellStyle name="Normal 10 3 3 4 2 2 2" xfId="1766" xr:uid="{00000000-0005-0000-0000-0000E3060000}"/>
    <cellStyle name="Normal 10 3 3 4 2 2 2 2" xfId="1767" xr:uid="{00000000-0005-0000-0000-0000E4060000}"/>
    <cellStyle name="Normal 10 3 3 4 2 2 2 2 2" xfId="1768" xr:uid="{00000000-0005-0000-0000-0000E5060000}"/>
    <cellStyle name="Normal 10 3 3 4 2 2 2 3" xfId="1769" xr:uid="{00000000-0005-0000-0000-0000E6060000}"/>
    <cellStyle name="Normal 10 3 3 4 2 2 3" xfId="1770" xr:uid="{00000000-0005-0000-0000-0000E7060000}"/>
    <cellStyle name="Normal 10 3 3 4 2 2 3 2" xfId="1771" xr:uid="{00000000-0005-0000-0000-0000E8060000}"/>
    <cellStyle name="Normal 10 3 3 4 2 2 4" xfId="1772" xr:uid="{00000000-0005-0000-0000-0000E9060000}"/>
    <cellStyle name="Normal 10 3 3 4 2 3" xfId="1773" xr:uid="{00000000-0005-0000-0000-0000EA060000}"/>
    <cellStyle name="Normal 10 3 3 4 2 3 2" xfId="1774" xr:uid="{00000000-0005-0000-0000-0000EB060000}"/>
    <cellStyle name="Normal 10 3 3 4 2 3 2 2" xfId="1775" xr:uid="{00000000-0005-0000-0000-0000EC060000}"/>
    <cellStyle name="Normal 10 3 3 4 2 3 3" xfId="1776" xr:uid="{00000000-0005-0000-0000-0000ED060000}"/>
    <cellStyle name="Normal 10 3 3 4 2 4" xfId="1777" xr:uid="{00000000-0005-0000-0000-0000EE060000}"/>
    <cellStyle name="Normal 10 3 3 4 2 4 2" xfId="1778" xr:uid="{00000000-0005-0000-0000-0000EF060000}"/>
    <cellStyle name="Normal 10 3 3 4 2 5" xfId="1779" xr:uid="{00000000-0005-0000-0000-0000F0060000}"/>
    <cellStyle name="Normal 10 3 3 4 3" xfId="1780" xr:uid="{00000000-0005-0000-0000-0000F1060000}"/>
    <cellStyle name="Normal 10 3 3 4 3 2" xfId="1781" xr:uid="{00000000-0005-0000-0000-0000F2060000}"/>
    <cellStyle name="Normal 10 3 3 4 3 2 2" xfId="1782" xr:uid="{00000000-0005-0000-0000-0000F3060000}"/>
    <cellStyle name="Normal 10 3 3 4 3 2 2 2" xfId="1783" xr:uid="{00000000-0005-0000-0000-0000F4060000}"/>
    <cellStyle name="Normal 10 3 3 4 3 2 3" xfId="1784" xr:uid="{00000000-0005-0000-0000-0000F5060000}"/>
    <cellStyle name="Normal 10 3 3 4 3 3" xfId="1785" xr:uid="{00000000-0005-0000-0000-0000F6060000}"/>
    <cellStyle name="Normal 10 3 3 4 3 3 2" xfId="1786" xr:uid="{00000000-0005-0000-0000-0000F7060000}"/>
    <cellStyle name="Normal 10 3 3 4 3 4" xfId="1787" xr:uid="{00000000-0005-0000-0000-0000F8060000}"/>
    <cellStyle name="Normal 10 3 3 4 4" xfId="1788" xr:uid="{00000000-0005-0000-0000-0000F9060000}"/>
    <cellStyle name="Normal 10 3 3 4 4 2" xfId="1789" xr:uid="{00000000-0005-0000-0000-0000FA060000}"/>
    <cellStyle name="Normal 10 3 3 4 4 2 2" xfId="1790" xr:uid="{00000000-0005-0000-0000-0000FB060000}"/>
    <cellStyle name="Normal 10 3 3 4 4 3" xfId="1791" xr:uid="{00000000-0005-0000-0000-0000FC060000}"/>
    <cellStyle name="Normal 10 3 3 4 5" xfId="1792" xr:uid="{00000000-0005-0000-0000-0000FD060000}"/>
    <cellStyle name="Normal 10 3 3 4 5 2" xfId="1793" xr:uid="{00000000-0005-0000-0000-0000FE060000}"/>
    <cellStyle name="Normal 10 3 3 4 6" xfId="1794" xr:uid="{00000000-0005-0000-0000-0000FF060000}"/>
    <cellStyle name="Normal 10 3 3 5" xfId="1795" xr:uid="{00000000-0005-0000-0000-000000070000}"/>
    <cellStyle name="Normal 10 3 3 5 2" xfId="1796" xr:uid="{00000000-0005-0000-0000-000001070000}"/>
    <cellStyle name="Normal 10 3 3 5 2 2" xfId="1797" xr:uid="{00000000-0005-0000-0000-000002070000}"/>
    <cellStyle name="Normal 10 3 3 5 2 2 2" xfId="1798" xr:uid="{00000000-0005-0000-0000-000003070000}"/>
    <cellStyle name="Normal 10 3 3 5 2 2 2 2" xfId="1799" xr:uid="{00000000-0005-0000-0000-000004070000}"/>
    <cellStyle name="Normal 10 3 3 5 2 2 3" xfId="1800" xr:uid="{00000000-0005-0000-0000-000005070000}"/>
    <cellStyle name="Normal 10 3 3 5 2 3" xfId="1801" xr:uid="{00000000-0005-0000-0000-000006070000}"/>
    <cellStyle name="Normal 10 3 3 5 2 3 2" xfId="1802" xr:uid="{00000000-0005-0000-0000-000007070000}"/>
    <cellStyle name="Normal 10 3 3 5 2 4" xfId="1803" xr:uid="{00000000-0005-0000-0000-000008070000}"/>
    <cellStyle name="Normal 10 3 3 5 3" xfId="1804" xr:uid="{00000000-0005-0000-0000-000009070000}"/>
    <cellStyle name="Normal 10 3 3 5 3 2" xfId="1805" xr:uid="{00000000-0005-0000-0000-00000A070000}"/>
    <cellStyle name="Normal 10 3 3 5 3 2 2" xfId="1806" xr:uid="{00000000-0005-0000-0000-00000B070000}"/>
    <cellStyle name="Normal 10 3 3 5 3 3" xfId="1807" xr:uid="{00000000-0005-0000-0000-00000C070000}"/>
    <cellStyle name="Normal 10 3 3 5 4" xfId="1808" xr:uid="{00000000-0005-0000-0000-00000D070000}"/>
    <cellStyle name="Normal 10 3 3 5 4 2" xfId="1809" xr:uid="{00000000-0005-0000-0000-00000E070000}"/>
    <cellStyle name="Normal 10 3 3 5 5" xfId="1810" xr:uid="{00000000-0005-0000-0000-00000F070000}"/>
    <cellStyle name="Normal 10 3 3 6" xfId="1811" xr:uid="{00000000-0005-0000-0000-000010070000}"/>
    <cellStyle name="Normal 10 3 3 6 2" xfId="1812" xr:uid="{00000000-0005-0000-0000-000011070000}"/>
    <cellStyle name="Normal 10 3 3 6 2 2" xfId="1813" xr:uid="{00000000-0005-0000-0000-000012070000}"/>
    <cellStyle name="Normal 10 3 3 6 2 2 2" xfId="1814" xr:uid="{00000000-0005-0000-0000-000013070000}"/>
    <cellStyle name="Normal 10 3 3 6 2 3" xfId="1815" xr:uid="{00000000-0005-0000-0000-000014070000}"/>
    <cellStyle name="Normal 10 3 3 6 3" xfId="1816" xr:uid="{00000000-0005-0000-0000-000015070000}"/>
    <cellStyle name="Normal 10 3 3 6 3 2" xfId="1817" xr:uid="{00000000-0005-0000-0000-000016070000}"/>
    <cellStyle name="Normal 10 3 3 6 4" xfId="1818" xr:uid="{00000000-0005-0000-0000-000017070000}"/>
    <cellStyle name="Normal 10 3 3 7" xfId="1819" xr:uid="{00000000-0005-0000-0000-000018070000}"/>
    <cellStyle name="Normal 10 3 3 7 2" xfId="1820" xr:uid="{00000000-0005-0000-0000-000019070000}"/>
    <cellStyle name="Normal 10 3 3 7 2 2" xfId="1821" xr:uid="{00000000-0005-0000-0000-00001A070000}"/>
    <cellStyle name="Normal 10 3 3 7 3" xfId="1822" xr:uid="{00000000-0005-0000-0000-00001B070000}"/>
    <cellStyle name="Normal 10 3 3 8" xfId="1823" xr:uid="{00000000-0005-0000-0000-00001C070000}"/>
    <cellStyle name="Normal 10 3 3 8 2" xfId="1824" xr:uid="{00000000-0005-0000-0000-00001D070000}"/>
    <cellStyle name="Normal 10 3 3 9" xfId="1825" xr:uid="{00000000-0005-0000-0000-00001E070000}"/>
    <cellStyle name="Normal 10 3 4" xfId="1826" xr:uid="{00000000-0005-0000-0000-00001F070000}"/>
    <cellStyle name="Normal 10 3 4 2" xfId="1827" xr:uid="{00000000-0005-0000-0000-000020070000}"/>
    <cellStyle name="Normal 10 3 4 2 2" xfId="1828" xr:uid="{00000000-0005-0000-0000-000021070000}"/>
    <cellStyle name="Normal 10 3 4 2 2 2" xfId="1829" xr:uid="{00000000-0005-0000-0000-000022070000}"/>
    <cellStyle name="Normal 10 3 4 2 2 2 2" xfId="1830" xr:uid="{00000000-0005-0000-0000-000023070000}"/>
    <cellStyle name="Normal 10 3 4 2 2 2 2 2" xfId="1831" xr:uid="{00000000-0005-0000-0000-000024070000}"/>
    <cellStyle name="Normal 10 3 4 2 2 2 2 2 2" xfId="1832" xr:uid="{00000000-0005-0000-0000-000025070000}"/>
    <cellStyle name="Normal 10 3 4 2 2 2 2 2 2 2" xfId="1833" xr:uid="{00000000-0005-0000-0000-000026070000}"/>
    <cellStyle name="Normal 10 3 4 2 2 2 2 2 3" xfId="1834" xr:uid="{00000000-0005-0000-0000-000027070000}"/>
    <cellStyle name="Normal 10 3 4 2 2 2 2 3" xfId="1835" xr:uid="{00000000-0005-0000-0000-000028070000}"/>
    <cellStyle name="Normal 10 3 4 2 2 2 2 3 2" xfId="1836" xr:uid="{00000000-0005-0000-0000-000029070000}"/>
    <cellStyle name="Normal 10 3 4 2 2 2 2 4" xfId="1837" xr:uid="{00000000-0005-0000-0000-00002A070000}"/>
    <cellStyle name="Normal 10 3 4 2 2 2 3" xfId="1838" xr:uid="{00000000-0005-0000-0000-00002B070000}"/>
    <cellStyle name="Normal 10 3 4 2 2 2 3 2" xfId="1839" xr:uid="{00000000-0005-0000-0000-00002C070000}"/>
    <cellStyle name="Normal 10 3 4 2 2 2 3 2 2" xfId="1840" xr:uid="{00000000-0005-0000-0000-00002D070000}"/>
    <cellStyle name="Normal 10 3 4 2 2 2 3 3" xfId="1841" xr:uid="{00000000-0005-0000-0000-00002E070000}"/>
    <cellStyle name="Normal 10 3 4 2 2 2 4" xfId="1842" xr:uid="{00000000-0005-0000-0000-00002F070000}"/>
    <cellStyle name="Normal 10 3 4 2 2 2 4 2" xfId="1843" xr:uid="{00000000-0005-0000-0000-000030070000}"/>
    <cellStyle name="Normal 10 3 4 2 2 2 5" xfId="1844" xr:uid="{00000000-0005-0000-0000-000031070000}"/>
    <cellStyle name="Normal 10 3 4 2 2 3" xfId="1845" xr:uid="{00000000-0005-0000-0000-000032070000}"/>
    <cellStyle name="Normal 10 3 4 2 2 3 2" xfId="1846" xr:uid="{00000000-0005-0000-0000-000033070000}"/>
    <cellStyle name="Normal 10 3 4 2 2 3 2 2" xfId="1847" xr:uid="{00000000-0005-0000-0000-000034070000}"/>
    <cellStyle name="Normal 10 3 4 2 2 3 2 2 2" xfId="1848" xr:uid="{00000000-0005-0000-0000-000035070000}"/>
    <cellStyle name="Normal 10 3 4 2 2 3 2 3" xfId="1849" xr:uid="{00000000-0005-0000-0000-000036070000}"/>
    <cellStyle name="Normal 10 3 4 2 2 3 3" xfId="1850" xr:uid="{00000000-0005-0000-0000-000037070000}"/>
    <cellStyle name="Normal 10 3 4 2 2 3 3 2" xfId="1851" xr:uid="{00000000-0005-0000-0000-000038070000}"/>
    <cellStyle name="Normal 10 3 4 2 2 3 4" xfId="1852" xr:uid="{00000000-0005-0000-0000-000039070000}"/>
    <cellStyle name="Normal 10 3 4 2 2 4" xfId="1853" xr:uid="{00000000-0005-0000-0000-00003A070000}"/>
    <cellStyle name="Normal 10 3 4 2 2 4 2" xfId="1854" xr:uid="{00000000-0005-0000-0000-00003B070000}"/>
    <cellStyle name="Normal 10 3 4 2 2 4 2 2" xfId="1855" xr:uid="{00000000-0005-0000-0000-00003C070000}"/>
    <cellStyle name="Normal 10 3 4 2 2 4 3" xfId="1856" xr:uid="{00000000-0005-0000-0000-00003D070000}"/>
    <cellStyle name="Normal 10 3 4 2 2 5" xfId="1857" xr:uid="{00000000-0005-0000-0000-00003E070000}"/>
    <cellStyle name="Normal 10 3 4 2 2 5 2" xfId="1858" xr:uid="{00000000-0005-0000-0000-00003F070000}"/>
    <cellStyle name="Normal 10 3 4 2 2 6" xfId="1859" xr:uid="{00000000-0005-0000-0000-000040070000}"/>
    <cellStyle name="Normal 10 3 4 2 3" xfId="1860" xr:uid="{00000000-0005-0000-0000-000041070000}"/>
    <cellStyle name="Normal 10 3 4 2 3 2" xfId="1861" xr:uid="{00000000-0005-0000-0000-000042070000}"/>
    <cellStyle name="Normal 10 3 4 2 3 2 2" xfId="1862" xr:uid="{00000000-0005-0000-0000-000043070000}"/>
    <cellStyle name="Normal 10 3 4 2 3 2 2 2" xfId="1863" xr:uid="{00000000-0005-0000-0000-000044070000}"/>
    <cellStyle name="Normal 10 3 4 2 3 2 2 2 2" xfId="1864" xr:uid="{00000000-0005-0000-0000-000045070000}"/>
    <cellStyle name="Normal 10 3 4 2 3 2 2 3" xfId="1865" xr:uid="{00000000-0005-0000-0000-000046070000}"/>
    <cellStyle name="Normal 10 3 4 2 3 2 3" xfId="1866" xr:uid="{00000000-0005-0000-0000-000047070000}"/>
    <cellStyle name="Normal 10 3 4 2 3 2 3 2" xfId="1867" xr:uid="{00000000-0005-0000-0000-000048070000}"/>
    <cellStyle name="Normal 10 3 4 2 3 2 4" xfId="1868" xr:uid="{00000000-0005-0000-0000-000049070000}"/>
    <cellStyle name="Normal 10 3 4 2 3 3" xfId="1869" xr:uid="{00000000-0005-0000-0000-00004A070000}"/>
    <cellStyle name="Normal 10 3 4 2 3 3 2" xfId="1870" xr:uid="{00000000-0005-0000-0000-00004B070000}"/>
    <cellStyle name="Normal 10 3 4 2 3 3 2 2" xfId="1871" xr:uid="{00000000-0005-0000-0000-00004C070000}"/>
    <cellStyle name="Normal 10 3 4 2 3 3 3" xfId="1872" xr:uid="{00000000-0005-0000-0000-00004D070000}"/>
    <cellStyle name="Normal 10 3 4 2 3 4" xfId="1873" xr:uid="{00000000-0005-0000-0000-00004E070000}"/>
    <cellStyle name="Normal 10 3 4 2 3 4 2" xfId="1874" xr:uid="{00000000-0005-0000-0000-00004F070000}"/>
    <cellStyle name="Normal 10 3 4 2 3 5" xfId="1875" xr:uid="{00000000-0005-0000-0000-000050070000}"/>
    <cellStyle name="Normal 10 3 4 2 4" xfId="1876" xr:uid="{00000000-0005-0000-0000-000051070000}"/>
    <cellStyle name="Normal 10 3 4 2 4 2" xfId="1877" xr:uid="{00000000-0005-0000-0000-000052070000}"/>
    <cellStyle name="Normal 10 3 4 2 4 2 2" xfId="1878" xr:uid="{00000000-0005-0000-0000-000053070000}"/>
    <cellStyle name="Normal 10 3 4 2 4 2 2 2" xfId="1879" xr:uid="{00000000-0005-0000-0000-000054070000}"/>
    <cellStyle name="Normal 10 3 4 2 4 2 3" xfId="1880" xr:uid="{00000000-0005-0000-0000-000055070000}"/>
    <cellStyle name="Normal 10 3 4 2 4 3" xfId="1881" xr:uid="{00000000-0005-0000-0000-000056070000}"/>
    <cellStyle name="Normal 10 3 4 2 4 3 2" xfId="1882" xr:uid="{00000000-0005-0000-0000-000057070000}"/>
    <cellStyle name="Normal 10 3 4 2 4 4" xfId="1883" xr:uid="{00000000-0005-0000-0000-000058070000}"/>
    <cellStyle name="Normal 10 3 4 2 5" xfId="1884" xr:uid="{00000000-0005-0000-0000-000059070000}"/>
    <cellStyle name="Normal 10 3 4 2 5 2" xfId="1885" xr:uid="{00000000-0005-0000-0000-00005A070000}"/>
    <cellStyle name="Normal 10 3 4 2 5 2 2" xfId="1886" xr:uid="{00000000-0005-0000-0000-00005B070000}"/>
    <cellStyle name="Normal 10 3 4 2 5 3" xfId="1887" xr:uid="{00000000-0005-0000-0000-00005C070000}"/>
    <cellStyle name="Normal 10 3 4 2 6" xfId="1888" xr:uid="{00000000-0005-0000-0000-00005D070000}"/>
    <cellStyle name="Normal 10 3 4 2 6 2" xfId="1889" xr:uid="{00000000-0005-0000-0000-00005E070000}"/>
    <cellStyle name="Normal 10 3 4 2 7" xfId="1890" xr:uid="{00000000-0005-0000-0000-00005F070000}"/>
    <cellStyle name="Normal 10 3 4 3" xfId="1891" xr:uid="{00000000-0005-0000-0000-000060070000}"/>
    <cellStyle name="Normal 10 3 4 3 2" xfId="1892" xr:uid="{00000000-0005-0000-0000-000061070000}"/>
    <cellStyle name="Normal 10 3 4 3 2 2" xfId="1893" xr:uid="{00000000-0005-0000-0000-000062070000}"/>
    <cellStyle name="Normal 10 3 4 3 2 2 2" xfId="1894" xr:uid="{00000000-0005-0000-0000-000063070000}"/>
    <cellStyle name="Normal 10 3 4 3 2 2 2 2" xfId="1895" xr:uid="{00000000-0005-0000-0000-000064070000}"/>
    <cellStyle name="Normal 10 3 4 3 2 2 2 2 2" xfId="1896" xr:uid="{00000000-0005-0000-0000-000065070000}"/>
    <cellStyle name="Normal 10 3 4 3 2 2 2 3" xfId="1897" xr:uid="{00000000-0005-0000-0000-000066070000}"/>
    <cellStyle name="Normal 10 3 4 3 2 2 3" xfId="1898" xr:uid="{00000000-0005-0000-0000-000067070000}"/>
    <cellStyle name="Normal 10 3 4 3 2 2 3 2" xfId="1899" xr:uid="{00000000-0005-0000-0000-000068070000}"/>
    <cellStyle name="Normal 10 3 4 3 2 2 4" xfId="1900" xr:uid="{00000000-0005-0000-0000-000069070000}"/>
    <cellStyle name="Normal 10 3 4 3 2 3" xfId="1901" xr:uid="{00000000-0005-0000-0000-00006A070000}"/>
    <cellStyle name="Normal 10 3 4 3 2 3 2" xfId="1902" xr:uid="{00000000-0005-0000-0000-00006B070000}"/>
    <cellStyle name="Normal 10 3 4 3 2 3 2 2" xfId="1903" xr:uid="{00000000-0005-0000-0000-00006C070000}"/>
    <cellStyle name="Normal 10 3 4 3 2 3 3" xfId="1904" xr:uid="{00000000-0005-0000-0000-00006D070000}"/>
    <cellStyle name="Normal 10 3 4 3 2 4" xfId="1905" xr:uid="{00000000-0005-0000-0000-00006E070000}"/>
    <cellStyle name="Normal 10 3 4 3 2 4 2" xfId="1906" xr:uid="{00000000-0005-0000-0000-00006F070000}"/>
    <cellStyle name="Normal 10 3 4 3 2 5" xfId="1907" xr:uid="{00000000-0005-0000-0000-000070070000}"/>
    <cellStyle name="Normal 10 3 4 3 3" xfId="1908" xr:uid="{00000000-0005-0000-0000-000071070000}"/>
    <cellStyle name="Normal 10 3 4 3 3 2" xfId="1909" xr:uid="{00000000-0005-0000-0000-000072070000}"/>
    <cellStyle name="Normal 10 3 4 3 3 2 2" xfId="1910" xr:uid="{00000000-0005-0000-0000-000073070000}"/>
    <cellStyle name="Normal 10 3 4 3 3 2 2 2" xfId="1911" xr:uid="{00000000-0005-0000-0000-000074070000}"/>
    <cellStyle name="Normal 10 3 4 3 3 2 3" xfId="1912" xr:uid="{00000000-0005-0000-0000-000075070000}"/>
    <cellStyle name="Normal 10 3 4 3 3 3" xfId="1913" xr:uid="{00000000-0005-0000-0000-000076070000}"/>
    <cellStyle name="Normal 10 3 4 3 3 3 2" xfId="1914" xr:uid="{00000000-0005-0000-0000-000077070000}"/>
    <cellStyle name="Normal 10 3 4 3 3 4" xfId="1915" xr:uid="{00000000-0005-0000-0000-000078070000}"/>
    <cellStyle name="Normal 10 3 4 3 4" xfId="1916" xr:uid="{00000000-0005-0000-0000-000079070000}"/>
    <cellStyle name="Normal 10 3 4 3 4 2" xfId="1917" xr:uid="{00000000-0005-0000-0000-00007A070000}"/>
    <cellStyle name="Normal 10 3 4 3 4 2 2" xfId="1918" xr:uid="{00000000-0005-0000-0000-00007B070000}"/>
    <cellStyle name="Normal 10 3 4 3 4 3" xfId="1919" xr:uid="{00000000-0005-0000-0000-00007C070000}"/>
    <cellStyle name="Normal 10 3 4 3 5" xfId="1920" xr:uid="{00000000-0005-0000-0000-00007D070000}"/>
    <cellStyle name="Normal 10 3 4 3 5 2" xfId="1921" xr:uid="{00000000-0005-0000-0000-00007E070000}"/>
    <cellStyle name="Normal 10 3 4 3 6" xfId="1922" xr:uid="{00000000-0005-0000-0000-00007F070000}"/>
    <cellStyle name="Normal 10 3 4 4" xfId="1923" xr:uid="{00000000-0005-0000-0000-000080070000}"/>
    <cellStyle name="Normal 10 3 4 4 2" xfId="1924" xr:uid="{00000000-0005-0000-0000-000081070000}"/>
    <cellStyle name="Normal 10 3 4 4 2 2" xfId="1925" xr:uid="{00000000-0005-0000-0000-000082070000}"/>
    <cellStyle name="Normal 10 3 4 4 2 2 2" xfId="1926" xr:uid="{00000000-0005-0000-0000-000083070000}"/>
    <cellStyle name="Normal 10 3 4 4 2 2 2 2" xfId="1927" xr:uid="{00000000-0005-0000-0000-000084070000}"/>
    <cellStyle name="Normal 10 3 4 4 2 2 3" xfId="1928" xr:uid="{00000000-0005-0000-0000-000085070000}"/>
    <cellStyle name="Normal 10 3 4 4 2 3" xfId="1929" xr:uid="{00000000-0005-0000-0000-000086070000}"/>
    <cellStyle name="Normal 10 3 4 4 2 3 2" xfId="1930" xr:uid="{00000000-0005-0000-0000-000087070000}"/>
    <cellStyle name="Normal 10 3 4 4 2 4" xfId="1931" xr:uid="{00000000-0005-0000-0000-000088070000}"/>
    <cellStyle name="Normal 10 3 4 4 3" xfId="1932" xr:uid="{00000000-0005-0000-0000-000089070000}"/>
    <cellStyle name="Normal 10 3 4 4 3 2" xfId="1933" xr:uid="{00000000-0005-0000-0000-00008A070000}"/>
    <cellStyle name="Normal 10 3 4 4 3 2 2" xfId="1934" xr:uid="{00000000-0005-0000-0000-00008B070000}"/>
    <cellStyle name="Normal 10 3 4 4 3 3" xfId="1935" xr:uid="{00000000-0005-0000-0000-00008C070000}"/>
    <cellStyle name="Normal 10 3 4 4 4" xfId="1936" xr:uid="{00000000-0005-0000-0000-00008D070000}"/>
    <cellStyle name="Normal 10 3 4 4 4 2" xfId="1937" xr:uid="{00000000-0005-0000-0000-00008E070000}"/>
    <cellStyle name="Normal 10 3 4 4 5" xfId="1938" xr:uid="{00000000-0005-0000-0000-00008F070000}"/>
    <cellStyle name="Normal 10 3 4 5" xfId="1939" xr:uid="{00000000-0005-0000-0000-000090070000}"/>
    <cellStyle name="Normal 10 3 4 5 2" xfId="1940" xr:uid="{00000000-0005-0000-0000-000091070000}"/>
    <cellStyle name="Normal 10 3 4 5 2 2" xfId="1941" xr:uid="{00000000-0005-0000-0000-000092070000}"/>
    <cellStyle name="Normal 10 3 4 5 2 2 2" xfId="1942" xr:uid="{00000000-0005-0000-0000-000093070000}"/>
    <cellStyle name="Normal 10 3 4 5 2 3" xfId="1943" xr:uid="{00000000-0005-0000-0000-000094070000}"/>
    <cellStyle name="Normal 10 3 4 5 3" xfId="1944" xr:uid="{00000000-0005-0000-0000-000095070000}"/>
    <cellStyle name="Normal 10 3 4 5 3 2" xfId="1945" xr:uid="{00000000-0005-0000-0000-000096070000}"/>
    <cellStyle name="Normal 10 3 4 5 4" xfId="1946" xr:uid="{00000000-0005-0000-0000-000097070000}"/>
    <cellStyle name="Normal 10 3 4 6" xfId="1947" xr:uid="{00000000-0005-0000-0000-000098070000}"/>
    <cellStyle name="Normal 10 3 4 6 2" xfId="1948" xr:uid="{00000000-0005-0000-0000-000099070000}"/>
    <cellStyle name="Normal 10 3 4 6 2 2" xfId="1949" xr:uid="{00000000-0005-0000-0000-00009A070000}"/>
    <cellStyle name="Normal 10 3 4 6 3" xfId="1950" xr:uid="{00000000-0005-0000-0000-00009B070000}"/>
    <cellStyle name="Normal 10 3 4 7" xfId="1951" xr:uid="{00000000-0005-0000-0000-00009C070000}"/>
    <cellStyle name="Normal 10 3 4 7 2" xfId="1952" xr:uid="{00000000-0005-0000-0000-00009D070000}"/>
    <cellStyle name="Normal 10 3 4 8" xfId="1953" xr:uid="{00000000-0005-0000-0000-00009E070000}"/>
    <cellStyle name="Normal 10 3 5" xfId="1954" xr:uid="{00000000-0005-0000-0000-00009F070000}"/>
    <cellStyle name="Normal 10 3 5 2" xfId="1955" xr:uid="{00000000-0005-0000-0000-0000A0070000}"/>
    <cellStyle name="Normal 10 3 5 2 2" xfId="1956" xr:uid="{00000000-0005-0000-0000-0000A1070000}"/>
    <cellStyle name="Normal 10 3 5 2 2 2" xfId="1957" xr:uid="{00000000-0005-0000-0000-0000A2070000}"/>
    <cellStyle name="Normal 10 3 5 2 2 2 2" xfId="1958" xr:uid="{00000000-0005-0000-0000-0000A3070000}"/>
    <cellStyle name="Normal 10 3 5 2 2 2 2 2" xfId="1959" xr:uid="{00000000-0005-0000-0000-0000A4070000}"/>
    <cellStyle name="Normal 10 3 5 2 2 2 2 2 2" xfId="1960" xr:uid="{00000000-0005-0000-0000-0000A5070000}"/>
    <cellStyle name="Normal 10 3 5 2 2 2 2 3" xfId="1961" xr:uid="{00000000-0005-0000-0000-0000A6070000}"/>
    <cellStyle name="Normal 10 3 5 2 2 2 3" xfId="1962" xr:uid="{00000000-0005-0000-0000-0000A7070000}"/>
    <cellStyle name="Normal 10 3 5 2 2 2 3 2" xfId="1963" xr:uid="{00000000-0005-0000-0000-0000A8070000}"/>
    <cellStyle name="Normal 10 3 5 2 2 2 4" xfId="1964" xr:uid="{00000000-0005-0000-0000-0000A9070000}"/>
    <cellStyle name="Normal 10 3 5 2 2 3" xfId="1965" xr:uid="{00000000-0005-0000-0000-0000AA070000}"/>
    <cellStyle name="Normal 10 3 5 2 2 3 2" xfId="1966" xr:uid="{00000000-0005-0000-0000-0000AB070000}"/>
    <cellStyle name="Normal 10 3 5 2 2 3 2 2" xfId="1967" xr:uid="{00000000-0005-0000-0000-0000AC070000}"/>
    <cellStyle name="Normal 10 3 5 2 2 3 3" xfId="1968" xr:uid="{00000000-0005-0000-0000-0000AD070000}"/>
    <cellStyle name="Normal 10 3 5 2 2 4" xfId="1969" xr:uid="{00000000-0005-0000-0000-0000AE070000}"/>
    <cellStyle name="Normal 10 3 5 2 2 4 2" xfId="1970" xr:uid="{00000000-0005-0000-0000-0000AF070000}"/>
    <cellStyle name="Normal 10 3 5 2 2 5" xfId="1971" xr:uid="{00000000-0005-0000-0000-0000B0070000}"/>
    <cellStyle name="Normal 10 3 5 2 3" xfId="1972" xr:uid="{00000000-0005-0000-0000-0000B1070000}"/>
    <cellStyle name="Normal 10 3 5 2 3 2" xfId="1973" xr:uid="{00000000-0005-0000-0000-0000B2070000}"/>
    <cellStyle name="Normal 10 3 5 2 3 2 2" xfId="1974" xr:uid="{00000000-0005-0000-0000-0000B3070000}"/>
    <cellStyle name="Normal 10 3 5 2 3 2 2 2" xfId="1975" xr:uid="{00000000-0005-0000-0000-0000B4070000}"/>
    <cellStyle name="Normal 10 3 5 2 3 2 3" xfId="1976" xr:uid="{00000000-0005-0000-0000-0000B5070000}"/>
    <cellStyle name="Normal 10 3 5 2 3 3" xfId="1977" xr:uid="{00000000-0005-0000-0000-0000B6070000}"/>
    <cellStyle name="Normal 10 3 5 2 3 3 2" xfId="1978" xr:uid="{00000000-0005-0000-0000-0000B7070000}"/>
    <cellStyle name="Normal 10 3 5 2 3 4" xfId="1979" xr:uid="{00000000-0005-0000-0000-0000B8070000}"/>
    <cellStyle name="Normal 10 3 5 2 4" xfId="1980" xr:uid="{00000000-0005-0000-0000-0000B9070000}"/>
    <cellStyle name="Normal 10 3 5 2 4 2" xfId="1981" xr:uid="{00000000-0005-0000-0000-0000BA070000}"/>
    <cellStyle name="Normal 10 3 5 2 4 2 2" xfId="1982" xr:uid="{00000000-0005-0000-0000-0000BB070000}"/>
    <cellStyle name="Normal 10 3 5 2 4 3" xfId="1983" xr:uid="{00000000-0005-0000-0000-0000BC070000}"/>
    <cellStyle name="Normal 10 3 5 2 5" xfId="1984" xr:uid="{00000000-0005-0000-0000-0000BD070000}"/>
    <cellStyle name="Normal 10 3 5 2 5 2" xfId="1985" xr:uid="{00000000-0005-0000-0000-0000BE070000}"/>
    <cellStyle name="Normal 10 3 5 2 6" xfId="1986" xr:uid="{00000000-0005-0000-0000-0000BF070000}"/>
    <cellStyle name="Normal 10 3 5 3" xfId="1987" xr:uid="{00000000-0005-0000-0000-0000C0070000}"/>
    <cellStyle name="Normal 10 3 5 3 2" xfId="1988" xr:uid="{00000000-0005-0000-0000-0000C1070000}"/>
    <cellStyle name="Normal 10 3 5 3 2 2" xfId="1989" xr:uid="{00000000-0005-0000-0000-0000C2070000}"/>
    <cellStyle name="Normal 10 3 5 3 2 2 2" xfId="1990" xr:uid="{00000000-0005-0000-0000-0000C3070000}"/>
    <cellStyle name="Normal 10 3 5 3 2 2 2 2" xfId="1991" xr:uid="{00000000-0005-0000-0000-0000C4070000}"/>
    <cellStyle name="Normal 10 3 5 3 2 2 3" xfId="1992" xr:uid="{00000000-0005-0000-0000-0000C5070000}"/>
    <cellStyle name="Normal 10 3 5 3 2 3" xfId="1993" xr:uid="{00000000-0005-0000-0000-0000C6070000}"/>
    <cellStyle name="Normal 10 3 5 3 2 3 2" xfId="1994" xr:uid="{00000000-0005-0000-0000-0000C7070000}"/>
    <cellStyle name="Normal 10 3 5 3 2 4" xfId="1995" xr:uid="{00000000-0005-0000-0000-0000C8070000}"/>
    <cellStyle name="Normal 10 3 5 3 3" xfId="1996" xr:uid="{00000000-0005-0000-0000-0000C9070000}"/>
    <cellStyle name="Normal 10 3 5 3 3 2" xfId="1997" xr:uid="{00000000-0005-0000-0000-0000CA070000}"/>
    <cellStyle name="Normal 10 3 5 3 3 2 2" xfId="1998" xr:uid="{00000000-0005-0000-0000-0000CB070000}"/>
    <cellStyle name="Normal 10 3 5 3 3 3" xfId="1999" xr:uid="{00000000-0005-0000-0000-0000CC070000}"/>
    <cellStyle name="Normal 10 3 5 3 4" xfId="2000" xr:uid="{00000000-0005-0000-0000-0000CD070000}"/>
    <cellStyle name="Normal 10 3 5 3 4 2" xfId="2001" xr:uid="{00000000-0005-0000-0000-0000CE070000}"/>
    <cellStyle name="Normal 10 3 5 3 5" xfId="2002" xr:uid="{00000000-0005-0000-0000-0000CF070000}"/>
    <cellStyle name="Normal 10 3 5 4" xfId="2003" xr:uid="{00000000-0005-0000-0000-0000D0070000}"/>
    <cellStyle name="Normal 10 3 5 4 2" xfId="2004" xr:uid="{00000000-0005-0000-0000-0000D1070000}"/>
    <cellStyle name="Normal 10 3 5 4 2 2" xfId="2005" xr:uid="{00000000-0005-0000-0000-0000D2070000}"/>
    <cellStyle name="Normal 10 3 5 4 2 2 2" xfId="2006" xr:uid="{00000000-0005-0000-0000-0000D3070000}"/>
    <cellStyle name="Normal 10 3 5 4 2 3" xfId="2007" xr:uid="{00000000-0005-0000-0000-0000D4070000}"/>
    <cellStyle name="Normal 10 3 5 4 3" xfId="2008" xr:uid="{00000000-0005-0000-0000-0000D5070000}"/>
    <cellStyle name="Normal 10 3 5 4 3 2" xfId="2009" xr:uid="{00000000-0005-0000-0000-0000D6070000}"/>
    <cellStyle name="Normal 10 3 5 4 4" xfId="2010" xr:uid="{00000000-0005-0000-0000-0000D7070000}"/>
    <cellStyle name="Normal 10 3 5 5" xfId="2011" xr:uid="{00000000-0005-0000-0000-0000D8070000}"/>
    <cellStyle name="Normal 10 3 5 5 2" xfId="2012" xr:uid="{00000000-0005-0000-0000-0000D9070000}"/>
    <cellStyle name="Normal 10 3 5 5 2 2" xfId="2013" xr:uid="{00000000-0005-0000-0000-0000DA070000}"/>
    <cellStyle name="Normal 10 3 5 5 3" xfId="2014" xr:uid="{00000000-0005-0000-0000-0000DB070000}"/>
    <cellStyle name="Normal 10 3 5 6" xfId="2015" xr:uid="{00000000-0005-0000-0000-0000DC070000}"/>
    <cellStyle name="Normal 10 3 5 6 2" xfId="2016" xr:uid="{00000000-0005-0000-0000-0000DD070000}"/>
    <cellStyle name="Normal 10 3 5 7" xfId="2017" xr:uid="{00000000-0005-0000-0000-0000DE070000}"/>
    <cellStyle name="Normal 10 3 6" xfId="2018" xr:uid="{00000000-0005-0000-0000-0000DF070000}"/>
    <cellStyle name="Normal 10 3 6 2" xfId="2019" xr:uid="{00000000-0005-0000-0000-0000E0070000}"/>
    <cellStyle name="Normal 10 3 6 2 2" xfId="2020" xr:uid="{00000000-0005-0000-0000-0000E1070000}"/>
    <cellStyle name="Normal 10 3 6 2 2 2" xfId="2021" xr:uid="{00000000-0005-0000-0000-0000E2070000}"/>
    <cellStyle name="Normal 10 3 6 2 2 2 2" xfId="2022" xr:uid="{00000000-0005-0000-0000-0000E3070000}"/>
    <cellStyle name="Normal 10 3 6 2 2 2 2 2" xfId="2023" xr:uid="{00000000-0005-0000-0000-0000E4070000}"/>
    <cellStyle name="Normal 10 3 6 2 2 2 3" xfId="2024" xr:uid="{00000000-0005-0000-0000-0000E5070000}"/>
    <cellStyle name="Normal 10 3 6 2 2 3" xfId="2025" xr:uid="{00000000-0005-0000-0000-0000E6070000}"/>
    <cellStyle name="Normal 10 3 6 2 2 3 2" xfId="2026" xr:uid="{00000000-0005-0000-0000-0000E7070000}"/>
    <cellStyle name="Normal 10 3 6 2 2 4" xfId="2027" xr:uid="{00000000-0005-0000-0000-0000E8070000}"/>
    <cellStyle name="Normal 10 3 6 2 3" xfId="2028" xr:uid="{00000000-0005-0000-0000-0000E9070000}"/>
    <cellStyle name="Normal 10 3 6 2 3 2" xfId="2029" xr:uid="{00000000-0005-0000-0000-0000EA070000}"/>
    <cellStyle name="Normal 10 3 6 2 3 2 2" xfId="2030" xr:uid="{00000000-0005-0000-0000-0000EB070000}"/>
    <cellStyle name="Normal 10 3 6 2 3 3" xfId="2031" xr:uid="{00000000-0005-0000-0000-0000EC070000}"/>
    <cellStyle name="Normal 10 3 6 2 4" xfId="2032" xr:uid="{00000000-0005-0000-0000-0000ED070000}"/>
    <cellStyle name="Normal 10 3 6 2 4 2" xfId="2033" xr:uid="{00000000-0005-0000-0000-0000EE070000}"/>
    <cellStyle name="Normal 10 3 6 2 5" xfId="2034" xr:uid="{00000000-0005-0000-0000-0000EF070000}"/>
    <cellStyle name="Normal 10 3 6 3" xfId="2035" xr:uid="{00000000-0005-0000-0000-0000F0070000}"/>
    <cellStyle name="Normal 10 3 6 3 2" xfId="2036" xr:uid="{00000000-0005-0000-0000-0000F1070000}"/>
    <cellStyle name="Normal 10 3 6 3 2 2" xfId="2037" xr:uid="{00000000-0005-0000-0000-0000F2070000}"/>
    <cellStyle name="Normal 10 3 6 3 2 2 2" xfId="2038" xr:uid="{00000000-0005-0000-0000-0000F3070000}"/>
    <cellStyle name="Normal 10 3 6 3 2 3" xfId="2039" xr:uid="{00000000-0005-0000-0000-0000F4070000}"/>
    <cellStyle name="Normal 10 3 6 3 3" xfId="2040" xr:uid="{00000000-0005-0000-0000-0000F5070000}"/>
    <cellStyle name="Normal 10 3 6 3 3 2" xfId="2041" xr:uid="{00000000-0005-0000-0000-0000F6070000}"/>
    <cellStyle name="Normal 10 3 6 3 4" xfId="2042" xr:uid="{00000000-0005-0000-0000-0000F7070000}"/>
    <cellStyle name="Normal 10 3 6 4" xfId="2043" xr:uid="{00000000-0005-0000-0000-0000F8070000}"/>
    <cellStyle name="Normal 10 3 6 4 2" xfId="2044" xr:uid="{00000000-0005-0000-0000-0000F9070000}"/>
    <cellStyle name="Normal 10 3 6 4 2 2" xfId="2045" xr:uid="{00000000-0005-0000-0000-0000FA070000}"/>
    <cellStyle name="Normal 10 3 6 4 3" xfId="2046" xr:uid="{00000000-0005-0000-0000-0000FB070000}"/>
    <cellStyle name="Normal 10 3 6 5" xfId="2047" xr:uid="{00000000-0005-0000-0000-0000FC070000}"/>
    <cellStyle name="Normal 10 3 6 5 2" xfId="2048" xr:uid="{00000000-0005-0000-0000-0000FD070000}"/>
    <cellStyle name="Normal 10 3 6 6" xfId="2049" xr:uid="{00000000-0005-0000-0000-0000FE070000}"/>
    <cellStyle name="Normal 10 3 7" xfId="2050" xr:uid="{00000000-0005-0000-0000-0000FF070000}"/>
    <cellStyle name="Normal 10 3 7 2" xfId="2051" xr:uid="{00000000-0005-0000-0000-000000080000}"/>
    <cellStyle name="Normal 10 3 7 2 2" xfId="2052" xr:uid="{00000000-0005-0000-0000-000001080000}"/>
    <cellStyle name="Normal 10 3 7 2 2 2" xfId="2053" xr:uid="{00000000-0005-0000-0000-000002080000}"/>
    <cellStyle name="Normal 10 3 7 2 2 2 2" xfId="2054" xr:uid="{00000000-0005-0000-0000-000003080000}"/>
    <cellStyle name="Normal 10 3 7 2 2 3" xfId="2055" xr:uid="{00000000-0005-0000-0000-000004080000}"/>
    <cellStyle name="Normal 10 3 7 2 3" xfId="2056" xr:uid="{00000000-0005-0000-0000-000005080000}"/>
    <cellStyle name="Normal 10 3 7 2 3 2" xfId="2057" xr:uid="{00000000-0005-0000-0000-000006080000}"/>
    <cellStyle name="Normal 10 3 7 2 4" xfId="2058" xr:uid="{00000000-0005-0000-0000-000007080000}"/>
    <cellStyle name="Normal 10 3 7 3" xfId="2059" xr:uid="{00000000-0005-0000-0000-000008080000}"/>
    <cellStyle name="Normal 10 3 7 3 2" xfId="2060" xr:uid="{00000000-0005-0000-0000-000009080000}"/>
    <cellStyle name="Normal 10 3 7 3 2 2" xfId="2061" xr:uid="{00000000-0005-0000-0000-00000A080000}"/>
    <cellStyle name="Normal 10 3 7 3 3" xfId="2062" xr:uid="{00000000-0005-0000-0000-00000B080000}"/>
    <cellStyle name="Normal 10 3 7 4" xfId="2063" xr:uid="{00000000-0005-0000-0000-00000C080000}"/>
    <cellStyle name="Normal 10 3 7 4 2" xfId="2064" xr:uid="{00000000-0005-0000-0000-00000D080000}"/>
    <cellStyle name="Normal 10 3 7 5" xfId="2065" xr:uid="{00000000-0005-0000-0000-00000E080000}"/>
    <cellStyle name="Normal 10 3 8" xfId="2066" xr:uid="{00000000-0005-0000-0000-00000F080000}"/>
    <cellStyle name="Normal 10 3 8 2" xfId="2067" xr:uid="{00000000-0005-0000-0000-000010080000}"/>
    <cellStyle name="Normal 10 3 8 2 2" xfId="2068" xr:uid="{00000000-0005-0000-0000-000011080000}"/>
    <cellStyle name="Normal 10 3 8 2 2 2" xfId="2069" xr:uid="{00000000-0005-0000-0000-000012080000}"/>
    <cellStyle name="Normal 10 3 8 2 3" xfId="2070" xr:uid="{00000000-0005-0000-0000-000013080000}"/>
    <cellStyle name="Normal 10 3 8 3" xfId="2071" xr:uid="{00000000-0005-0000-0000-000014080000}"/>
    <cellStyle name="Normal 10 3 8 3 2" xfId="2072" xr:uid="{00000000-0005-0000-0000-000015080000}"/>
    <cellStyle name="Normal 10 3 8 4" xfId="2073" xr:uid="{00000000-0005-0000-0000-000016080000}"/>
    <cellStyle name="Normal 10 3 9" xfId="2074" xr:uid="{00000000-0005-0000-0000-000017080000}"/>
    <cellStyle name="Normal 10 3 9 2" xfId="2075" xr:uid="{00000000-0005-0000-0000-000018080000}"/>
    <cellStyle name="Normal 10 3 9 2 2" xfId="2076" xr:uid="{00000000-0005-0000-0000-000019080000}"/>
    <cellStyle name="Normal 10 3 9 3" xfId="2077" xr:uid="{00000000-0005-0000-0000-00001A080000}"/>
    <cellStyle name="Normal 10 4" xfId="2078" xr:uid="{00000000-0005-0000-0000-00001B080000}"/>
    <cellStyle name="Normal 10 4 10" xfId="2079" xr:uid="{00000000-0005-0000-0000-00001C080000}"/>
    <cellStyle name="Normal 10 4 2" xfId="2080" xr:uid="{00000000-0005-0000-0000-00001D080000}"/>
    <cellStyle name="Normal 10 4 2 2" xfId="2081" xr:uid="{00000000-0005-0000-0000-00001E080000}"/>
    <cellStyle name="Normal 10 4 2 2 2" xfId="2082" xr:uid="{00000000-0005-0000-0000-00001F080000}"/>
    <cellStyle name="Normal 10 4 2 2 2 2" xfId="2083" xr:uid="{00000000-0005-0000-0000-000020080000}"/>
    <cellStyle name="Normal 10 4 2 2 2 2 2" xfId="2084" xr:uid="{00000000-0005-0000-0000-000021080000}"/>
    <cellStyle name="Normal 10 4 2 2 2 2 2 2" xfId="2085" xr:uid="{00000000-0005-0000-0000-000022080000}"/>
    <cellStyle name="Normal 10 4 2 2 2 2 2 2 2" xfId="2086" xr:uid="{00000000-0005-0000-0000-000023080000}"/>
    <cellStyle name="Normal 10 4 2 2 2 2 2 2 2 2" xfId="2087" xr:uid="{00000000-0005-0000-0000-000024080000}"/>
    <cellStyle name="Normal 10 4 2 2 2 2 2 2 2 2 2" xfId="2088" xr:uid="{00000000-0005-0000-0000-000025080000}"/>
    <cellStyle name="Normal 10 4 2 2 2 2 2 2 2 3" xfId="2089" xr:uid="{00000000-0005-0000-0000-000026080000}"/>
    <cellStyle name="Normal 10 4 2 2 2 2 2 2 3" xfId="2090" xr:uid="{00000000-0005-0000-0000-000027080000}"/>
    <cellStyle name="Normal 10 4 2 2 2 2 2 2 3 2" xfId="2091" xr:uid="{00000000-0005-0000-0000-000028080000}"/>
    <cellStyle name="Normal 10 4 2 2 2 2 2 2 4" xfId="2092" xr:uid="{00000000-0005-0000-0000-000029080000}"/>
    <cellStyle name="Normal 10 4 2 2 2 2 2 3" xfId="2093" xr:uid="{00000000-0005-0000-0000-00002A080000}"/>
    <cellStyle name="Normal 10 4 2 2 2 2 2 3 2" xfId="2094" xr:uid="{00000000-0005-0000-0000-00002B080000}"/>
    <cellStyle name="Normal 10 4 2 2 2 2 2 3 2 2" xfId="2095" xr:uid="{00000000-0005-0000-0000-00002C080000}"/>
    <cellStyle name="Normal 10 4 2 2 2 2 2 3 3" xfId="2096" xr:uid="{00000000-0005-0000-0000-00002D080000}"/>
    <cellStyle name="Normal 10 4 2 2 2 2 2 4" xfId="2097" xr:uid="{00000000-0005-0000-0000-00002E080000}"/>
    <cellStyle name="Normal 10 4 2 2 2 2 2 4 2" xfId="2098" xr:uid="{00000000-0005-0000-0000-00002F080000}"/>
    <cellStyle name="Normal 10 4 2 2 2 2 2 5" xfId="2099" xr:uid="{00000000-0005-0000-0000-000030080000}"/>
    <cellStyle name="Normal 10 4 2 2 2 2 3" xfId="2100" xr:uid="{00000000-0005-0000-0000-000031080000}"/>
    <cellStyle name="Normal 10 4 2 2 2 2 3 2" xfId="2101" xr:uid="{00000000-0005-0000-0000-000032080000}"/>
    <cellStyle name="Normal 10 4 2 2 2 2 3 2 2" xfId="2102" xr:uid="{00000000-0005-0000-0000-000033080000}"/>
    <cellStyle name="Normal 10 4 2 2 2 2 3 2 2 2" xfId="2103" xr:uid="{00000000-0005-0000-0000-000034080000}"/>
    <cellStyle name="Normal 10 4 2 2 2 2 3 2 3" xfId="2104" xr:uid="{00000000-0005-0000-0000-000035080000}"/>
    <cellStyle name="Normal 10 4 2 2 2 2 3 3" xfId="2105" xr:uid="{00000000-0005-0000-0000-000036080000}"/>
    <cellStyle name="Normal 10 4 2 2 2 2 3 3 2" xfId="2106" xr:uid="{00000000-0005-0000-0000-000037080000}"/>
    <cellStyle name="Normal 10 4 2 2 2 2 3 4" xfId="2107" xr:uid="{00000000-0005-0000-0000-000038080000}"/>
    <cellStyle name="Normal 10 4 2 2 2 2 4" xfId="2108" xr:uid="{00000000-0005-0000-0000-000039080000}"/>
    <cellStyle name="Normal 10 4 2 2 2 2 4 2" xfId="2109" xr:uid="{00000000-0005-0000-0000-00003A080000}"/>
    <cellStyle name="Normal 10 4 2 2 2 2 4 2 2" xfId="2110" xr:uid="{00000000-0005-0000-0000-00003B080000}"/>
    <cellStyle name="Normal 10 4 2 2 2 2 4 3" xfId="2111" xr:uid="{00000000-0005-0000-0000-00003C080000}"/>
    <cellStyle name="Normal 10 4 2 2 2 2 5" xfId="2112" xr:uid="{00000000-0005-0000-0000-00003D080000}"/>
    <cellStyle name="Normal 10 4 2 2 2 2 5 2" xfId="2113" xr:uid="{00000000-0005-0000-0000-00003E080000}"/>
    <cellStyle name="Normal 10 4 2 2 2 2 6" xfId="2114" xr:uid="{00000000-0005-0000-0000-00003F080000}"/>
    <cellStyle name="Normal 10 4 2 2 2 3" xfId="2115" xr:uid="{00000000-0005-0000-0000-000040080000}"/>
    <cellStyle name="Normal 10 4 2 2 2 3 2" xfId="2116" xr:uid="{00000000-0005-0000-0000-000041080000}"/>
    <cellStyle name="Normal 10 4 2 2 2 3 2 2" xfId="2117" xr:uid="{00000000-0005-0000-0000-000042080000}"/>
    <cellStyle name="Normal 10 4 2 2 2 3 2 2 2" xfId="2118" xr:uid="{00000000-0005-0000-0000-000043080000}"/>
    <cellStyle name="Normal 10 4 2 2 2 3 2 2 2 2" xfId="2119" xr:uid="{00000000-0005-0000-0000-000044080000}"/>
    <cellStyle name="Normal 10 4 2 2 2 3 2 2 3" xfId="2120" xr:uid="{00000000-0005-0000-0000-000045080000}"/>
    <cellStyle name="Normal 10 4 2 2 2 3 2 3" xfId="2121" xr:uid="{00000000-0005-0000-0000-000046080000}"/>
    <cellStyle name="Normal 10 4 2 2 2 3 2 3 2" xfId="2122" xr:uid="{00000000-0005-0000-0000-000047080000}"/>
    <cellStyle name="Normal 10 4 2 2 2 3 2 4" xfId="2123" xr:uid="{00000000-0005-0000-0000-000048080000}"/>
    <cellStyle name="Normal 10 4 2 2 2 3 3" xfId="2124" xr:uid="{00000000-0005-0000-0000-000049080000}"/>
    <cellStyle name="Normal 10 4 2 2 2 3 3 2" xfId="2125" xr:uid="{00000000-0005-0000-0000-00004A080000}"/>
    <cellStyle name="Normal 10 4 2 2 2 3 3 2 2" xfId="2126" xr:uid="{00000000-0005-0000-0000-00004B080000}"/>
    <cellStyle name="Normal 10 4 2 2 2 3 3 3" xfId="2127" xr:uid="{00000000-0005-0000-0000-00004C080000}"/>
    <cellStyle name="Normal 10 4 2 2 2 3 4" xfId="2128" xr:uid="{00000000-0005-0000-0000-00004D080000}"/>
    <cellStyle name="Normal 10 4 2 2 2 3 4 2" xfId="2129" xr:uid="{00000000-0005-0000-0000-00004E080000}"/>
    <cellStyle name="Normal 10 4 2 2 2 3 5" xfId="2130" xr:uid="{00000000-0005-0000-0000-00004F080000}"/>
    <cellStyle name="Normal 10 4 2 2 2 4" xfId="2131" xr:uid="{00000000-0005-0000-0000-000050080000}"/>
    <cellStyle name="Normal 10 4 2 2 2 4 2" xfId="2132" xr:uid="{00000000-0005-0000-0000-000051080000}"/>
    <cellStyle name="Normal 10 4 2 2 2 4 2 2" xfId="2133" xr:uid="{00000000-0005-0000-0000-000052080000}"/>
    <cellStyle name="Normal 10 4 2 2 2 4 2 2 2" xfId="2134" xr:uid="{00000000-0005-0000-0000-000053080000}"/>
    <cellStyle name="Normal 10 4 2 2 2 4 2 3" xfId="2135" xr:uid="{00000000-0005-0000-0000-000054080000}"/>
    <cellStyle name="Normal 10 4 2 2 2 4 3" xfId="2136" xr:uid="{00000000-0005-0000-0000-000055080000}"/>
    <cellStyle name="Normal 10 4 2 2 2 4 3 2" xfId="2137" xr:uid="{00000000-0005-0000-0000-000056080000}"/>
    <cellStyle name="Normal 10 4 2 2 2 4 4" xfId="2138" xr:uid="{00000000-0005-0000-0000-000057080000}"/>
    <cellStyle name="Normal 10 4 2 2 2 5" xfId="2139" xr:uid="{00000000-0005-0000-0000-000058080000}"/>
    <cellStyle name="Normal 10 4 2 2 2 5 2" xfId="2140" xr:uid="{00000000-0005-0000-0000-000059080000}"/>
    <cellStyle name="Normal 10 4 2 2 2 5 2 2" xfId="2141" xr:uid="{00000000-0005-0000-0000-00005A080000}"/>
    <cellStyle name="Normal 10 4 2 2 2 5 3" xfId="2142" xr:uid="{00000000-0005-0000-0000-00005B080000}"/>
    <cellStyle name="Normal 10 4 2 2 2 6" xfId="2143" xr:uid="{00000000-0005-0000-0000-00005C080000}"/>
    <cellStyle name="Normal 10 4 2 2 2 6 2" xfId="2144" xr:uid="{00000000-0005-0000-0000-00005D080000}"/>
    <cellStyle name="Normal 10 4 2 2 2 7" xfId="2145" xr:uid="{00000000-0005-0000-0000-00005E080000}"/>
    <cellStyle name="Normal 10 4 2 2 3" xfId="2146" xr:uid="{00000000-0005-0000-0000-00005F080000}"/>
    <cellStyle name="Normal 10 4 2 2 3 2" xfId="2147" xr:uid="{00000000-0005-0000-0000-000060080000}"/>
    <cellStyle name="Normal 10 4 2 2 3 2 2" xfId="2148" xr:uid="{00000000-0005-0000-0000-000061080000}"/>
    <cellStyle name="Normal 10 4 2 2 3 2 2 2" xfId="2149" xr:uid="{00000000-0005-0000-0000-000062080000}"/>
    <cellStyle name="Normal 10 4 2 2 3 2 2 2 2" xfId="2150" xr:uid="{00000000-0005-0000-0000-000063080000}"/>
    <cellStyle name="Normal 10 4 2 2 3 2 2 2 2 2" xfId="2151" xr:uid="{00000000-0005-0000-0000-000064080000}"/>
    <cellStyle name="Normal 10 4 2 2 3 2 2 2 3" xfId="2152" xr:uid="{00000000-0005-0000-0000-000065080000}"/>
    <cellStyle name="Normal 10 4 2 2 3 2 2 3" xfId="2153" xr:uid="{00000000-0005-0000-0000-000066080000}"/>
    <cellStyle name="Normal 10 4 2 2 3 2 2 3 2" xfId="2154" xr:uid="{00000000-0005-0000-0000-000067080000}"/>
    <cellStyle name="Normal 10 4 2 2 3 2 2 4" xfId="2155" xr:uid="{00000000-0005-0000-0000-000068080000}"/>
    <cellStyle name="Normal 10 4 2 2 3 2 3" xfId="2156" xr:uid="{00000000-0005-0000-0000-000069080000}"/>
    <cellStyle name="Normal 10 4 2 2 3 2 3 2" xfId="2157" xr:uid="{00000000-0005-0000-0000-00006A080000}"/>
    <cellStyle name="Normal 10 4 2 2 3 2 3 2 2" xfId="2158" xr:uid="{00000000-0005-0000-0000-00006B080000}"/>
    <cellStyle name="Normal 10 4 2 2 3 2 3 3" xfId="2159" xr:uid="{00000000-0005-0000-0000-00006C080000}"/>
    <cellStyle name="Normal 10 4 2 2 3 2 4" xfId="2160" xr:uid="{00000000-0005-0000-0000-00006D080000}"/>
    <cellStyle name="Normal 10 4 2 2 3 2 4 2" xfId="2161" xr:uid="{00000000-0005-0000-0000-00006E080000}"/>
    <cellStyle name="Normal 10 4 2 2 3 2 5" xfId="2162" xr:uid="{00000000-0005-0000-0000-00006F080000}"/>
    <cellStyle name="Normal 10 4 2 2 3 3" xfId="2163" xr:uid="{00000000-0005-0000-0000-000070080000}"/>
    <cellStyle name="Normal 10 4 2 2 3 3 2" xfId="2164" xr:uid="{00000000-0005-0000-0000-000071080000}"/>
    <cellStyle name="Normal 10 4 2 2 3 3 2 2" xfId="2165" xr:uid="{00000000-0005-0000-0000-000072080000}"/>
    <cellStyle name="Normal 10 4 2 2 3 3 2 2 2" xfId="2166" xr:uid="{00000000-0005-0000-0000-000073080000}"/>
    <cellStyle name="Normal 10 4 2 2 3 3 2 3" xfId="2167" xr:uid="{00000000-0005-0000-0000-000074080000}"/>
    <cellStyle name="Normal 10 4 2 2 3 3 3" xfId="2168" xr:uid="{00000000-0005-0000-0000-000075080000}"/>
    <cellStyle name="Normal 10 4 2 2 3 3 3 2" xfId="2169" xr:uid="{00000000-0005-0000-0000-000076080000}"/>
    <cellStyle name="Normal 10 4 2 2 3 3 4" xfId="2170" xr:uid="{00000000-0005-0000-0000-000077080000}"/>
    <cellStyle name="Normal 10 4 2 2 3 4" xfId="2171" xr:uid="{00000000-0005-0000-0000-000078080000}"/>
    <cellStyle name="Normal 10 4 2 2 3 4 2" xfId="2172" xr:uid="{00000000-0005-0000-0000-000079080000}"/>
    <cellStyle name="Normal 10 4 2 2 3 4 2 2" xfId="2173" xr:uid="{00000000-0005-0000-0000-00007A080000}"/>
    <cellStyle name="Normal 10 4 2 2 3 4 3" xfId="2174" xr:uid="{00000000-0005-0000-0000-00007B080000}"/>
    <cellStyle name="Normal 10 4 2 2 3 5" xfId="2175" xr:uid="{00000000-0005-0000-0000-00007C080000}"/>
    <cellStyle name="Normal 10 4 2 2 3 5 2" xfId="2176" xr:uid="{00000000-0005-0000-0000-00007D080000}"/>
    <cellStyle name="Normal 10 4 2 2 3 6" xfId="2177" xr:uid="{00000000-0005-0000-0000-00007E080000}"/>
    <cellStyle name="Normal 10 4 2 2 4" xfId="2178" xr:uid="{00000000-0005-0000-0000-00007F080000}"/>
    <cellStyle name="Normal 10 4 2 2 4 2" xfId="2179" xr:uid="{00000000-0005-0000-0000-000080080000}"/>
    <cellStyle name="Normal 10 4 2 2 4 2 2" xfId="2180" xr:uid="{00000000-0005-0000-0000-000081080000}"/>
    <cellStyle name="Normal 10 4 2 2 4 2 2 2" xfId="2181" xr:uid="{00000000-0005-0000-0000-000082080000}"/>
    <cellStyle name="Normal 10 4 2 2 4 2 2 2 2" xfId="2182" xr:uid="{00000000-0005-0000-0000-000083080000}"/>
    <cellStyle name="Normal 10 4 2 2 4 2 2 3" xfId="2183" xr:uid="{00000000-0005-0000-0000-000084080000}"/>
    <cellStyle name="Normal 10 4 2 2 4 2 3" xfId="2184" xr:uid="{00000000-0005-0000-0000-000085080000}"/>
    <cellStyle name="Normal 10 4 2 2 4 2 3 2" xfId="2185" xr:uid="{00000000-0005-0000-0000-000086080000}"/>
    <cellStyle name="Normal 10 4 2 2 4 2 4" xfId="2186" xr:uid="{00000000-0005-0000-0000-000087080000}"/>
    <cellStyle name="Normal 10 4 2 2 4 3" xfId="2187" xr:uid="{00000000-0005-0000-0000-000088080000}"/>
    <cellStyle name="Normal 10 4 2 2 4 3 2" xfId="2188" xr:uid="{00000000-0005-0000-0000-000089080000}"/>
    <cellStyle name="Normal 10 4 2 2 4 3 2 2" xfId="2189" xr:uid="{00000000-0005-0000-0000-00008A080000}"/>
    <cellStyle name="Normal 10 4 2 2 4 3 3" xfId="2190" xr:uid="{00000000-0005-0000-0000-00008B080000}"/>
    <cellStyle name="Normal 10 4 2 2 4 4" xfId="2191" xr:uid="{00000000-0005-0000-0000-00008C080000}"/>
    <cellStyle name="Normal 10 4 2 2 4 4 2" xfId="2192" xr:uid="{00000000-0005-0000-0000-00008D080000}"/>
    <cellStyle name="Normal 10 4 2 2 4 5" xfId="2193" xr:uid="{00000000-0005-0000-0000-00008E080000}"/>
    <cellStyle name="Normal 10 4 2 2 5" xfId="2194" xr:uid="{00000000-0005-0000-0000-00008F080000}"/>
    <cellStyle name="Normal 10 4 2 2 5 2" xfId="2195" xr:uid="{00000000-0005-0000-0000-000090080000}"/>
    <cellStyle name="Normal 10 4 2 2 5 2 2" xfId="2196" xr:uid="{00000000-0005-0000-0000-000091080000}"/>
    <cellStyle name="Normal 10 4 2 2 5 2 2 2" xfId="2197" xr:uid="{00000000-0005-0000-0000-000092080000}"/>
    <cellStyle name="Normal 10 4 2 2 5 2 3" xfId="2198" xr:uid="{00000000-0005-0000-0000-000093080000}"/>
    <cellStyle name="Normal 10 4 2 2 5 3" xfId="2199" xr:uid="{00000000-0005-0000-0000-000094080000}"/>
    <cellStyle name="Normal 10 4 2 2 5 3 2" xfId="2200" xr:uid="{00000000-0005-0000-0000-000095080000}"/>
    <cellStyle name="Normal 10 4 2 2 5 4" xfId="2201" xr:uid="{00000000-0005-0000-0000-000096080000}"/>
    <cellStyle name="Normal 10 4 2 2 6" xfId="2202" xr:uid="{00000000-0005-0000-0000-000097080000}"/>
    <cellStyle name="Normal 10 4 2 2 6 2" xfId="2203" xr:uid="{00000000-0005-0000-0000-000098080000}"/>
    <cellStyle name="Normal 10 4 2 2 6 2 2" xfId="2204" xr:uid="{00000000-0005-0000-0000-000099080000}"/>
    <cellStyle name="Normal 10 4 2 2 6 3" xfId="2205" xr:uid="{00000000-0005-0000-0000-00009A080000}"/>
    <cellStyle name="Normal 10 4 2 2 7" xfId="2206" xr:uid="{00000000-0005-0000-0000-00009B080000}"/>
    <cellStyle name="Normal 10 4 2 2 7 2" xfId="2207" xr:uid="{00000000-0005-0000-0000-00009C080000}"/>
    <cellStyle name="Normal 10 4 2 2 8" xfId="2208" xr:uid="{00000000-0005-0000-0000-00009D080000}"/>
    <cellStyle name="Normal 10 4 2 3" xfId="2209" xr:uid="{00000000-0005-0000-0000-00009E080000}"/>
    <cellStyle name="Normal 10 4 2 3 2" xfId="2210" xr:uid="{00000000-0005-0000-0000-00009F080000}"/>
    <cellStyle name="Normal 10 4 2 3 2 2" xfId="2211" xr:uid="{00000000-0005-0000-0000-0000A0080000}"/>
    <cellStyle name="Normal 10 4 2 3 2 2 2" xfId="2212" xr:uid="{00000000-0005-0000-0000-0000A1080000}"/>
    <cellStyle name="Normal 10 4 2 3 2 2 2 2" xfId="2213" xr:uid="{00000000-0005-0000-0000-0000A2080000}"/>
    <cellStyle name="Normal 10 4 2 3 2 2 2 2 2" xfId="2214" xr:uid="{00000000-0005-0000-0000-0000A3080000}"/>
    <cellStyle name="Normal 10 4 2 3 2 2 2 2 2 2" xfId="2215" xr:uid="{00000000-0005-0000-0000-0000A4080000}"/>
    <cellStyle name="Normal 10 4 2 3 2 2 2 2 3" xfId="2216" xr:uid="{00000000-0005-0000-0000-0000A5080000}"/>
    <cellStyle name="Normal 10 4 2 3 2 2 2 3" xfId="2217" xr:uid="{00000000-0005-0000-0000-0000A6080000}"/>
    <cellStyle name="Normal 10 4 2 3 2 2 2 3 2" xfId="2218" xr:uid="{00000000-0005-0000-0000-0000A7080000}"/>
    <cellStyle name="Normal 10 4 2 3 2 2 2 4" xfId="2219" xr:uid="{00000000-0005-0000-0000-0000A8080000}"/>
    <cellStyle name="Normal 10 4 2 3 2 2 3" xfId="2220" xr:uid="{00000000-0005-0000-0000-0000A9080000}"/>
    <cellStyle name="Normal 10 4 2 3 2 2 3 2" xfId="2221" xr:uid="{00000000-0005-0000-0000-0000AA080000}"/>
    <cellStyle name="Normal 10 4 2 3 2 2 3 2 2" xfId="2222" xr:uid="{00000000-0005-0000-0000-0000AB080000}"/>
    <cellStyle name="Normal 10 4 2 3 2 2 3 3" xfId="2223" xr:uid="{00000000-0005-0000-0000-0000AC080000}"/>
    <cellStyle name="Normal 10 4 2 3 2 2 4" xfId="2224" xr:uid="{00000000-0005-0000-0000-0000AD080000}"/>
    <cellStyle name="Normal 10 4 2 3 2 2 4 2" xfId="2225" xr:uid="{00000000-0005-0000-0000-0000AE080000}"/>
    <cellStyle name="Normal 10 4 2 3 2 2 5" xfId="2226" xr:uid="{00000000-0005-0000-0000-0000AF080000}"/>
    <cellStyle name="Normal 10 4 2 3 2 3" xfId="2227" xr:uid="{00000000-0005-0000-0000-0000B0080000}"/>
    <cellStyle name="Normal 10 4 2 3 2 3 2" xfId="2228" xr:uid="{00000000-0005-0000-0000-0000B1080000}"/>
    <cellStyle name="Normal 10 4 2 3 2 3 2 2" xfId="2229" xr:uid="{00000000-0005-0000-0000-0000B2080000}"/>
    <cellStyle name="Normal 10 4 2 3 2 3 2 2 2" xfId="2230" xr:uid="{00000000-0005-0000-0000-0000B3080000}"/>
    <cellStyle name="Normal 10 4 2 3 2 3 2 3" xfId="2231" xr:uid="{00000000-0005-0000-0000-0000B4080000}"/>
    <cellStyle name="Normal 10 4 2 3 2 3 3" xfId="2232" xr:uid="{00000000-0005-0000-0000-0000B5080000}"/>
    <cellStyle name="Normal 10 4 2 3 2 3 3 2" xfId="2233" xr:uid="{00000000-0005-0000-0000-0000B6080000}"/>
    <cellStyle name="Normal 10 4 2 3 2 3 4" xfId="2234" xr:uid="{00000000-0005-0000-0000-0000B7080000}"/>
    <cellStyle name="Normal 10 4 2 3 2 4" xfId="2235" xr:uid="{00000000-0005-0000-0000-0000B8080000}"/>
    <cellStyle name="Normal 10 4 2 3 2 4 2" xfId="2236" xr:uid="{00000000-0005-0000-0000-0000B9080000}"/>
    <cellStyle name="Normal 10 4 2 3 2 4 2 2" xfId="2237" xr:uid="{00000000-0005-0000-0000-0000BA080000}"/>
    <cellStyle name="Normal 10 4 2 3 2 4 3" xfId="2238" xr:uid="{00000000-0005-0000-0000-0000BB080000}"/>
    <cellStyle name="Normal 10 4 2 3 2 5" xfId="2239" xr:uid="{00000000-0005-0000-0000-0000BC080000}"/>
    <cellStyle name="Normal 10 4 2 3 2 5 2" xfId="2240" xr:uid="{00000000-0005-0000-0000-0000BD080000}"/>
    <cellStyle name="Normal 10 4 2 3 2 6" xfId="2241" xr:uid="{00000000-0005-0000-0000-0000BE080000}"/>
    <cellStyle name="Normal 10 4 2 3 3" xfId="2242" xr:uid="{00000000-0005-0000-0000-0000BF080000}"/>
    <cellStyle name="Normal 10 4 2 3 3 2" xfId="2243" xr:uid="{00000000-0005-0000-0000-0000C0080000}"/>
    <cellStyle name="Normal 10 4 2 3 3 2 2" xfId="2244" xr:uid="{00000000-0005-0000-0000-0000C1080000}"/>
    <cellStyle name="Normal 10 4 2 3 3 2 2 2" xfId="2245" xr:uid="{00000000-0005-0000-0000-0000C2080000}"/>
    <cellStyle name="Normal 10 4 2 3 3 2 2 2 2" xfId="2246" xr:uid="{00000000-0005-0000-0000-0000C3080000}"/>
    <cellStyle name="Normal 10 4 2 3 3 2 2 3" xfId="2247" xr:uid="{00000000-0005-0000-0000-0000C4080000}"/>
    <cellStyle name="Normal 10 4 2 3 3 2 3" xfId="2248" xr:uid="{00000000-0005-0000-0000-0000C5080000}"/>
    <cellStyle name="Normal 10 4 2 3 3 2 3 2" xfId="2249" xr:uid="{00000000-0005-0000-0000-0000C6080000}"/>
    <cellStyle name="Normal 10 4 2 3 3 2 4" xfId="2250" xr:uid="{00000000-0005-0000-0000-0000C7080000}"/>
    <cellStyle name="Normal 10 4 2 3 3 3" xfId="2251" xr:uid="{00000000-0005-0000-0000-0000C8080000}"/>
    <cellStyle name="Normal 10 4 2 3 3 3 2" xfId="2252" xr:uid="{00000000-0005-0000-0000-0000C9080000}"/>
    <cellStyle name="Normal 10 4 2 3 3 3 2 2" xfId="2253" xr:uid="{00000000-0005-0000-0000-0000CA080000}"/>
    <cellStyle name="Normal 10 4 2 3 3 3 3" xfId="2254" xr:uid="{00000000-0005-0000-0000-0000CB080000}"/>
    <cellStyle name="Normal 10 4 2 3 3 4" xfId="2255" xr:uid="{00000000-0005-0000-0000-0000CC080000}"/>
    <cellStyle name="Normal 10 4 2 3 3 4 2" xfId="2256" xr:uid="{00000000-0005-0000-0000-0000CD080000}"/>
    <cellStyle name="Normal 10 4 2 3 3 5" xfId="2257" xr:uid="{00000000-0005-0000-0000-0000CE080000}"/>
    <cellStyle name="Normal 10 4 2 3 4" xfId="2258" xr:uid="{00000000-0005-0000-0000-0000CF080000}"/>
    <cellStyle name="Normal 10 4 2 3 4 2" xfId="2259" xr:uid="{00000000-0005-0000-0000-0000D0080000}"/>
    <cellStyle name="Normal 10 4 2 3 4 2 2" xfId="2260" xr:uid="{00000000-0005-0000-0000-0000D1080000}"/>
    <cellStyle name="Normal 10 4 2 3 4 2 2 2" xfId="2261" xr:uid="{00000000-0005-0000-0000-0000D2080000}"/>
    <cellStyle name="Normal 10 4 2 3 4 2 3" xfId="2262" xr:uid="{00000000-0005-0000-0000-0000D3080000}"/>
    <cellStyle name="Normal 10 4 2 3 4 3" xfId="2263" xr:uid="{00000000-0005-0000-0000-0000D4080000}"/>
    <cellStyle name="Normal 10 4 2 3 4 3 2" xfId="2264" xr:uid="{00000000-0005-0000-0000-0000D5080000}"/>
    <cellStyle name="Normal 10 4 2 3 4 4" xfId="2265" xr:uid="{00000000-0005-0000-0000-0000D6080000}"/>
    <cellStyle name="Normal 10 4 2 3 5" xfId="2266" xr:uid="{00000000-0005-0000-0000-0000D7080000}"/>
    <cellStyle name="Normal 10 4 2 3 5 2" xfId="2267" xr:uid="{00000000-0005-0000-0000-0000D8080000}"/>
    <cellStyle name="Normal 10 4 2 3 5 2 2" xfId="2268" xr:uid="{00000000-0005-0000-0000-0000D9080000}"/>
    <cellStyle name="Normal 10 4 2 3 5 3" xfId="2269" xr:uid="{00000000-0005-0000-0000-0000DA080000}"/>
    <cellStyle name="Normal 10 4 2 3 6" xfId="2270" xr:uid="{00000000-0005-0000-0000-0000DB080000}"/>
    <cellStyle name="Normal 10 4 2 3 6 2" xfId="2271" xr:uid="{00000000-0005-0000-0000-0000DC080000}"/>
    <cellStyle name="Normal 10 4 2 3 7" xfId="2272" xr:uid="{00000000-0005-0000-0000-0000DD080000}"/>
    <cellStyle name="Normal 10 4 2 4" xfId="2273" xr:uid="{00000000-0005-0000-0000-0000DE080000}"/>
    <cellStyle name="Normal 10 4 2 4 2" xfId="2274" xr:uid="{00000000-0005-0000-0000-0000DF080000}"/>
    <cellStyle name="Normal 10 4 2 4 2 2" xfId="2275" xr:uid="{00000000-0005-0000-0000-0000E0080000}"/>
    <cellStyle name="Normal 10 4 2 4 2 2 2" xfId="2276" xr:uid="{00000000-0005-0000-0000-0000E1080000}"/>
    <cellStyle name="Normal 10 4 2 4 2 2 2 2" xfId="2277" xr:uid="{00000000-0005-0000-0000-0000E2080000}"/>
    <cellStyle name="Normal 10 4 2 4 2 2 2 2 2" xfId="2278" xr:uid="{00000000-0005-0000-0000-0000E3080000}"/>
    <cellStyle name="Normal 10 4 2 4 2 2 2 3" xfId="2279" xr:uid="{00000000-0005-0000-0000-0000E4080000}"/>
    <cellStyle name="Normal 10 4 2 4 2 2 3" xfId="2280" xr:uid="{00000000-0005-0000-0000-0000E5080000}"/>
    <cellStyle name="Normal 10 4 2 4 2 2 3 2" xfId="2281" xr:uid="{00000000-0005-0000-0000-0000E6080000}"/>
    <cellStyle name="Normal 10 4 2 4 2 2 4" xfId="2282" xr:uid="{00000000-0005-0000-0000-0000E7080000}"/>
    <cellStyle name="Normal 10 4 2 4 2 3" xfId="2283" xr:uid="{00000000-0005-0000-0000-0000E8080000}"/>
    <cellStyle name="Normal 10 4 2 4 2 3 2" xfId="2284" xr:uid="{00000000-0005-0000-0000-0000E9080000}"/>
    <cellStyle name="Normal 10 4 2 4 2 3 2 2" xfId="2285" xr:uid="{00000000-0005-0000-0000-0000EA080000}"/>
    <cellStyle name="Normal 10 4 2 4 2 3 3" xfId="2286" xr:uid="{00000000-0005-0000-0000-0000EB080000}"/>
    <cellStyle name="Normal 10 4 2 4 2 4" xfId="2287" xr:uid="{00000000-0005-0000-0000-0000EC080000}"/>
    <cellStyle name="Normal 10 4 2 4 2 4 2" xfId="2288" xr:uid="{00000000-0005-0000-0000-0000ED080000}"/>
    <cellStyle name="Normal 10 4 2 4 2 5" xfId="2289" xr:uid="{00000000-0005-0000-0000-0000EE080000}"/>
    <cellStyle name="Normal 10 4 2 4 3" xfId="2290" xr:uid="{00000000-0005-0000-0000-0000EF080000}"/>
    <cellStyle name="Normal 10 4 2 4 3 2" xfId="2291" xr:uid="{00000000-0005-0000-0000-0000F0080000}"/>
    <cellStyle name="Normal 10 4 2 4 3 2 2" xfId="2292" xr:uid="{00000000-0005-0000-0000-0000F1080000}"/>
    <cellStyle name="Normal 10 4 2 4 3 2 2 2" xfId="2293" xr:uid="{00000000-0005-0000-0000-0000F2080000}"/>
    <cellStyle name="Normal 10 4 2 4 3 2 3" xfId="2294" xr:uid="{00000000-0005-0000-0000-0000F3080000}"/>
    <cellStyle name="Normal 10 4 2 4 3 3" xfId="2295" xr:uid="{00000000-0005-0000-0000-0000F4080000}"/>
    <cellStyle name="Normal 10 4 2 4 3 3 2" xfId="2296" xr:uid="{00000000-0005-0000-0000-0000F5080000}"/>
    <cellStyle name="Normal 10 4 2 4 3 4" xfId="2297" xr:uid="{00000000-0005-0000-0000-0000F6080000}"/>
    <cellStyle name="Normal 10 4 2 4 4" xfId="2298" xr:uid="{00000000-0005-0000-0000-0000F7080000}"/>
    <cellStyle name="Normal 10 4 2 4 4 2" xfId="2299" xr:uid="{00000000-0005-0000-0000-0000F8080000}"/>
    <cellStyle name="Normal 10 4 2 4 4 2 2" xfId="2300" xr:uid="{00000000-0005-0000-0000-0000F9080000}"/>
    <cellStyle name="Normal 10 4 2 4 4 3" xfId="2301" xr:uid="{00000000-0005-0000-0000-0000FA080000}"/>
    <cellStyle name="Normal 10 4 2 4 5" xfId="2302" xr:uid="{00000000-0005-0000-0000-0000FB080000}"/>
    <cellStyle name="Normal 10 4 2 4 5 2" xfId="2303" xr:uid="{00000000-0005-0000-0000-0000FC080000}"/>
    <cellStyle name="Normal 10 4 2 4 6" xfId="2304" xr:uid="{00000000-0005-0000-0000-0000FD080000}"/>
    <cellStyle name="Normal 10 4 2 5" xfId="2305" xr:uid="{00000000-0005-0000-0000-0000FE080000}"/>
    <cellStyle name="Normal 10 4 2 5 2" xfId="2306" xr:uid="{00000000-0005-0000-0000-0000FF080000}"/>
    <cellStyle name="Normal 10 4 2 5 2 2" xfId="2307" xr:uid="{00000000-0005-0000-0000-000000090000}"/>
    <cellStyle name="Normal 10 4 2 5 2 2 2" xfId="2308" xr:uid="{00000000-0005-0000-0000-000001090000}"/>
    <cellStyle name="Normal 10 4 2 5 2 2 2 2" xfId="2309" xr:uid="{00000000-0005-0000-0000-000002090000}"/>
    <cellStyle name="Normal 10 4 2 5 2 2 3" xfId="2310" xr:uid="{00000000-0005-0000-0000-000003090000}"/>
    <cellStyle name="Normal 10 4 2 5 2 3" xfId="2311" xr:uid="{00000000-0005-0000-0000-000004090000}"/>
    <cellStyle name="Normal 10 4 2 5 2 3 2" xfId="2312" xr:uid="{00000000-0005-0000-0000-000005090000}"/>
    <cellStyle name="Normal 10 4 2 5 2 4" xfId="2313" xr:uid="{00000000-0005-0000-0000-000006090000}"/>
    <cellStyle name="Normal 10 4 2 5 3" xfId="2314" xr:uid="{00000000-0005-0000-0000-000007090000}"/>
    <cellStyle name="Normal 10 4 2 5 3 2" xfId="2315" xr:uid="{00000000-0005-0000-0000-000008090000}"/>
    <cellStyle name="Normal 10 4 2 5 3 2 2" xfId="2316" xr:uid="{00000000-0005-0000-0000-000009090000}"/>
    <cellStyle name="Normal 10 4 2 5 3 3" xfId="2317" xr:uid="{00000000-0005-0000-0000-00000A090000}"/>
    <cellStyle name="Normal 10 4 2 5 4" xfId="2318" xr:uid="{00000000-0005-0000-0000-00000B090000}"/>
    <cellStyle name="Normal 10 4 2 5 4 2" xfId="2319" xr:uid="{00000000-0005-0000-0000-00000C090000}"/>
    <cellStyle name="Normal 10 4 2 5 5" xfId="2320" xr:uid="{00000000-0005-0000-0000-00000D090000}"/>
    <cellStyle name="Normal 10 4 2 6" xfId="2321" xr:uid="{00000000-0005-0000-0000-00000E090000}"/>
    <cellStyle name="Normal 10 4 2 6 2" xfId="2322" xr:uid="{00000000-0005-0000-0000-00000F090000}"/>
    <cellStyle name="Normal 10 4 2 6 2 2" xfId="2323" xr:uid="{00000000-0005-0000-0000-000010090000}"/>
    <cellStyle name="Normal 10 4 2 6 2 2 2" xfId="2324" xr:uid="{00000000-0005-0000-0000-000011090000}"/>
    <cellStyle name="Normal 10 4 2 6 2 3" xfId="2325" xr:uid="{00000000-0005-0000-0000-000012090000}"/>
    <cellStyle name="Normal 10 4 2 6 3" xfId="2326" xr:uid="{00000000-0005-0000-0000-000013090000}"/>
    <cellStyle name="Normal 10 4 2 6 3 2" xfId="2327" xr:uid="{00000000-0005-0000-0000-000014090000}"/>
    <cellStyle name="Normal 10 4 2 6 4" xfId="2328" xr:uid="{00000000-0005-0000-0000-000015090000}"/>
    <cellStyle name="Normal 10 4 2 7" xfId="2329" xr:uid="{00000000-0005-0000-0000-000016090000}"/>
    <cellStyle name="Normal 10 4 2 7 2" xfId="2330" xr:uid="{00000000-0005-0000-0000-000017090000}"/>
    <cellStyle name="Normal 10 4 2 7 2 2" xfId="2331" xr:uid="{00000000-0005-0000-0000-000018090000}"/>
    <cellStyle name="Normal 10 4 2 7 3" xfId="2332" xr:uid="{00000000-0005-0000-0000-000019090000}"/>
    <cellStyle name="Normal 10 4 2 8" xfId="2333" xr:uid="{00000000-0005-0000-0000-00001A090000}"/>
    <cellStyle name="Normal 10 4 2 8 2" xfId="2334" xr:uid="{00000000-0005-0000-0000-00001B090000}"/>
    <cellStyle name="Normal 10 4 2 9" xfId="2335" xr:uid="{00000000-0005-0000-0000-00001C090000}"/>
    <cellStyle name="Normal 10 4 3" xfId="2336" xr:uid="{00000000-0005-0000-0000-00001D090000}"/>
    <cellStyle name="Normal 10 4 3 2" xfId="2337" xr:uid="{00000000-0005-0000-0000-00001E090000}"/>
    <cellStyle name="Normal 10 4 3 2 2" xfId="2338" xr:uid="{00000000-0005-0000-0000-00001F090000}"/>
    <cellStyle name="Normal 10 4 3 2 2 2" xfId="2339" xr:uid="{00000000-0005-0000-0000-000020090000}"/>
    <cellStyle name="Normal 10 4 3 2 2 2 2" xfId="2340" xr:uid="{00000000-0005-0000-0000-000021090000}"/>
    <cellStyle name="Normal 10 4 3 2 2 2 2 2" xfId="2341" xr:uid="{00000000-0005-0000-0000-000022090000}"/>
    <cellStyle name="Normal 10 4 3 2 2 2 2 2 2" xfId="2342" xr:uid="{00000000-0005-0000-0000-000023090000}"/>
    <cellStyle name="Normal 10 4 3 2 2 2 2 2 2 2" xfId="2343" xr:uid="{00000000-0005-0000-0000-000024090000}"/>
    <cellStyle name="Normal 10 4 3 2 2 2 2 2 3" xfId="2344" xr:uid="{00000000-0005-0000-0000-000025090000}"/>
    <cellStyle name="Normal 10 4 3 2 2 2 2 3" xfId="2345" xr:uid="{00000000-0005-0000-0000-000026090000}"/>
    <cellStyle name="Normal 10 4 3 2 2 2 2 3 2" xfId="2346" xr:uid="{00000000-0005-0000-0000-000027090000}"/>
    <cellStyle name="Normal 10 4 3 2 2 2 2 4" xfId="2347" xr:uid="{00000000-0005-0000-0000-000028090000}"/>
    <cellStyle name="Normal 10 4 3 2 2 2 3" xfId="2348" xr:uid="{00000000-0005-0000-0000-000029090000}"/>
    <cellStyle name="Normal 10 4 3 2 2 2 3 2" xfId="2349" xr:uid="{00000000-0005-0000-0000-00002A090000}"/>
    <cellStyle name="Normal 10 4 3 2 2 2 3 2 2" xfId="2350" xr:uid="{00000000-0005-0000-0000-00002B090000}"/>
    <cellStyle name="Normal 10 4 3 2 2 2 3 3" xfId="2351" xr:uid="{00000000-0005-0000-0000-00002C090000}"/>
    <cellStyle name="Normal 10 4 3 2 2 2 4" xfId="2352" xr:uid="{00000000-0005-0000-0000-00002D090000}"/>
    <cellStyle name="Normal 10 4 3 2 2 2 4 2" xfId="2353" xr:uid="{00000000-0005-0000-0000-00002E090000}"/>
    <cellStyle name="Normal 10 4 3 2 2 2 5" xfId="2354" xr:uid="{00000000-0005-0000-0000-00002F090000}"/>
    <cellStyle name="Normal 10 4 3 2 2 3" xfId="2355" xr:uid="{00000000-0005-0000-0000-000030090000}"/>
    <cellStyle name="Normal 10 4 3 2 2 3 2" xfId="2356" xr:uid="{00000000-0005-0000-0000-000031090000}"/>
    <cellStyle name="Normal 10 4 3 2 2 3 2 2" xfId="2357" xr:uid="{00000000-0005-0000-0000-000032090000}"/>
    <cellStyle name="Normal 10 4 3 2 2 3 2 2 2" xfId="2358" xr:uid="{00000000-0005-0000-0000-000033090000}"/>
    <cellStyle name="Normal 10 4 3 2 2 3 2 3" xfId="2359" xr:uid="{00000000-0005-0000-0000-000034090000}"/>
    <cellStyle name="Normal 10 4 3 2 2 3 3" xfId="2360" xr:uid="{00000000-0005-0000-0000-000035090000}"/>
    <cellStyle name="Normal 10 4 3 2 2 3 3 2" xfId="2361" xr:uid="{00000000-0005-0000-0000-000036090000}"/>
    <cellStyle name="Normal 10 4 3 2 2 3 4" xfId="2362" xr:uid="{00000000-0005-0000-0000-000037090000}"/>
    <cellStyle name="Normal 10 4 3 2 2 4" xfId="2363" xr:uid="{00000000-0005-0000-0000-000038090000}"/>
    <cellStyle name="Normal 10 4 3 2 2 4 2" xfId="2364" xr:uid="{00000000-0005-0000-0000-000039090000}"/>
    <cellStyle name="Normal 10 4 3 2 2 4 2 2" xfId="2365" xr:uid="{00000000-0005-0000-0000-00003A090000}"/>
    <cellStyle name="Normal 10 4 3 2 2 4 3" xfId="2366" xr:uid="{00000000-0005-0000-0000-00003B090000}"/>
    <cellStyle name="Normal 10 4 3 2 2 5" xfId="2367" xr:uid="{00000000-0005-0000-0000-00003C090000}"/>
    <cellStyle name="Normal 10 4 3 2 2 5 2" xfId="2368" xr:uid="{00000000-0005-0000-0000-00003D090000}"/>
    <cellStyle name="Normal 10 4 3 2 2 6" xfId="2369" xr:uid="{00000000-0005-0000-0000-00003E090000}"/>
    <cellStyle name="Normal 10 4 3 2 3" xfId="2370" xr:uid="{00000000-0005-0000-0000-00003F090000}"/>
    <cellStyle name="Normal 10 4 3 2 3 2" xfId="2371" xr:uid="{00000000-0005-0000-0000-000040090000}"/>
    <cellStyle name="Normal 10 4 3 2 3 2 2" xfId="2372" xr:uid="{00000000-0005-0000-0000-000041090000}"/>
    <cellStyle name="Normal 10 4 3 2 3 2 2 2" xfId="2373" xr:uid="{00000000-0005-0000-0000-000042090000}"/>
    <cellStyle name="Normal 10 4 3 2 3 2 2 2 2" xfId="2374" xr:uid="{00000000-0005-0000-0000-000043090000}"/>
    <cellStyle name="Normal 10 4 3 2 3 2 2 3" xfId="2375" xr:uid="{00000000-0005-0000-0000-000044090000}"/>
    <cellStyle name="Normal 10 4 3 2 3 2 3" xfId="2376" xr:uid="{00000000-0005-0000-0000-000045090000}"/>
    <cellStyle name="Normal 10 4 3 2 3 2 3 2" xfId="2377" xr:uid="{00000000-0005-0000-0000-000046090000}"/>
    <cellStyle name="Normal 10 4 3 2 3 2 4" xfId="2378" xr:uid="{00000000-0005-0000-0000-000047090000}"/>
    <cellStyle name="Normal 10 4 3 2 3 3" xfId="2379" xr:uid="{00000000-0005-0000-0000-000048090000}"/>
    <cellStyle name="Normal 10 4 3 2 3 3 2" xfId="2380" xr:uid="{00000000-0005-0000-0000-000049090000}"/>
    <cellStyle name="Normal 10 4 3 2 3 3 2 2" xfId="2381" xr:uid="{00000000-0005-0000-0000-00004A090000}"/>
    <cellStyle name="Normal 10 4 3 2 3 3 3" xfId="2382" xr:uid="{00000000-0005-0000-0000-00004B090000}"/>
    <cellStyle name="Normal 10 4 3 2 3 4" xfId="2383" xr:uid="{00000000-0005-0000-0000-00004C090000}"/>
    <cellStyle name="Normal 10 4 3 2 3 4 2" xfId="2384" xr:uid="{00000000-0005-0000-0000-00004D090000}"/>
    <cellStyle name="Normal 10 4 3 2 3 5" xfId="2385" xr:uid="{00000000-0005-0000-0000-00004E090000}"/>
    <cellStyle name="Normal 10 4 3 2 4" xfId="2386" xr:uid="{00000000-0005-0000-0000-00004F090000}"/>
    <cellStyle name="Normal 10 4 3 2 4 2" xfId="2387" xr:uid="{00000000-0005-0000-0000-000050090000}"/>
    <cellStyle name="Normal 10 4 3 2 4 2 2" xfId="2388" xr:uid="{00000000-0005-0000-0000-000051090000}"/>
    <cellStyle name="Normal 10 4 3 2 4 2 2 2" xfId="2389" xr:uid="{00000000-0005-0000-0000-000052090000}"/>
    <cellStyle name="Normal 10 4 3 2 4 2 3" xfId="2390" xr:uid="{00000000-0005-0000-0000-000053090000}"/>
    <cellStyle name="Normal 10 4 3 2 4 3" xfId="2391" xr:uid="{00000000-0005-0000-0000-000054090000}"/>
    <cellStyle name="Normal 10 4 3 2 4 3 2" xfId="2392" xr:uid="{00000000-0005-0000-0000-000055090000}"/>
    <cellStyle name="Normal 10 4 3 2 4 4" xfId="2393" xr:uid="{00000000-0005-0000-0000-000056090000}"/>
    <cellStyle name="Normal 10 4 3 2 5" xfId="2394" xr:uid="{00000000-0005-0000-0000-000057090000}"/>
    <cellStyle name="Normal 10 4 3 2 5 2" xfId="2395" xr:uid="{00000000-0005-0000-0000-000058090000}"/>
    <cellStyle name="Normal 10 4 3 2 5 2 2" xfId="2396" xr:uid="{00000000-0005-0000-0000-000059090000}"/>
    <cellStyle name="Normal 10 4 3 2 5 3" xfId="2397" xr:uid="{00000000-0005-0000-0000-00005A090000}"/>
    <cellStyle name="Normal 10 4 3 2 6" xfId="2398" xr:uid="{00000000-0005-0000-0000-00005B090000}"/>
    <cellStyle name="Normal 10 4 3 2 6 2" xfId="2399" xr:uid="{00000000-0005-0000-0000-00005C090000}"/>
    <cellStyle name="Normal 10 4 3 2 7" xfId="2400" xr:uid="{00000000-0005-0000-0000-00005D090000}"/>
    <cellStyle name="Normal 10 4 3 3" xfId="2401" xr:uid="{00000000-0005-0000-0000-00005E090000}"/>
    <cellStyle name="Normal 10 4 3 3 2" xfId="2402" xr:uid="{00000000-0005-0000-0000-00005F090000}"/>
    <cellStyle name="Normal 10 4 3 3 2 2" xfId="2403" xr:uid="{00000000-0005-0000-0000-000060090000}"/>
    <cellStyle name="Normal 10 4 3 3 2 2 2" xfId="2404" xr:uid="{00000000-0005-0000-0000-000061090000}"/>
    <cellStyle name="Normal 10 4 3 3 2 2 2 2" xfId="2405" xr:uid="{00000000-0005-0000-0000-000062090000}"/>
    <cellStyle name="Normal 10 4 3 3 2 2 2 2 2" xfId="2406" xr:uid="{00000000-0005-0000-0000-000063090000}"/>
    <cellStyle name="Normal 10 4 3 3 2 2 2 3" xfId="2407" xr:uid="{00000000-0005-0000-0000-000064090000}"/>
    <cellStyle name="Normal 10 4 3 3 2 2 3" xfId="2408" xr:uid="{00000000-0005-0000-0000-000065090000}"/>
    <cellStyle name="Normal 10 4 3 3 2 2 3 2" xfId="2409" xr:uid="{00000000-0005-0000-0000-000066090000}"/>
    <cellStyle name="Normal 10 4 3 3 2 2 4" xfId="2410" xr:uid="{00000000-0005-0000-0000-000067090000}"/>
    <cellStyle name="Normal 10 4 3 3 2 3" xfId="2411" xr:uid="{00000000-0005-0000-0000-000068090000}"/>
    <cellStyle name="Normal 10 4 3 3 2 3 2" xfId="2412" xr:uid="{00000000-0005-0000-0000-000069090000}"/>
    <cellStyle name="Normal 10 4 3 3 2 3 2 2" xfId="2413" xr:uid="{00000000-0005-0000-0000-00006A090000}"/>
    <cellStyle name="Normal 10 4 3 3 2 3 3" xfId="2414" xr:uid="{00000000-0005-0000-0000-00006B090000}"/>
    <cellStyle name="Normal 10 4 3 3 2 4" xfId="2415" xr:uid="{00000000-0005-0000-0000-00006C090000}"/>
    <cellStyle name="Normal 10 4 3 3 2 4 2" xfId="2416" xr:uid="{00000000-0005-0000-0000-00006D090000}"/>
    <cellStyle name="Normal 10 4 3 3 2 5" xfId="2417" xr:uid="{00000000-0005-0000-0000-00006E090000}"/>
    <cellStyle name="Normal 10 4 3 3 3" xfId="2418" xr:uid="{00000000-0005-0000-0000-00006F090000}"/>
    <cellStyle name="Normal 10 4 3 3 3 2" xfId="2419" xr:uid="{00000000-0005-0000-0000-000070090000}"/>
    <cellStyle name="Normal 10 4 3 3 3 2 2" xfId="2420" xr:uid="{00000000-0005-0000-0000-000071090000}"/>
    <cellStyle name="Normal 10 4 3 3 3 2 2 2" xfId="2421" xr:uid="{00000000-0005-0000-0000-000072090000}"/>
    <cellStyle name="Normal 10 4 3 3 3 2 3" xfId="2422" xr:uid="{00000000-0005-0000-0000-000073090000}"/>
    <cellStyle name="Normal 10 4 3 3 3 3" xfId="2423" xr:uid="{00000000-0005-0000-0000-000074090000}"/>
    <cellStyle name="Normal 10 4 3 3 3 3 2" xfId="2424" xr:uid="{00000000-0005-0000-0000-000075090000}"/>
    <cellStyle name="Normal 10 4 3 3 3 4" xfId="2425" xr:uid="{00000000-0005-0000-0000-000076090000}"/>
    <cellStyle name="Normal 10 4 3 3 4" xfId="2426" xr:uid="{00000000-0005-0000-0000-000077090000}"/>
    <cellStyle name="Normal 10 4 3 3 4 2" xfId="2427" xr:uid="{00000000-0005-0000-0000-000078090000}"/>
    <cellStyle name="Normal 10 4 3 3 4 2 2" xfId="2428" xr:uid="{00000000-0005-0000-0000-000079090000}"/>
    <cellStyle name="Normal 10 4 3 3 4 3" xfId="2429" xr:uid="{00000000-0005-0000-0000-00007A090000}"/>
    <cellStyle name="Normal 10 4 3 3 5" xfId="2430" xr:uid="{00000000-0005-0000-0000-00007B090000}"/>
    <cellStyle name="Normal 10 4 3 3 5 2" xfId="2431" xr:uid="{00000000-0005-0000-0000-00007C090000}"/>
    <cellStyle name="Normal 10 4 3 3 6" xfId="2432" xr:uid="{00000000-0005-0000-0000-00007D090000}"/>
    <cellStyle name="Normal 10 4 3 4" xfId="2433" xr:uid="{00000000-0005-0000-0000-00007E090000}"/>
    <cellStyle name="Normal 10 4 3 4 2" xfId="2434" xr:uid="{00000000-0005-0000-0000-00007F090000}"/>
    <cellStyle name="Normal 10 4 3 4 2 2" xfId="2435" xr:uid="{00000000-0005-0000-0000-000080090000}"/>
    <cellStyle name="Normal 10 4 3 4 2 2 2" xfId="2436" xr:uid="{00000000-0005-0000-0000-000081090000}"/>
    <cellStyle name="Normal 10 4 3 4 2 2 2 2" xfId="2437" xr:uid="{00000000-0005-0000-0000-000082090000}"/>
    <cellStyle name="Normal 10 4 3 4 2 2 3" xfId="2438" xr:uid="{00000000-0005-0000-0000-000083090000}"/>
    <cellStyle name="Normal 10 4 3 4 2 3" xfId="2439" xr:uid="{00000000-0005-0000-0000-000084090000}"/>
    <cellStyle name="Normal 10 4 3 4 2 3 2" xfId="2440" xr:uid="{00000000-0005-0000-0000-000085090000}"/>
    <cellStyle name="Normal 10 4 3 4 2 4" xfId="2441" xr:uid="{00000000-0005-0000-0000-000086090000}"/>
    <cellStyle name="Normal 10 4 3 4 3" xfId="2442" xr:uid="{00000000-0005-0000-0000-000087090000}"/>
    <cellStyle name="Normal 10 4 3 4 3 2" xfId="2443" xr:uid="{00000000-0005-0000-0000-000088090000}"/>
    <cellStyle name="Normal 10 4 3 4 3 2 2" xfId="2444" xr:uid="{00000000-0005-0000-0000-000089090000}"/>
    <cellStyle name="Normal 10 4 3 4 3 3" xfId="2445" xr:uid="{00000000-0005-0000-0000-00008A090000}"/>
    <cellStyle name="Normal 10 4 3 4 4" xfId="2446" xr:uid="{00000000-0005-0000-0000-00008B090000}"/>
    <cellStyle name="Normal 10 4 3 4 4 2" xfId="2447" xr:uid="{00000000-0005-0000-0000-00008C090000}"/>
    <cellStyle name="Normal 10 4 3 4 5" xfId="2448" xr:uid="{00000000-0005-0000-0000-00008D090000}"/>
    <cellStyle name="Normal 10 4 3 5" xfId="2449" xr:uid="{00000000-0005-0000-0000-00008E090000}"/>
    <cellStyle name="Normal 10 4 3 5 2" xfId="2450" xr:uid="{00000000-0005-0000-0000-00008F090000}"/>
    <cellStyle name="Normal 10 4 3 5 2 2" xfId="2451" xr:uid="{00000000-0005-0000-0000-000090090000}"/>
    <cellStyle name="Normal 10 4 3 5 2 2 2" xfId="2452" xr:uid="{00000000-0005-0000-0000-000091090000}"/>
    <cellStyle name="Normal 10 4 3 5 2 3" xfId="2453" xr:uid="{00000000-0005-0000-0000-000092090000}"/>
    <cellStyle name="Normal 10 4 3 5 3" xfId="2454" xr:uid="{00000000-0005-0000-0000-000093090000}"/>
    <cellStyle name="Normal 10 4 3 5 3 2" xfId="2455" xr:uid="{00000000-0005-0000-0000-000094090000}"/>
    <cellStyle name="Normal 10 4 3 5 4" xfId="2456" xr:uid="{00000000-0005-0000-0000-000095090000}"/>
    <cellStyle name="Normal 10 4 3 6" xfId="2457" xr:uid="{00000000-0005-0000-0000-000096090000}"/>
    <cellStyle name="Normal 10 4 3 6 2" xfId="2458" xr:uid="{00000000-0005-0000-0000-000097090000}"/>
    <cellStyle name="Normal 10 4 3 6 2 2" xfId="2459" xr:uid="{00000000-0005-0000-0000-000098090000}"/>
    <cellStyle name="Normal 10 4 3 6 3" xfId="2460" xr:uid="{00000000-0005-0000-0000-000099090000}"/>
    <cellStyle name="Normal 10 4 3 7" xfId="2461" xr:uid="{00000000-0005-0000-0000-00009A090000}"/>
    <cellStyle name="Normal 10 4 3 7 2" xfId="2462" xr:uid="{00000000-0005-0000-0000-00009B090000}"/>
    <cellStyle name="Normal 10 4 3 8" xfId="2463" xr:uid="{00000000-0005-0000-0000-00009C090000}"/>
    <cellStyle name="Normal 10 4 4" xfId="2464" xr:uid="{00000000-0005-0000-0000-00009D090000}"/>
    <cellStyle name="Normal 10 4 4 2" xfId="2465" xr:uid="{00000000-0005-0000-0000-00009E090000}"/>
    <cellStyle name="Normal 10 4 4 2 2" xfId="2466" xr:uid="{00000000-0005-0000-0000-00009F090000}"/>
    <cellStyle name="Normal 10 4 4 2 2 2" xfId="2467" xr:uid="{00000000-0005-0000-0000-0000A0090000}"/>
    <cellStyle name="Normal 10 4 4 2 2 2 2" xfId="2468" xr:uid="{00000000-0005-0000-0000-0000A1090000}"/>
    <cellStyle name="Normal 10 4 4 2 2 2 2 2" xfId="2469" xr:uid="{00000000-0005-0000-0000-0000A2090000}"/>
    <cellStyle name="Normal 10 4 4 2 2 2 2 2 2" xfId="2470" xr:uid="{00000000-0005-0000-0000-0000A3090000}"/>
    <cellStyle name="Normal 10 4 4 2 2 2 2 3" xfId="2471" xr:uid="{00000000-0005-0000-0000-0000A4090000}"/>
    <cellStyle name="Normal 10 4 4 2 2 2 3" xfId="2472" xr:uid="{00000000-0005-0000-0000-0000A5090000}"/>
    <cellStyle name="Normal 10 4 4 2 2 2 3 2" xfId="2473" xr:uid="{00000000-0005-0000-0000-0000A6090000}"/>
    <cellStyle name="Normal 10 4 4 2 2 2 4" xfId="2474" xr:uid="{00000000-0005-0000-0000-0000A7090000}"/>
    <cellStyle name="Normal 10 4 4 2 2 3" xfId="2475" xr:uid="{00000000-0005-0000-0000-0000A8090000}"/>
    <cellStyle name="Normal 10 4 4 2 2 3 2" xfId="2476" xr:uid="{00000000-0005-0000-0000-0000A9090000}"/>
    <cellStyle name="Normal 10 4 4 2 2 3 2 2" xfId="2477" xr:uid="{00000000-0005-0000-0000-0000AA090000}"/>
    <cellStyle name="Normal 10 4 4 2 2 3 3" xfId="2478" xr:uid="{00000000-0005-0000-0000-0000AB090000}"/>
    <cellStyle name="Normal 10 4 4 2 2 4" xfId="2479" xr:uid="{00000000-0005-0000-0000-0000AC090000}"/>
    <cellStyle name="Normal 10 4 4 2 2 4 2" xfId="2480" xr:uid="{00000000-0005-0000-0000-0000AD090000}"/>
    <cellStyle name="Normal 10 4 4 2 2 5" xfId="2481" xr:uid="{00000000-0005-0000-0000-0000AE090000}"/>
    <cellStyle name="Normal 10 4 4 2 3" xfId="2482" xr:uid="{00000000-0005-0000-0000-0000AF090000}"/>
    <cellStyle name="Normal 10 4 4 2 3 2" xfId="2483" xr:uid="{00000000-0005-0000-0000-0000B0090000}"/>
    <cellStyle name="Normal 10 4 4 2 3 2 2" xfId="2484" xr:uid="{00000000-0005-0000-0000-0000B1090000}"/>
    <cellStyle name="Normal 10 4 4 2 3 2 2 2" xfId="2485" xr:uid="{00000000-0005-0000-0000-0000B2090000}"/>
    <cellStyle name="Normal 10 4 4 2 3 2 3" xfId="2486" xr:uid="{00000000-0005-0000-0000-0000B3090000}"/>
    <cellStyle name="Normal 10 4 4 2 3 3" xfId="2487" xr:uid="{00000000-0005-0000-0000-0000B4090000}"/>
    <cellStyle name="Normal 10 4 4 2 3 3 2" xfId="2488" xr:uid="{00000000-0005-0000-0000-0000B5090000}"/>
    <cellStyle name="Normal 10 4 4 2 3 4" xfId="2489" xr:uid="{00000000-0005-0000-0000-0000B6090000}"/>
    <cellStyle name="Normal 10 4 4 2 4" xfId="2490" xr:uid="{00000000-0005-0000-0000-0000B7090000}"/>
    <cellStyle name="Normal 10 4 4 2 4 2" xfId="2491" xr:uid="{00000000-0005-0000-0000-0000B8090000}"/>
    <cellStyle name="Normal 10 4 4 2 4 2 2" xfId="2492" xr:uid="{00000000-0005-0000-0000-0000B9090000}"/>
    <cellStyle name="Normal 10 4 4 2 4 3" xfId="2493" xr:uid="{00000000-0005-0000-0000-0000BA090000}"/>
    <cellStyle name="Normal 10 4 4 2 5" xfId="2494" xr:uid="{00000000-0005-0000-0000-0000BB090000}"/>
    <cellStyle name="Normal 10 4 4 2 5 2" xfId="2495" xr:uid="{00000000-0005-0000-0000-0000BC090000}"/>
    <cellStyle name="Normal 10 4 4 2 6" xfId="2496" xr:uid="{00000000-0005-0000-0000-0000BD090000}"/>
    <cellStyle name="Normal 10 4 4 3" xfId="2497" xr:uid="{00000000-0005-0000-0000-0000BE090000}"/>
    <cellStyle name="Normal 10 4 4 3 2" xfId="2498" xr:uid="{00000000-0005-0000-0000-0000BF090000}"/>
    <cellStyle name="Normal 10 4 4 3 2 2" xfId="2499" xr:uid="{00000000-0005-0000-0000-0000C0090000}"/>
    <cellStyle name="Normal 10 4 4 3 2 2 2" xfId="2500" xr:uid="{00000000-0005-0000-0000-0000C1090000}"/>
    <cellStyle name="Normal 10 4 4 3 2 2 2 2" xfId="2501" xr:uid="{00000000-0005-0000-0000-0000C2090000}"/>
    <cellStyle name="Normal 10 4 4 3 2 2 3" xfId="2502" xr:uid="{00000000-0005-0000-0000-0000C3090000}"/>
    <cellStyle name="Normal 10 4 4 3 2 3" xfId="2503" xr:uid="{00000000-0005-0000-0000-0000C4090000}"/>
    <cellStyle name="Normal 10 4 4 3 2 3 2" xfId="2504" xr:uid="{00000000-0005-0000-0000-0000C5090000}"/>
    <cellStyle name="Normal 10 4 4 3 2 4" xfId="2505" xr:uid="{00000000-0005-0000-0000-0000C6090000}"/>
    <cellStyle name="Normal 10 4 4 3 3" xfId="2506" xr:uid="{00000000-0005-0000-0000-0000C7090000}"/>
    <cellStyle name="Normal 10 4 4 3 3 2" xfId="2507" xr:uid="{00000000-0005-0000-0000-0000C8090000}"/>
    <cellStyle name="Normal 10 4 4 3 3 2 2" xfId="2508" xr:uid="{00000000-0005-0000-0000-0000C9090000}"/>
    <cellStyle name="Normal 10 4 4 3 3 3" xfId="2509" xr:uid="{00000000-0005-0000-0000-0000CA090000}"/>
    <cellStyle name="Normal 10 4 4 3 4" xfId="2510" xr:uid="{00000000-0005-0000-0000-0000CB090000}"/>
    <cellStyle name="Normal 10 4 4 3 4 2" xfId="2511" xr:uid="{00000000-0005-0000-0000-0000CC090000}"/>
    <cellStyle name="Normal 10 4 4 3 5" xfId="2512" xr:uid="{00000000-0005-0000-0000-0000CD090000}"/>
    <cellStyle name="Normal 10 4 4 4" xfId="2513" xr:uid="{00000000-0005-0000-0000-0000CE090000}"/>
    <cellStyle name="Normal 10 4 4 4 2" xfId="2514" xr:uid="{00000000-0005-0000-0000-0000CF090000}"/>
    <cellStyle name="Normal 10 4 4 4 2 2" xfId="2515" xr:uid="{00000000-0005-0000-0000-0000D0090000}"/>
    <cellStyle name="Normal 10 4 4 4 2 2 2" xfId="2516" xr:uid="{00000000-0005-0000-0000-0000D1090000}"/>
    <cellStyle name="Normal 10 4 4 4 2 3" xfId="2517" xr:uid="{00000000-0005-0000-0000-0000D2090000}"/>
    <cellStyle name="Normal 10 4 4 4 3" xfId="2518" xr:uid="{00000000-0005-0000-0000-0000D3090000}"/>
    <cellStyle name="Normal 10 4 4 4 3 2" xfId="2519" xr:uid="{00000000-0005-0000-0000-0000D4090000}"/>
    <cellStyle name="Normal 10 4 4 4 4" xfId="2520" xr:uid="{00000000-0005-0000-0000-0000D5090000}"/>
    <cellStyle name="Normal 10 4 4 5" xfId="2521" xr:uid="{00000000-0005-0000-0000-0000D6090000}"/>
    <cellStyle name="Normal 10 4 4 5 2" xfId="2522" xr:uid="{00000000-0005-0000-0000-0000D7090000}"/>
    <cellStyle name="Normal 10 4 4 5 2 2" xfId="2523" xr:uid="{00000000-0005-0000-0000-0000D8090000}"/>
    <cellStyle name="Normal 10 4 4 5 3" xfId="2524" xr:uid="{00000000-0005-0000-0000-0000D9090000}"/>
    <cellStyle name="Normal 10 4 4 6" xfId="2525" xr:uid="{00000000-0005-0000-0000-0000DA090000}"/>
    <cellStyle name="Normal 10 4 4 6 2" xfId="2526" xr:uid="{00000000-0005-0000-0000-0000DB090000}"/>
    <cellStyle name="Normal 10 4 4 7" xfId="2527" xr:uid="{00000000-0005-0000-0000-0000DC090000}"/>
    <cellStyle name="Normal 10 4 5" xfId="2528" xr:uid="{00000000-0005-0000-0000-0000DD090000}"/>
    <cellStyle name="Normal 10 4 5 2" xfId="2529" xr:uid="{00000000-0005-0000-0000-0000DE090000}"/>
    <cellStyle name="Normal 10 4 5 2 2" xfId="2530" xr:uid="{00000000-0005-0000-0000-0000DF090000}"/>
    <cellStyle name="Normal 10 4 5 2 2 2" xfId="2531" xr:uid="{00000000-0005-0000-0000-0000E0090000}"/>
    <cellStyle name="Normal 10 4 5 2 2 2 2" xfId="2532" xr:uid="{00000000-0005-0000-0000-0000E1090000}"/>
    <cellStyle name="Normal 10 4 5 2 2 2 2 2" xfId="2533" xr:uid="{00000000-0005-0000-0000-0000E2090000}"/>
    <cellStyle name="Normal 10 4 5 2 2 2 3" xfId="2534" xr:uid="{00000000-0005-0000-0000-0000E3090000}"/>
    <cellStyle name="Normal 10 4 5 2 2 3" xfId="2535" xr:uid="{00000000-0005-0000-0000-0000E4090000}"/>
    <cellStyle name="Normal 10 4 5 2 2 3 2" xfId="2536" xr:uid="{00000000-0005-0000-0000-0000E5090000}"/>
    <cellStyle name="Normal 10 4 5 2 2 4" xfId="2537" xr:uid="{00000000-0005-0000-0000-0000E6090000}"/>
    <cellStyle name="Normal 10 4 5 2 3" xfId="2538" xr:uid="{00000000-0005-0000-0000-0000E7090000}"/>
    <cellStyle name="Normal 10 4 5 2 3 2" xfId="2539" xr:uid="{00000000-0005-0000-0000-0000E8090000}"/>
    <cellStyle name="Normal 10 4 5 2 3 2 2" xfId="2540" xr:uid="{00000000-0005-0000-0000-0000E9090000}"/>
    <cellStyle name="Normal 10 4 5 2 3 3" xfId="2541" xr:uid="{00000000-0005-0000-0000-0000EA090000}"/>
    <cellStyle name="Normal 10 4 5 2 4" xfId="2542" xr:uid="{00000000-0005-0000-0000-0000EB090000}"/>
    <cellStyle name="Normal 10 4 5 2 4 2" xfId="2543" xr:uid="{00000000-0005-0000-0000-0000EC090000}"/>
    <cellStyle name="Normal 10 4 5 2 5" xfId="2544" xr:uid="{00000000-0005-0000-0000-0000ED090000}"/>
    <cellStyle name="Normal 10 4 5 3" xfId="2545" xr:uid="{00000000-0005-0000-0000-0000EE090000}"/>
    <cellStyle name="Normal 10 4 5 3 2" xfId="2546" xr:uid="{00000000-0005-0000-0000-0000EF090000}"/>
    <cellStyle name="Normal 10 4 5 3 2 2" xfId="2547" xr:uid="{00000000-0005-0000-0000-0000F0090000}"/>
    <cellStyle name="Normal 10 4 5 3 2 2 2" xfId="2548" xr:uid="{00000000-0005-0000-0000-0000F1090000}"/>
    <cellStyle name="Normal 10 4 5 3 2 3" xfId="2549" xr:uid="{00000000-0005-0000-0000-0000F2090000}"/>
    <cellStyle name="Normal 10 4 5 3 3" xfId="2550" xr:uid="{00000000-0005-0000-0000-0000F3090000}"/>
    <cellStyle name="Normal 10 4 5 3 3 2" xfId="2551" xr:uid="{00000000-0005-0000-0000-0000F4090000}"/>
    <cellStyle name="Normal 10 4 5 3 4" xfId="2552" xr:uid="{00000000-0005-0000-0000-0000F5090000}"/>
    <cellStyle name="Normal 10 4 5 4" xfId="2553" xr:uid="{00000000-0005-0000-0000-0000F6090000}"/>
    <cellStyle name="Normal 10 4 5 4 2" xfId="2554" xr:uid="{00000000-0005-0000-0000-0000F7090000}"/>
    <cellStyle name="Normal 10 4 5 4 2 2" xfId="2555" xr:uid="{00000000-0005-0000-0000-0000F8090000}"/>
    <cellStyle name="Normal 10 4 5 4 3" xfId="2556" xr:uid="{00000000-0005-0000-0000-0000F9090000}"/>
    <cellStyle name="Normal 10 4 5 5" xfId="2557" xr:uid="{00000000-0005-0000-0000-0000FA090000}"/>
    <cellStyle name="Normal 10 4 5 5 2" xfId="2558" xr:uid="{00000000-0005-0000-0000-0000FB090000}"/>
    <cellStyle name="Normal 10 4 5 6" xfId="2559" xr:uid="{00000000-0005-0000-0000-0000FC090000}"/>
    <cellStyle name="Normal 10 4 6" xfId="2560" xr:uid="{00000000-0005-0000-0000-0000FD090000}"/>
    <cellStyle name="Normal 10 4 6 2" xfId="2561" xr:uid="{00000000-0005-0000-0000-0000FE090000}"/>
    <cellStyle name="Normal 10 4 6 2 2" xfId="2562" xr:uid="{00000000-0005-0000-0000-0000FF090000}"/>
    <cellStyle name="Normal 10 4 6 2 2 2" xfId="2563" xr:uid="{00000000-0005-0000-0000-0000000A0000}"/>
    <cellStyle name="Normal 10 4 6 2 2 2 2" xfId="2564" xr:uid="{00000000-0005-0000-0000-0000010A0000}"/>
    <cellStyle name="Normal 10 4 6 2 2 3" xfId="2565" xr:uid="{00000000-0005-0000-0000-0000020A0000}"/>
    <cellStyle name="Normal 10 4 6 2 3" xfId="2566" xr:uid="{00000000-0005-0000-0000-0000030A0000}"/>
    <cellStyle name="Normal 10 4 6 2 3 2" xfId="2567" xr:uid="{00000000-0005-0000-0000-0000040A0000}"/>
    <cellStyle name="Normal 10 4 6 2 4" xfId="2568" xr:uid="{00000000-0005-0000-0000-0000050A0000}"/>
    <cellStyle name="Normal 10 4 6 3" xfId="2569" xr:uid="{00000000-0005-0000-0000-0000060A0000}"/>
    <cellStyle name="Normal 10 4 6 3 2" xfId="2570" xr:uid="{00000000-0005-0000-0000-0000070A0000}"/>
    <cellStyle name="Normal 10 4 6 3 2 2" xfId="2571" xr:uid="{00000000-0005-0000-0000-0000080A0000}"/>
    <cellStyle name="Normal 10 4 6 3 3" xfId="2572" xr:uid="{00000000-0005-0000-0000-0000090A0000}"/>
    <cellStyle name="Normal 10 4 6 4" xfId="2573" xr:uid="{00000000-0005-0000-0000-00000A0A0000}"/>
    <cellStyle name="Normal 10 4 6 4 2" xfId="2574" xr:uid="{00000000-0005-0000-0000-00000B0A0000}"/>
    <cellStyle name="Normal 10 4 6 5" xfId="2575" xr:uid="{00000000-0005-0000-0000-00000C0A0000}"/>
    <cellStyle name="Normal 10 4 7" xfId="2576" xr:uid="{00000000-0005-0000-0000-00000D0A0000}"/>
    <cellStyle name="Normal 10 4 7 2" xfId="2577" xr:uid="{00000000-0005-0000-0000-00000E0A0000}"/>
    <cellStyle name="Normal 10 4 7 2 2" xfId="2578" xr:uid="{00000000-0005-0000-0000-00000F0A0000}"/>
    <cellStyle name="Normal 10 4 7 2 2 2" xfId="2579" xr:uid="{00000000-0005-0000-0000-0000100A0000}"/>
    <cellStyle name="Normal 10 4 7 2 3" xfId="2580" xr:uid="{00000000-0005-0000-0000-0000110A0000}"/>
    <cellStyle name="Normal 10 4 7 3" xfId="2581" xr:uid="{00000000-0005-0000-0000-0000120A0000}"/>
    <cellStyle name="Normal 10 4 7 3 2" xfId="2582" xr:uid="{00000000-0005-0000-0000-0000130A0000}"/>
    <cellStyle name="Normal 10 4 7 4" xfId="2583" xr:uid="{00000000-0005-0000-0000-0000140A0000}"/>
    <cellStyle name="Normal 10 4 8" xfId="2584" xr:uid="{00000000-0005-0000-0000-0000150A0000}"/>
    <cellStyle name="Normal 10 4 8 2" xfId="2585" xr:uid="{00000000-0005-0000-0000-0000160A0000}"/>
    <cellStyle name="Normal 10 4 8 2 2" xfId="2586" xr:uid="{00000000-0005-0000-0000-0000170A0000}"/>
    <cellStyle name="Normal 10 4 8 3" xfId="2587" xr:uid="{00000000-0005-0000-0000-0000180A0000}"/>
    <cellStyle name="Normal 10 4 9" xfId="2588" xr:uid="{00000000-0005-0000-0000-0000190A0000}"/>
    <cellStyle name="Normal 10 4 9 2" xfId="2589" xr:uid="{00000000-0005-0000-0000-00001A0A0000}"/>
    <cellStyle name="Normal 10 5" xfId="2590" xr:uid="{00000000-0005-0000-0000-00001B0A0000}"/>
    <cellStyle name="Normal 10 5 2" xfId="2591" xr:uid="{00000000-0005-0000-0000-00001C0A0000}"/>
    <cellStyle name="Normal 10 5 2 2" xfId="2592" xr:uid="{00000000-0005-0000-0000-00001D0A0000}"/>
    <cellStyle name="Normal 10 5 2 2 2" xfId="2593" xr:uid="{00000000-0005-0000-0000-00001E0A0000}"/>
    <cellStyle name="Normal 10 5 2 2 2 2" xfId="2594" xr:uid="{00000000-0005-0000-0000-00001F0A0000}"/>
    <cellStyle name="Normal 10 5 2 2 2 2 2" xfId="2595" xr:uid="{00000000-0005-0000-0000-0000200A0000}"/>
    <cellStyle name="Normal 10 5 2 2 2 2 2 2" xfId="2596" xr:uid="{00000000-0005-0000-0000-0000210A0000}"/>
    <cellStyle name="Normal 10 5 2 2 2 2 2 2 2" xfId="2597" xr:uid="{00000000-0005-0000-0000-0000220A0000}"/>
    <cellStyle name="Normal 10 5 2 2 2 2 2 2 2 2" xfId="2598" xr:uid="{00000000-0005-0000-0000-0000230A0000}"/>
    <cellStyle name="Normal 10 5 2 2 2 2 2 2 3" xfId="2599" xr:uid="{00000000-0005-0000-0000-0000240A0000}"/>
    <cellStyle name="Normal 10 5 2 2 2 2 2 3" xfId="2600" xr:uid="{00000000-0005-0000-0000-0000250A0000}"/>
    <cellStyle name="Normal 10 5 2 2 2 2 2 3 2" xfId="2601" xr:uid="{00000000-0005-0000-0000-0000260A0000}"/>
    <cellStyle name="Normal 10 5 2 2 2 2 2 4" xfId="2602" xr:uid="{00000000-0005-0000-0000-0000270A0000}"/>
    <cellStyle name="Normal 10 5 2 2 2 2 3" xfId="2603" xr:uid="{00000000-0005-0000-0000-0000280A0000}"/>
    <cellStyle name="Normal 10 5 2 2 2 2 3 2" xfId="2604" xr:uid="{00000000-0005-0000-0000-0000290A0000}"/>
    <cellStyle name="Normal 10 5 2 2 2 2 3 2 2" xfId="2605" xr:uid="{00000000-0005-0000-0000-00002A0A0000}"/>
    <cellStyle name="Normal 10 5 2 2 2 2 3 3" xfId="2606" xr:uid="{00000000-0005-0000-0000-00002B0A0000}"/>
    <cellStyle name="Normal 10 5 2 2 2 2 4" xfId="2607" xr:uid="{00000000-0005-0000-0000-00002C0A0000}"/>
    <cellStyle name="Normal 10 5 2 2 2 2 4 2" xfId="2608" xr:uid="{00000000-0005-0000-0000-00002D0A0000}"/>
    <cellStyle name="Normal 10 5 2 2 2 2 5" xfId="2609" xr:uid="{00000000-0005-0000-0000-00002E0A0000}"/>
    <cellStyle name="Normal 10 5 2 2 2 3" xfId="2610" xr:uid="{00000000-0005-0000-0000-00002F0A0000}"/>
    <cellStyle name="Normal 10 5 2 2 2 3 2" xfId="2611" xr:uid="{00000000-0005-0000-0000-0000300A0000}"/>
    <cellStyle name="Normal 10 5 2 2 2 3 2 2" xfId="2612" xr:uid="{00000000-0005-0000-0000-0000310A0000}"/>
    <cellStyle name="Normal 10 5 2 2 2 3 2 2 2" xfId="2613" xr:uid="{00000000-0005-0000-0000-0000320A0000}"/>
    <cellStyle name="Normal 10 5 2 2 2 3 2 3" xfId="2614" xr:uid="{00000000-0005-0000-0000-0000330A0000}"/>
    <cellStyle name="Normal 10 5 2 2 2 3 3" xfId="2615" xr:uid="{00000000-0005-0000-0000-0000340A0000}"/>
    <cellStyle name="Normal 10 5 2 2 2 3 3 2" xfId="2616" xr:uid="{00000000-0005-0000-0000-0000350A0000}"/>
    <cellStyle name="Normal 10 5 2 2 2 3 4" xfId="2617" xr:uid="{00000000-0005-0000-0000-0000360A0000}"/>
    <cellStyle name="Normal 10 5 2 2 2 4" xfId="2618" xr:uid="{00000000-0005-0000-0000-0000370A0000}"/>
    <cellStyle name="Normal 10 5 2 2 2 4 2" xfId="2619" xr:uid="{00000000-0005-0000-0000-0000380A0000}"/>
    <cellStyle name="Normal 10 5 2 2 2 4 2 2" xfId="2620" xr:uid="{00000000-0005-0000-0000-0000390A0000}"/>
    <cellStyle name="Normal 10 5 2 2 2 4 3" xfId="2621" xr:uid="{00000000-0005-0000-0000-00003A0A0000}"/>
    <cellStyle name="Normal 10 5 2 2 2 5" xfId="2622" xr:uid="{00000000-0005-0000-0000-00003B0A0000}"/>
    <cellStyle name="Normal 10 5 2 2 2 5 2" xfId="2623" xr:uid="{00000000-0005-0000-0000-00003C0A0000}"/>
    <cellStyle name="Normal 10 5 2 2 2 6" xfId="2624" xr:uid="{00000000-0005-0000-0000-00003D0A0000}"/>
    <cellStyle name="Normal 10 5 2 2 3" xfId="2625" xr:uid="{00000000-0005-0000-0000-00003E0A0000}"/>
    <cellStyle name="Normal 10 5 2 2 3 2" xfId="2626" xr:uid="{00000000-0005-0000-0000-00003F0A0000}"/>
    <cellStyle name="Normal 10 5 2 2 3 2 2" xfId="2627" xr:uid="{00000000-0005-0000-0000-0000400A0000}"/>
    <cellStyle name="Normal 10 5 2 2 3 2 2 2" xfId="2628" xr:uid="{00000000-0005-0000-0000-0000410A0000}"/>
    <cellStyle name="Normal 10 5 2 2 3 2 2 2 2" xfId="2629" xr:uid="{00000000-0005-0000-0000-0000420A0000}"/>
    <cellStyle name="Normal 10 5 2 2 3 2 2 3" xfId="2630" xr:uid="{00000000-0005-0000-0000-0000430A0000}"/>
    <cellStyle name="Normal 10 5 2 2 3 2 3" xfId="2631" xr:uid="{00000000-0005-0000-0000-0000440A0000}"/>
    <cellStyle name="Normal 10 5 2 2 3 2 3 2" xfId="2632" xr:uid="{00000000-0005-0000-0000-0000450A0000}"/>
    <cellStyle name="Normal 10 5 2 2 3 2 4" xfId="2633" xr:uid="{00000000-0005-0000-0000-0000460A0000}"/>
    <cellStyle name="Normal 10 5 2 2 3 3" xfId="2634" xr:uid="{00000000-0005-0000-0000-0000470A0000}"/>
    <cellStyle name="Normal 10 5 2 2 3 3 2" xfId="2635" xr:uid="{00000000-0005-0000-0000-0000480A0000}"/>
    <cellStyle name="Normal 10 5 2 2 3 3 2 2" xfId="2636" xr:uid="{00000000-0005-0000-0000-0000490A0000}"/>
    <cellStyle name="Normal 10 5 2 2 3 3 3" xfId="2637" xr:uid="{00000000-0005-0000-0000-00004A0A0000}"/>
    <cellStyle name="Normal 10 5 2 2 3 4" xfId="2638" xr:uid="{00000000-0005-0000-0000-00004B0A0000}"/>
    <cellStyle name="Normal 10 5 2 2 3 4 2" xfId="2639" xr:uid="{00000000-0005-0000-0000-00004C0A0000}"/>
    <cellStyle name="Normal 10 5 2 2 3 5" xfId="2640" xr:uid="{00000000-0005-0000-0000-00004D0A0000}"/>
    <cellStyle name="Normal 10 5 2 2 4" xfId="2641" xr:uid="{00000000-0005-0000-0000-00004E0A0000}"/>
    <cellStyle name="Normal 10 5 2 2 4 2" xfId="2642" xr:uid="{00000000-0005-0000-0000-00004F0A0000}"/>
    <cellStyle name="Normal 10 5 2 2 4 2 2" xfId="2643" xr:uid="{00000000-0005-0000-0000-0000500A0000}"/>
    <cellStyle name="Normal 10 5 2 2 4 2 2 2" xfId="2644" xr:uid="{00000000-0005-0000-0000-0000510A0000}"/>
    <cellStyle name="Normal 10 5 2 2 4 2 3" xfId="2645" xr:uid="{00000000-0005-0000-0000-0000520A0000}"/>
    <cellStyle name="Normal 10 5 2 2 4 3" xfId="2646" xr:uid="{00000000-0005-0000-0000-0000530A0000}"/>
    <cellStyle name="Normal 10 5 2 2 4 3 2" xfId="2647" xr:uid="{00000000-0005-0000-0000-0000540A0000}"/>
    <cellStyle name="Normal 10 5 2 2 4 4" xfId="2648" xr:uid="{00000000-0005-0000-0000-0000550A0000}"/>
    <cellStyle name="Normal 10 5 2 2 5" xfId="2649" xr:uid="{00000000-0005-0000-0000-0000560A0000}"/>
    <cellStyle name="Normal 10 5 2 2 5 2" xfId="2650" xr:uid="{00000000-0005-0000-0000-0000570A0000}"/>
    <cellStyle name="Normal 10 5 2 2 5 2 2" xfId="2651" xr:uid="{00000000-0005-0000-0000-0000580A0000}"/>
    <cellStyle name="Normal 10 5 2 2 5 3" xfId="2652" xr:uid="{00000000-0005-0000-0000-0000590A0000}"/>
    <cellStyle name="Normal 10 5 2 2 6" xfId="2653" xr:uid="{00000000-0005-0000-0000-00005A0A0000}"/>
    <cellStyle name="Normal 10 5 2 2 6 2" xfId="2654" xr:uid="{00000000-0005-0000-0000-00005B0A0000}"/>
    <cellStyle name="Normal 10 5 2 2 7" xfId="2655" xr:uid="{00000000-0005-0000-0000-00005C0A0000}"/>
    <cellStyle name="Normal 10 5 2 3" xfId="2656" xr:uid="{00000000-0005-0000-0000-00005D0A0000}"/>
    <cellStyle name="Normal 10 5 2 3 2" xfId="2657" xr:uid="{00000000-0005-0000-0000-00005E0A0000}"/>
    <cellStyle name="Normal 10 5 2 3 2 2" xfId="2658" xr:uid="{00000000-0005-0000-0000-00005F0A0000}"/>
    <cellStyle name="Normal 10 5 2 3 2 2 2" xfId="2659" xr:uid="{00000000-0005-0000-0000-0000600A0000}"/>
    <cellStyle name="Normal 10 5 2 3 2 2 2 2" xfId="2660" xr:uid="{00000000-0005-0000-0000-0000610A0000}"/>
    <cellStyle name="Normal 10 5 2 3 2 2 2 2 2" xfId="2661" xr:uid="{00000000-0005-0000-0000-0000620A0000}"/>
    <cellStyle name="Normal 10 5 2 3 2 2 2 3" xfId="2662" xr:uid="{00000000-0005-0000-0000-0000630A0000}"/>
    <cellStyle name="Normal 10 5 2 3 2 2 3" xfId="2663" xr:uid="{00000000-0005-0000-0000-0000640A0000}"/>
    <cellStyle name="Normal 10 5 2 3 2 2 3 2" xfId="2664" xr:uid="{00000000-0005-0000-0000-0000650A0000}"/>
    <cellStyle name="Normal 10 5 2 3 2 2 4" xfId="2665" xr:uid="{00000000-0005-0000-0000-0000660A0000}"/>
    <cellStyle name="Normal 10 5 2 3 2 3" xfId="2666" xr:uid="{00000000-0005-0000-0000-0000670A0000}"/>
    <cellStyle name="Normal 10 5 2 3 2 3 2" xfId="2667" xr:uid="{00000000-0005-0000-0000-0000680A0000}"/>
    <cellStyle name="Normal 10 5 2 3 2 3 2 2" xfId="2668" xr:uid="{00000000-0005-0000-0000-0000690A0000}"/>
    <cellStyle name="Normal 10 5 2 3 2 3 3" xfId="2669" xr:uid="{00000000-0005-0000-0000-00006A0A0000}"/>
    <cellStyle name="Normal 10 5 2 3 2 4" xfId="2670" xr:uid="{00000000-0005-0000-0000-00006B0A0000}"/>
    <cellStyle name="Normal 10 5 2 3 2 4 2" xfId="2671" xr:uid="{00000000-0005-0000-0000-00006C0A0000}"/>
    <cellStyle name="Normal 10 5 2 3 2 5" xfId="2672" xr:uid="{00000000-0005-0000-0000-00006D0A0000}"/>
    <cellStyle name="Normal 10 5 2 3 3" xfId="2673" xr:uid="{00000000-0005-0000-0000-00006E0A0000}"/>
    <cellStyle name="Normal 10 5 2 3 3 2" xfId="2674" xr:uid="{00000000-0005-0000-0000-00006F0A0000}"/>
    <cellStyle name="Normal 10 5 2 3 3 2 2" xfId="2675" xr:uid="{00000000-0005-0000-0000-0000700A0000}"/>
    <cellStyle name="Normal 10 5 2 3 3 2 2 2" xfId="2676" xr:uid="{00000000-0005-0000-0000-0000710A0000}"/>
    <cellStyle name="Normal 10 5 2 3 3 2 3" xfId="2677" xr:uid="{00000000-0005-0000-0000-0000720A0000}"/>
    <cellStyle name="Normal 10 5 2 3 3 3" xfId="2678" xr:uid="{00000000-0005-0000-0000-0000730A0000}"/>
    <cellStyle name="Normal 10 5 2 3 3 3 2" xfId="2679" xr:uid="{00000000-0005-0000-0000-0000740A0000}"/>
    <cellStyle name="Normal 10 5 2 3 3 4" xfId="2680" xr:uid="{00000000-0005-0000-0000-0000750A0000}"/>
    <cellStyle name="Normal 10 5 2 3 4" xfId="2681" xr:uid="{00000000-0005-0000-0000-0000760A0000}"/>
    <cellStyle name="Normal 10 5 2 3 4 2" xfId="2682" xr:uid="{00000000-0005-0000-0000-0000770A0000}"/>
    <cellStyle name="Normal 10 5 2 3 4 2 2" xfId="2683" xr:uid="{00000000-0005-0000-0000-0000780A0000}"/>
    <cellStyle name="Normal 10 5 2 3 4 3" xfId="2684" xr:uid="{00000000-0005-0000-0000-0000790A0000}"/>
    <cellStyle name="Normal 10 5 2 3 5" xfId="2685" xr:uid="{00000000-0005-0000-0000-00007A0A0000}"/>
    <cellStyle name="Normal 10 5 2 3 5 2" xfId="2686" xr:uid="{00000000-0005-0000-0000-00007B0A0000}"/>
    <cellStyle name="Normal 10 5 2 3 6" xfId="2687" xr:uid="{00000000-0005-0000-0000-00007C0A0000}"/>
    <cellStyle name="Normal 10 5 2 4" xfId="2688" xr:uid="{00000000-0005-0000-0000-00007D0A0000}"/>
    <cellStyle name="Normal 10 5 2 4 2" xfId="2689" xr:uid="{00000000-0005-0000-0000-00007E0A0000}"/>
    <cellStyle name="Normal 10 5 2 4 2 2" xfId="2690" xr:uid="{00000000-0005-0000-0000-00007F0A0000}"/>
    <cellStyle name="Normal 10 5 2 4 2 2 2" xfId="2691" xr:uid="{00000000-0005-0000-0000-0000800A0000}"/>
    <cellStyle name="Normal 10 5 2 4 2 2 2 2" xfId="2692" xr:uid="{00000000-0005-0000-0000-0000810A0000}"/>
    <cellStyle name="Normal 10 5 2 4 2 2 3" xfId="2693" xr:uid="{00000000-0005-0000-0000-0000820A0000}"/>
    <cellStyle name="Normal 10 5 2 4 2 3" xfId="2694" xr:uid="{00000000-0005-0000-0000-0000830A0000}"/>
    <cellStyle name="Normal 10 5 2 4 2 3 2" xfId="2695" xr:uid="{00000000-0005-0000-0000-0000840A0000}"/>
    <cellStyle name="Normal 10 5 2 4 2 4" xfId="2696" xr:uid="{00000000-0005-0000-0000-0000850A0000}"/>
    <cellStyle name="Normal 10 5 2 4 3" xfId="2697" xr:uid="{00000000-0005-0000-0000-0000860A0000}"/>
    <cellStyle name="Normal 10 5 2 4 3 2" xfId="2698" xr:uid="{00000000-0005-0000-0000-0000870A0000}"/>
    <cellStyle name="Normal 10 5 2 4 3 2 2" xfId="2699" xr:uid="{00000000-0005-0000-0000-0000880A0000}"/>
    <cellStyle name="Normal 10 5 2 4 3 3" xfId="2700" xr:uid="{00000000-0005-0000-0000-0000890A0000}"/>
    <cellStyle name="Normal 10 5 2 4 4" xfId="2701" xr:uid="{00000000-0005-0000-0000-00008A0A0000}"/>
    <cellStyle name="Normal 10 5 2 4 4 2" xfId="2702" xr:uid="{00000000-0005-0000-0000-00008B0A0000}"/>
    <cellStyle name="Normal 10 5 2 4 5" xfId="2703" xr:uid="{00000000-0005-0000-0000-00008C0A0000}"/>
    <cellStyle name="Normal 10 5 2 5" xfId="2704" xr:uid="{00000000-0005-0000-0000-00008D0A0000}"/>
    <cellStyle name="Normal 10 5 2 5 2" xfId="2705" xr:uid="{00000000-0005-0000-0000-00008E0A0000}"/>
    <cellStyle name="Normal 10 5 2 5 2 2" xfId="2706" xr:uid="{00000000-0005-0000-0000-00008F0A0000}"/>
    <cellStyle name="Normal 10 5 2 5 2 2 2" xfId="2707" xr:uid="{00000000-0005-0000-0000-0000900A0000}"/>
    <cellStyle name="Normal 10 5 2 5 2 3" xfId="2708" xr:uid="{00000000-0005-0000-0000-0000910A0000}"/>
    <cellStyle name="Normal 10 5 2 5 3" xfId="2709" xr:uid="{00000000-0005-0000-0000-0000920A0000}"/>
    <cellStyle name="Normal 10 5 2 5 3 2" xfId="2710" xr:uid="{00000000-0005-0000-0000-0000930A0000}"/>
    <cellStyle name="Normal 10 5 2 5 4" xfId="2711" xr:uid="{00000000-0005-0000-0000-0000940A0000}"/>
    <cellStyle name="Normal 10 5 2 6" xfId="2712" xr:uid="{00000000-0005-0000-0000-0000950A0000}"/>
    <cellStyle name="Normal 10 5 2 6 2" xfId="2713" xr:uid="{00000000-0005-0000-0000-0000960A0000}"/>
    <cellStyle name="Normal 10 5 2 6 2 2" xfId="2714" xr:uid="{00000000-0005-0000-0000-0000970A0000}"/>
    <cellStyle name="Normal 10 5 2 6 3" xfId="2715" xr:uid="{00000000-0005-0000-0000-0000980A0000}"/>
    <cellStyle name="Normal 10 5 2 7" xfId="2716" xr:uid="{00000000-0005-0000-0000-0000990A0000}"/>
    <cellStyle name="Normal 10 5 2 7 2" xfId="2717" xr:uid="{00000000-0005-0000-0000-00009A0A0000}"/>
    <cellStyle name="Normal 10 5 2 8" xfId="2718" xr:uid="{00000000-0005-0000-0000-00009B0A0000}"/>
    <cellStyle name="Normal 10 5 3" xfId="2719" xr:uid="{00000000-0005-0000-0000-00009C0A0000}"/>
    <cellStyle name="Normal 10 5 3 2" xfId="2720" xr:uid="{00000000-0005-0000-0000-00009D0A0000}"/>
    <cellStyle name="Normal 10 5 3 2 2" xfId="2721" xr:uid="{00000000-0005-0000-0000-00009E0A0000}"/>
    <cellStyle name="Normal 10 5 3 2 2 2" xfId="2722" xr:uid="{00000000-0005-0000-0000-00009F0A0000}"/>
    <cellStyle name="Normal 10 5 3 2 2 2 2" xfId="2723" xr:uid="{00000000-0005-0000-0000-0000A00A0000}"/>
    <cellStyle name="Normal 10 5 3 2 2 2 2 2" xfId="2724" xr:uid="{00000000-0005-0000-0000-0000A10A0000}"/>
    <cellStyle name="Normal 10 5 3 2 2 2 2 2 2" xfId="2725" xr:uid="{00000000-0005-0000-0000-0000A20A0000}"/>
    <cellStyle name="Normal 10 5 3 2 2 2 2 3" xfId="2726" xr:uid="{00000000-0005-0000-0000-0000A30A0000}"/>
    <cellStyle name="Normal 10 5 3 2 2 2 3" xfId="2727" xr:uid="{00000000-0005-0000-0000-0000A40A0000}"/>
    <cellStyle name="Normal 10 5 3 2 2 2 3 2" xfId="2728" xr:uid="{00000000-0005-0000-0000-0000A50A0000}"/>
    <cellStyle name="Normal 10 5 3 2 2 2 4" xfId="2729" xr:uid="{00000000-0005-0000-0000-0000A60A0000}"/>
    <cellStyle name="Normal 10 5 3 2 2 3" xfId="2730" xr:uid="{00000000-0005-0000-0000-0000A70A0000}"/>
    <cellStyle name="Normal 10 5 3 2 2 3 2" xfId="2731" xr:uid="{00000000-0005-0000-0000-0000A80A0000}"/>
    <cellStyle name="Normal 10 5 3 2 2 3 2 2" xfId="2732" xr:uid="{00000000-0005-0000-0000-0000A90A0000}"/>
    <cellStyle name="Normal 10 5 3 2 2 3 3" xfId="2733" xr:uid="{00000000-0005-0000-0000-0000AA0A0000}"/>
    <cellStyle name="Normal 10 5 3 2 2 4" xfId="2734" xr:uid="{00000000-0005-0000-0000-0000AB0A0000}"/>
    <cellStyle name="Normal 10 5 3 2 2 4 2" xfId="2735" xr:uid="{00000000-0005-0000-0000-0000AC0A0000}"/>
    <cellStyle name="Normal 10 5 3 2 2 5" xfId="2736" xr:uid="{00000000-0005-0000-0000-0000AD0A0000}"/>
    <cellStyle name="Normal 10 5 3 2 3" xfId="2737" xr:uid="{00000000-0005-0000-0000-0000AE0A0000}"/>
    <cellStyle name="Normal 10 5 3 2 3 2" xfId="2738" xr:uid="{00000000-0005-0000-0000-0000AF0A0000}"/>
    <cellStyle name="Normal 10 5 3 2 3 2 2" xfId="2739" xr:uid="{00000000-0005-0000-0000-0000B00A0000}"/>
    <cellStyle name="Normal 10 5 3 2 3 2 2 2" xfId="2740" xr:uid="{00000000-0005-0000-0000-0000B10A0000}"/>
    <cellStyle name="Normal 10 5 3 2 3 2 3" xfId="2741" xr:uid="{00000000-0005-0000-0000-0000B20A0000}"/>
    <cellStyle name="Normal 10 5 3 2 3 3" xfId="2742" xr:uid="{00000000-0005-0000-0000-0000B30A0000}"/>
    <cellStyle name="Normal 10 5 3 2 3 3 2" xfId="2743" xr:uid="{00000000-0005-0000-0000-0000B40A0000}"/>
    <cellStyle name="Normal 10 5 3 2 3 4" xfId="2744" xr:uid="{00000000-0005-0000-0000-0000B50A0000}"/>
    <cellStyle name="Normal 10 5 3 2 4" xfId="2745" xr:uid="{00000000-0005-0000-0000-0000B60A0000}"/>
    <cellStyle name="Normal 10 5 3 2 4 2" xfId="2746" xr:uid="{00000000-0005-0000-0000-0000B70A0000}"/>
    <cellStyle name="Normal 10 5 3 2 4 2 2" xfId="2747" xr:uid="{00000000-0005-0000-0000-0000B80A0000}"/>
    <cellStyle name="Normal 10 5 3 2 4 3" xfId="2748" xr:uid="{00000000-0005-0000-0000-0000B90A0000}"/>
    <cellStyle name="Normal 10 5 3 2 5" xfId="2749" xr:uid="{00000000-0005-0000-0000-0000BA0A0000}"/>
    <cellStyle name="Normal 10 5 3 2 5 2" xfId="2750" xr:uid="{00000000-0005-0000-0000-0000BB0A0000}"/>
    <cellStyle name="Normal 10 5 3 2 6" xfId="2751" xr:uid="{00000000-0005-0000-0000-0000BC0A0000}"/>
    <cellStyle name="Normal 10 5 3 3" xfId="2752" xr:uid="{00000000-0005-0000-0000-0000BD0A0000}"/>
    <cellStyle name="Normal 10 5 3 3 2" xfId="2753" xr:uid="{00000000-0005-0000-0000-0000BE0A0000}"/>
    <cellStyle name="Normal 10 5 3 3 2 2" xfId="2754" xr:uid="{00000000-0005-0000-0000-0000BF0A0000}"/>
    <cellStyle name="Normal 10 5 3 3 2 2 2" xfId="2755" xr:uid="{00000000-0005-0000-0000-0000C00A0000}"/>
    <cellStyle name="Normal 10 5 3 3 2 2 2 2" xfId="2756" xr:uid="{00000000-0005-0000-0000-0000C10A0000}"/>
    <cellStyle name="Normal 10 5 3 3 2 2 3" xfId="2757" xr:uid="{00000000-0005-0000-0000-0000C20A0000}"/>
    <cellStyle name="Normal 10 5 3 3 2 3" xfId="2758" xr:uid="{00000000-0005-0000-0000-0000C30A0000}"/>
    <cellStyle name="Normal 10 5 3 3 2 3 2" xfId="2759" xr:uid="{00000000-0005-0000-0000-0000C40A0000}"/>
    <cellStyle name="Normal 10 5 3 3 2 4" xfId="2760" xr:uid="{00000000-0005-0000-0000-0000C50A0000}"/>
    <cellStyle name="Normal 10 5 3 3 3" xfId="2761" xr:uid="{00000000-0005-0000-0000-0000C60A0000}"/>
    <cellStyle name="Normal 10 5 3 3 3 2" xfId="2762" xr:uid="{00000000-0005-0000-0000-0000C70A0000}"/>
    <cellStyle name="Normal 10 5 3 3 3 2 2" xfId="2763" xr:uid="{00000000-0005-0000-0000-0000C80A0000}"/>
    <cellStyle name="Normal 10 5 3 3 3 3" xfId="2764" xr:uid="{00000000-0005-0000-0000-0000C90A0000}"/>
    <cellStyle name="Normal 10 5 3 3 4" xfId="2765" xr:uid="{00000000-0005-0000-0000-0000CA0A0000}"/>
    <cellStyle name="Normal 10 5 3 3 4 2" xfId="2766" xr:uid="{00000000-0005-0000-0000-0000CB0A0000}"/>
    <cellStyle name="Normal 10 5 3 3 5" xfId="2767" xr:uid="{00000000-0005-0000-0000-0000CC0A0000}"/>
    <cellStyle name="Normal 10 5 3 4" xfId="2768" xr:uid="{00000000-0005-0000-0000-0000CD0A0000}"/>
    <cellStyle name="Normal 10 5 3 4 2" xfId="2769" xr:uid="{00000000-0005-0000-0000-0000CE0A0000}"/>
    <cellStyle name="Normal 10 5 3 4 2 2" xfId="2770" xr:uid="{00000000-0005-0000-0000-0000CF0A0000}"/>
    <cellStyle name="Normal 10 5 3 4 2 2 2" xfId="2771" xr:uid="{00000000-0005-0000-0000-0000D00A0000}"/>
    <cellStyle name="Normal 10 5 3 4 2 3" xfId="2772" xr:uid="{00000000-0005-0000-0000-0000D10A0000}"/>
    <cellStyle name="Normal 10 5 3 4 3" xfId="2773" xr:uid="{00000000-0005-0000-0000-0000D20A0000}"/>
    <cellStyle name="Normal 10 5 3 4 3 2" xfId="2774" xr:uid="{00000000-0005-0000-0000-0000D30A0000}"/>
    <cellStyle name="Normal 10 5 3 4 4" xfId="2775" xr:uid="{00000000-0005-0000-0000-0000D40A0000}"/>
    <cellStyle name="Normal 10 5 3 5" xfId="2776" xr:uid="{00000000-0005-0000-0000-0000D50A0000}"/>
    <cellStyle name="Normal 10 5 3 5 2" xfId="2777" xr:uid="{00000000-0005-0000-0000-0000D60A0000}"/>
    <cellStyle name="Normal 10 5 3 5 2 2" xfId="2778" xr:uid="{00000000-0005-0000-0000-0000D70A0000}"/>
    <cellStyle name="Normal 10 5 3 5 3" xfId="2779" xr:uid="{00000000-0005-0000-0000-0000D80A0000}"/>
    <cellStyle name="Normal 10 5 3 6" xfId="2780" xr:uid="{00000000-0005-0000-0000-0000D90A0000}"/>
    <cellStyle name="Normal 10 5 3 6 2" xfId="2781" xr:uid="{00000000-0005-0000-0000-0000DA0A0000}"/>
    <cellStyle name="Normal 10 5 3 7" xfId="2782" xr:uid="{00000000-0005-0000-0000-0000DB0A0000}"/>
    <cellStyle name="Normal 10 5 4" xfId="2783" xr:uid="{00000000-0005-0000-0000-0000DC0A0000}"/>
    <cellStyle name="Normal 10 5 4 2" xfId="2784" xr:uid="{00000000-0005-0000-0000-0000DD0A0000}"/>
    <cellStyle name="Normal 10 5 4 2 2" xfId="2785" xr:uid="{00000000-0005-0000-0000-0000DE0A0000}"/>
    <cellStyle name="Normal 10 5 4 2 2 2" xfId="2786" xr:uid="{00000000-0005-0000-0000-0000DF0A0000}"/>
    <cellStyle name="Normal 10 5 4 2 2 2 2" xfId="2787" xr:uid="{00000000-0005-0000-0000-0000E00A0000}"/>
    <cellStyle name="Normal 10 5 4 2 2 2 2 2" xfId="2788" xr:uid="{00000000-0005-0000-0000-0000E10A0000}"/>
    <cellStyle name="Normal 10 5 4 2 2 2 3" xfId="2789" xr:uid="{00000000-0005-0000-0000-0000E20A0000}"/>
    <cellStyle name="Normal 10 5 4 2 2 3" xfId="2790" xr:uid="{00000000-0005-0000-0000-0000E30A0000}"/>
    <cellStyle name="Normal 10 5 4 2 2 3 2" xfId="2791" xr:uid="{00000000-0005-0000-0000-0000E40A0000}"/>
    <cellStyle name="Normal 10 5 4 2 2 4" xfId="2792" xr:uid="{00000000-0005-0000-0000-0000E50A0000}"/>
    <cellStyle name="Normal 10 5 4 2 3" xfId="2793" xr:uid="{00000000-0005-0000-0000-0000E60A0000}"/>
    <cellStyle name="Normal 10 5 4 2 3 2" xfId="2794" xr:uid="{00000000-0005-0000-0000-0000E70A0000}"/>
    <cellStyle name="Normal 10 5 4 2 3 2 2" xfId="2795" xr:uid="{00000000-0005-0000-0000-0000E80A0000}"/>
    <cellStyle name="Normal 10 5 4 2 3 3" xfId="2796" xr:uid="{00000000-0005-0000-0000-0000E90A0000}"/>
    <cellStyle name="Normal 10 5 4 2 4" xfId="2797" xr:uid="{00000000-0005-0000-0000-0000EA0A0000}"/>
    <cellStyle name="Normal 10 5 4 2 4 2" xfId="2798" xr:uid="{00000000-0005-0000-0000-0000EB0A0000}"/>
    <cellStyle name="Normal 10 5 4 2 5" xfId="2799" xr:uid="{00000000-0005-0000-0000-0000EC0A0000}"/>
    <cellStyle name="Normal 10 5 4 3" xfId="2800" xr:uid="{00000000-0005-0000-0000-0000ED0A0000}"/>
    <cellStyle name="Normal 10 5 4 3 2" xfId="2801" xr:uid="{00000000-0005-0000-0000-0000EE0A0000}"/>
    <cellStyle name="Normal 10 5 4 3 2 2" xfId="2802" xr:uid="{00000000-0005-0000-0000-0000EF0A0000}"/>
    <cellStyle name="Normal 10 5 4 3 2 2 2" xfId="2803" xr:uid="{00000000-0005-0000-0000-0000F00A0000}"/>
    <cellStyle name="Normal 10 5 4 3 2 3" xfId="2804" xr:uid="{00000000-0005-0000-0000-0000F10A0000}"/>
    <cellStyle name="Normal 10 5 4 3 3" xfId="2805" xr:uid="{00000000-0005-0000-0000-0000F20A0000}"/>
    <cellStyle name="Normal 10 5 4 3 3 2" xfId="2806" xr:uid="{00000000-0005-0000-0000-0000F30A0000}"/>
    <cellStyle name="Normal 10 5 4 3 4" xfId="2807" xr:uid="{00000000-0005-0000-0000-0000F40A0000}"/>
    <cellStyle name="Normal 10 5 4 4" xfId="2808" xr:uid="{00000000-0005-0000-0000-0000F50A0000}"/>
    <cellStyle name="Normal 10 5 4 4 2" xfId="2809" xr:uid="{00000000-0005-0000-0000-0000F60A0000}"/>
    <cellStyle name="Normal 10 5 4 4 2 2" xfId="2810" xr:uid="{00000000-0005-0000-0000-0000F70A0000}"/>
    <cellStyle name="Normal 10 5 4 4 3" xfId="2811" xr:uid="{00000000-0005-0000-0000-0000F80A0000}"/>
    <cellStyle name="Normal 10 5 4 5" xfId="2812" xr:uid="{00000000-0005-0000-0000-0000F90A0000}"/>
    <cellStyle name="Normal 10 5 4 5 2" xfId="2813" xr:uid="{00000000-0005-0000-0000-0000FA0A0000}"/>
    <cellStyle name="Normal 10 5 4 6" xfId="2814" xr:uid="{00000000-0005-0000-0000-0000FB0A0000}"/>
    <cellStyle name="Normal 10 5 5" xfId="2815" xr:uid="{00000000-0005-0000-0000-0000FC0A0000}"/>
    <cellStyle name="Normal 10 5 5 2" xfId="2816" xr:uid="{00000000-0005-0000-0000-0000FD0A0000}"/>
    <cellStyle name="Normal 10 5 5 2 2" xfId="2817" xr:uid="{00000000-0005-0000-0000-0000FE0A0000}"/>
    <cellStyle name="Normal 10 5 5 2 2 2" xfId="2818" xr:uid="{00000000-0005-0000-0000-0000FF0A0000}"/>
    <cellStyle name="Normal 10 5 5 2 2 2 2" xfId="2819" xr:uid="{00000000-0005-0000-0000-0000000B0000}"/>
    <cellStyle name="Normal 10 5 5 2 2 3" xfId="2820" xr:uid="{00000000-0005-0000-0000-0000010B0000}"/>
    <cellStyle name="Normal 10 5 5 2 3" xfId="2821" xr:uid="{00000000-0005-0000-0000-0000020B0000}"/>
    <cellStyle name="Normal 10 5 5 2 3 2" xfId="2822" xr:uid="{00000000-0005-0000-0000-0000030B0000}"/>
    <cellStyle name="Normal 10 5 5 2 4" xfId="2823" xr:uid="{00000000-0005-0000-0000-0000040B0000}"/>
    <cellStyle name="Normal 10 5 5 3" xfId="2824" xr:uid="{00000000-0005-0000-0000-0000050B0000}"/>
    <cellStyle name="Normal 10 5 5 3 2" xfId="2825" xr:uid="{00000000-0005-0000-0000-0000060B0000}"/>
    <cellStyle name="Normal 10 5 5 3 2 2" xfId="2826" xr:uid="{00000000-0005-0000-0000-0000070B0000}"/>
    <cellStyle name="Normal 10 5 5 3 3" xfId="2827" xr:uid="{00000000-0005-0000-0000-0000080B0000}"/>
    <cellStyle name="Normal 10 5 5 4" xfId="2828" xr:uid="{00000000-0005-0000-0000-0000090B0000}"/>
    <cellStyle name="Normal 10 5 5 4 2" xfId="2829" xr:uid="{00000000-0005-0000-0000-00000A0B0000}"/>
    <cellStyle name="Normal 10 5 5 5" xfId="2830" xr:uid="{00000000-0005-0000-0000-00000B0B0000}"/>
    <cellStyle name="Normal 10 5 6" xfId="2831" xr:uid="{00000000-0005-0000-0000-00000C0B0000}"/>
    <cellStyle name="Normal 10 5 6 2" xfId="2832" xr:uid="{00000000-0005-0000-0000-00000D0B0000}"/>
    <cellStyle name="Normal 10 5 6 2 2" xfId="2833" xr:uid="{00000000-0005-0000-0000-00000E0B0000}"/>
    <cellStyle name="Normal 10 5 6 2 2 2" xfId="2834" xr:uid="{00000000-0005-0000-0000-00000F0B0000}"/>
    <cellStyle name="Normal 10 5 6 2 3" xfId="2835" xr:uid="{00000000-0005-0000-0000-0000100B0000}"/>
    <cellStyle name="Normal 10 5 6 3" xfId="2836" xr:uid="{00000000-0005-0000-0000-0000110B0000}"/>
    <cellStyle name="Normal 10 5 6 3 2" xfId="2837" xr:uid="{00000000-0005-0000-0000-0000120B0000}"/>
    <cellStyle name="Normal 10 5 6 4" xfId="2838" xr:uid="{00000000-0005-0000-0000-0000130B0000}"/>
    <cellStyle name="Normal 10 5 7" xfId="2839" xr:uid="{00000000-0005-0000-0000-0000140B0000}"/>
    <cellStyle name="Normal 10 5 7 2" xfId="2840" xr:uid="{00000000-0005-0000-0000-0000150B0000}"/>
    <cellStyle name="Normal 10 5 7 2 2" xfId="2841" xr:uid="{00000000-0005-0000-0000-0000160B0000}"/>
    <cellStyle name="Normal 10 5 7 3" xfId="2842" xr:uid="{00000000-0005-0000-0000-0000170B0000}"/>
    <cellStyle name="Normal 10 5 8" xfId="2843" xr:uid="{00000000-0005-0000-0000-0000180B0000}"/>
    <cellStyle name="Normal 10 5 8 2" xfId="2844" xr:uid="{00000000-0005-0000-0000-0000190B0000}"/>
    <cellStyle name="Normal 10 5 9" xfId="2845" xr:uid="{00000000-0005-0000-0000-00001A0B0000}"/>
    <cellStyle name="Normal 10 6" xfId="2846" xr:uid="{00000000-0005-0000-0000-00001B0B0000}"/>
    <cellStyle name="Normal 10 6 2" xfId="2847" xr:uid="{00000000-0005-0000-0000-00001C0B0000}"/>
    <cellStyle name="Normal 10 6 2 2" xfId="2848" xr:uid="{00000000-0005-0000-0000-00001D0B0000}"/>
    <cellStyle name="Normal 10 6 2 2 2" xfId="2849" xr:uid="{00000000-0005-0000-0000-00001E0B0000}"/>
    <cellStyle name="Normal 10 6 2 2 2 2" xfId="2850" xr:uid="{00000000-0005-0000-0000-00001F0B0000}"/>
    <cellStyle name="Normal 10 6 2 2 2 2 2" xfId="2851" xr:uid="{00000000-0005-0000-0000-0000200B0000}"/>
    <cellStyle name="Normal 10 6 2 2 2 2 2 2" xfId="2852" xr:uid="{00000000-0005-0000-0000-0000210B0000}"/>
    <cellStyle name="Normal 10 6 2 2 2 2 2 2 2" xfId="2853" xr:uid="{00000000-0005-0000-0000-0000220B0000}"/>
    <cellStyle name="Normal 10 6 2 2 2 2 2 3" xfId="2854" xr:uid="{00000000-0005-0000-0000-0000230B0000}"/>
    <cellStyle name="Normal 10 6 2 2 2 2 3" xfId="2855" xr:uid="{00000000-0005-0000-0000-0000240B0000}"/>
    <cellStyle name="Normal 10 6 2 2 2 2 3 2" xfId="2856" xr:uid="{00000000-0005-0000-0000-0000250B0000}"/>
    <cellStyle name="Normal 10 6 2 2 2 2 4" xfId="2857" xr:uid="{00000000-0005-0000-0000-0000260B0000}"/>
    <cellStyle name="Normal 10 6 2 2 2 3" xfId="2858" xr:uid="{00000000-0005-0000-0000-0000270B0000}"/>
    <cellStyle name="Normal 10 6 2 2 2 3 2" xfId="2859" xr:uid="{00000000-0005-0000-0000-0000280B0000}"/>
    <cellStyle name="Normal 10 6 2 2 2 3 2 2" xfId="2860" xr:uid="{00000000-0005-0000-0000-0000290B0000}"/>
    <cellStyle name="Normal 10 6 2 2 2 3 3" xfId="2861" xr:uid="{00000000-0005-0000-0000-00002A0B0000}"/>
    <cellStyle name="Normal 10 6 2 2 2 4" xfId="2862" xr:uid="{00000000-0005-0000-0000-00002B0B0000}"/>
    <cellStyle name="Normal 10 6 2 2 2 4 2" xfId="2863" xr:uid="{00000000-0005-0000-0000-00002C0B0000}"/>
    <cellStyle name="Normal 10 6 2 2 2 5" xfId="2864" xr:uid="{00000000-0005-0000-0000-00002D0B0000}"/>
    <cellStyle name="Normal 10 6 2 2 3" xfId="2865" xr:uid="{00000000-0005-0000-0000-00002E0B0000}"/>
    <cellStyle name="Normal 10 6 2 2 3 2" xfId="2866" xr:uid="{00000000-0005-0000-0000-00002F0B0000}"/>
    <cellStyle name="Normal 10 6 2 2 3 2 2" xfId="2867" xr:uid="{00000000-0005-0000-0000-0000300B0000}"/>
    <cellStyle name="Normal 10 6 2 2 3 2 2 2" xfId="2868" xr:uid="{00000000-0005-0000-0000-0000310B0000}"/>
    <cellStyle name="Normal 10 6 2 2 3 2 3" xfId="2869" xr:uid="{00000000-0005-0000-0000-0000320B0000}"/>
    <cellStyle name="Normal 10 6 2 2 3 3" xfId="2870" xr:uid="{00000000-0005-0000-0000-0000330B0000}"/>
    <cellStyle name="Normal 10 6 2 2 3 3 2" xfId="2871" xr:uid="{00000000-0005-0000-0000-0000340B0000}"/>
    <cellStyle name="Normal 10 6 2 2 3 4" xfId="2872" xr:uid="{00000000-0005-0000-0000-0000350B0000}"/>
    <cellStyle name="Normal 10 6 2 2 4" xfId="2873" xr:uid="{00000000-0005-0000-0000-0000360B0000}"/>
    <cellStyle name="Normal 10 6 2 2 4 2" xfId="2874" xr:uid="{00000000-0005-0000-0000-0000370B0000}"/>
    <cellStyle name="Normal 10 6 2 2 4 2 2" xfId="2875" xr:uid="{00000000-0005-0000-0000-0000380B0000}"/>
    <cellStyle name="Normal 10 6 2 2 4 3" xfId="2876" xr:uid="{00000000-0005-0000-0000-0000390B0000}"/>
    <cellStyle name="Normal 10 6 2 2 5" xfId="2877" xr:uid="{00000000-0005-0000-0000-00003A0B0000}"/>
    <cellStyle name="Normal 10 6 2 2 5 2" xfId="2878" xr:uid="{00000000-0005-0000-0000-00003B0B0000}"/>
    <cellStyle name="Normal 10 6 2 2 6" xfId="2879" xr:uid="{00000000-0005-0000-0000-00003C0B0000}"/>
    <cellStyle name="Normal 10 6 2 3" xfId="2880" xr:uid="{00000000-0005-0000-0000-00003D0B0000}"/>
    <cellStyle name="Normal 10 6 2 3 2" xfId="2881" xr:uid="{00000000-0005-0000-0000-00003E0B0000}"/>
    <cellStyle name="Normal 10 6 2 3 2 2" xfId="2882" xr:uid="{00000000-0005-0000-0000-00003F0B0000}"/>
    <cellStyle name="Normal 10 6 2 3 2 2 2" xfId="2883" xr:uid="{00000000-0005-0000-0000-0000400B0000}"/>
    <cellStyle name="Normal 10 6 2 3 2 2 2 2" xfId="2884" xr:uid="{00000000-0005-0000-0000-0000410B0000}"/>
    <cellStyle name="Normal 10 6 2 3 2 2 3" xfId="2885" xr:uid="{00000000-0005-0000-0000-0000420B0000}"/>
    <cellStyle name="Normal 10 6 2 3 2 3" xfId="2886" xr:uid="{00000000-0005-0000-0000-0000430B0000}"/>
    <cellStyle name="Normal 10 6 2 3 2 3 2" xfId="2887" xr:uid="{00000000-0005-0000-0000-0000440B0000}"/>
    <cellStyle name="Normal 10 6 2 3 2 4" xfId="2888" xr:uid="{00000000-0005-0000-0000-0000450B0000}"/>
    <cellStyle name="Normal 10 6 2 3 3" xfId="2889" xr:uid="{00000000-0005-0000-0000-0000460B0000}"/>
    <cellStyle name="Normal 10 6 2 3 3 2" xfId="2890" xr:uid="{00000000-0005-0000-0000-0000470B0000}"/>
    <cellStyle name="Normal 10 6 2 3 3 2 2" xfId="2891" xr:uid="{00000000-0005-0000-0000-0000480B0000}"/>
    <cellStyle name="Normal 10 6 2 3 3 3" xfId="2892" xr:uid="{00000000-0005-0000-0000-0000490B0000}"/>
    <cellStyle name="Normal 10 6 2 3 4" xfId="2893" xr:uid="{00000000-0005-0000-0000-00004A0B0000}"/>
    <cellStyle name="Normal 10 6 2 3 4 2" xfId="2894" xr:uid="{00000000-0005-0000-0000-00004B0B0000}"/>
    <cellStyle name="Normal 10 6 2 3 5" xfId="2895" xr:uid="{00000000-0005-0000-0000-00004C0B0000}"/>
    <cellStyle name="Normal 10 6 2 4" xfId="2896" xr:uid="{00000000-0005-0000-0000-00004D0B0000}"/>
    <cellStyle name="Normal 10 6 2 4 2" xfId="2897" xr:uid="{00000000-0005-0000-0000-00004E0B0000}"/>
    <cellStyle name="Normal 10 6 2 4 2 2" xfId="2898" xr:uid="{00000000-0005-0000-0000-00004F0B0000}"/>
    <cellStyle name="Normal 10 6 2 4 2 2 2" xfId="2899" xr:uid="{00000000-0005-0000-0000-0000500B0000}"/>
    <cellStyle name="Normal 10 6 2 4 2 3" xfId="2900" xr:uid="{00000000-0005-0000-0000-0000510B0000}"/>
    <cellStyle name="Normal 10 6 2 4 3" xfId="2901" xr:uid="{00000000-0005-0000-0000-0000520B0000}"/>
    <cellStyle name="Normal 10 6 2 4 3 2" xfId="2902" xr:uid="{00000000-0005-0000-0000-0000530B0000}"/>
    <cellStyle name="Normal 10 6 2 4 4" xfId="2903" xr:uid="{00000000-0005-0000-0000-0000540B0000}"/>
    <cellStyle name="Normal 10 6 2 5" xfId="2904" xr:uid="{00000000-0005-0000-0000-0000550B0000}"/>
    <cellStyle name="Normal 10 6 2 5 2" xfId="2905" xr:uid="{00000000-0005-0000-0000-0000560B0000}"/>
    <cellStyle name="Normal 10 6 2 5 2 2" xfId="2906" xr:uid="{00000000-0005-0000-0000-0000570B0000}"/>
    <cellStyle name="Normal 10 6 2 5 3" xfId="2907" xr:uid="{00000000-0005-0000-0000-0000580B0000}"/>
    <cellStyle name="Normal 10 6 2 6" xfId="2908" xr:uid="{00000000-0005-0000-0000-0000590B0000}"/>
    <cellStyle name="Normal 10 6 2 6 2" xfId="2909" xr:uid="{00000000-0005-0000-0000-00005A0B0000}"/>
    <cellStyle name="Normal 10 6 2 7" xfId="2910" xr:uid="{00000000-0005-0000-0000-00005B0B0000}"/>
    <cellStyle name="Normal 10 6 3" xfId="2911" xr:uid="{00000000-0005-0000-0000-00005C0B0000}"/>
    <cellStyle name="Normal 10 6 3 2" xfId="2912" xr:uid="{00000000-0005-0000-0000-00005D0B0000}"/>
    <cellStyle name="Normal 10 6 3 2 2" xfId="2913" xr:uid="{00000000-0005-0000-0000-00005E0B0000}"/>
    <cellStyle name="Normal 10 6 3 2 2 2" xfId="2914" xr:uid="{00000000-0005-0000-0000-00005F0B0000}"/>
    <cellStyle name="Normal 10 6 3 2 2 2 2" xfId="2915" xr:uid="{00000000-0005-0000-0000-0000600B0000}"/>
    <cellStyle name="Normal 10 6 3 2 2 2 2 2" xfId="2916" xr:uid="{00000000-0005-0000-0000-0000610B0000}"/>
    <cellStyle name="Normal 10 6 3 2 2 2 3" xfId="2917" xr:uid="{00000000-0005-0000-0000-0000620B0000}"/>
    <cellStyle name="Normal 10 6 3 2 2 3" xfId="2918" xr:uid="{00000000-0005-0000-0000-0000630B0000}"/>
    <cellStyle name="Normal 10 6 3 2 2 3 2" xfId="2919" xr:uid="{00000000-0005-0000-0000-0000640B0000}"/>
    <cellStyle name="Normal 10 6 3 2 2 4" xfId="2920" xr:uid="{00000000-0005-0000-0000-0000650B0000}"/>
    <cellStyle name="Normal 10 6 3 2 3" xfId="2921" xr:uid="{00000000-0005-0000-0000-0000660B0000}"/>
    <cellStyle name="Normal 10 6 3 2 3 2" xfId="2922" xr:uid="{00000000-0005-0000-0000-0000670B0000}"/>
    <cellStyle name="Normal 10 6 3 2 3 2 2" xfId="2923" xr:uid="{00000000-0005-0000-0000-0000680B0000}"/>
    <cellStyle name="Normal 10 6 3 2 3 3" xfId="2924" xr:uid="{00000000-0005-0000-0000-0000690B0000}"/>
    <cellStyle name="Normal 10 6 3 2 4" xfId="2925" xr:uid="{00000000-0005-0000-0000-00006A0B0000}"/>
    <cellStyle name="Normal 10 6 3 2 4 2" xfId="2926" xr:uid="{00000000-0005-0000-0000-00006B0B0000}"/>
    <cellStyle name="Normal 10 6 3 2 5" xfId="2927" xr:uid="{00000000-0005-0000-0000-00006C0B0000}"/>
    <cellStyle name="Normal 10 6 3 3" xfId="2928" xr:uid="{00000000-0005-0000-0000-00006D0B0000}"/>
    <cellStyle name="Normal 10 6 3 3 2" xfId="2929" xr:uid="{00000000-0005-0000-0000-00006E0B0000}"/>
    <cellStyle name="Normal 10 6 3 3 2 2" xfId="2930" xr:uid="{00000000-0005-0000-0000-00006F0B0000}"/>
    <cellStyle name="Normal 10 6 3 3 2 2 2" xfId="2931" xr:uid="{00000000-0005-0000-0000-0000700B0000}"/>
    <cellStyle name="Normal 10 6 3 3 2 3" xfId="2932" xr:uid="{00000000-0005-0000-0000-0000710B0000}"/>
    <cellStyle name="Normal 10 6 3 3 3" xfId="2933" xr:uid="{00000000-0005-0000-0000-0000720B0000}"/>
    <cellStyle name="Normal 10 6 3 3 3 2" xfId="2934" xr:uid="{00000000-0005-0000-0000-0000730B0000}"/>
    <cellStyle name="Normal 10 6 3 3 4" xfId="2935" xr:uid="{00000000-0005-0000-0000-0000740B0000}"/>
    <cellStyle name="Normal 10 6 3 4" xfId="2936" xr:uid="{00000000-0005-0000-0000-0000750B0000}"/>
    <cellStyle name="Normal 10 6 3 4 2" xfId="2937" xr:uid="{00000000-0005-0000-0000-0000760B0000}"/>
    <cellStyle name="Normal 10 6 3 4 2 2" xfId="2938" xr:uid="{00000000-0005-0000-0000-0000770B0000}"/>
    <cellStyle name="Normal 10 6 3 4 3" xfId="2939" xr:uid="{00000000-0005-0000-0000-0000780B0000}"/>
    <cellStyle name="Normal 10 6 3 5" xfId="2940" xr:uid="{00000000-0005-0000-0000-0000790B0000}"/>
    <cellStyle name="Normal 10 6 3 5 2" xfId="2941" xr:uid="{00000000-0005-0000-0000-00007A0B0000}"/>
    <cellStyle name="Normal 10 6 3 6" xfId="2942" xr:uid="{00000000-0005-0000-0000-00007B0B0000}"/>
    <cellStyle name="Normal 10 6 4" xfId="2943" xr:uid="{00000000-0005-0000-0000-00007C0B0000}"/>
    <cellStyle name="Normal 10 6 4 2" xfId="2944" xr:uid="{00000000-0005-0000-0000-00007D0B0000}"/>
    <cellStyle name="Normal 10 6 4 2 2" xfId="2945" xr:uid="{00000000-0005-0000-0000-00007E0B0000}"/>
    <cellStyle name="Normal 10 6 4 2 2 2" xfId="2946" xr:uid="{00000000-0005-0000-0000-00007F0B0000}"/>
    <cellStyle name="Normal 10 6 4 2 2 2 2" xfId="2947" xr:uid="{00000000-0005-0000-0000-0000800B0000}"/>
    <cellStyle name="Normal 10 6 4 2 2 3" xfId="2948" xr:uid="{00000000-0005-0000-0000-0000810B0000}"/>
    <cellStyle name="Normal 10 6 4 2 3" xfId="2949" xr:uid="{00000000-0005-0000-0000-0000820B0000}"/>
    <cellStyle name="Normal 10 6 4 2 3 2" xfId="2950" xr:uid="{00000000-0005-0000-0000-0000830B0000}"/>
    <cellStyle name="Normal 10 6 4 2 4" xfId="2951" xr:uid="{00000000-0005-0000-0000-0000840B0000}"/>
    <cellStyle name="Normal 10 6 4 3" xfId="2952" xr:uid="{00000000-0005-0000-0000-0000850B0000}"/>
    <cellStyle name="Normal 10 6 4 3 2" xfId="2953" xr:uid="{00000000-0005-0000-0000-0000860B0000}"/>
    <cellStyle name="Normal 10 6 4 3 2 2" xfId="2954" xr:uid="{00000000-0005-0000-0000-0000870B0000}"/>
    <cellStyle name="Normal 10 6 4 3 3" xfId="2955" xr:uid="{00000000-0005-0000-0000-0000880B0000}"/>
    <cellStyle name="Normal 10 6 4 4" xfId="2956" xr:uid="{00000000-0005-0000-0000-0000890B0000}"/>
    <cellStyle name="Normal 10 6 4 4 2" xfId="2957" xr:uid="{00000000-0005-0000-0000-00008A0B0000}"/>
    <cellStyle name="Normal 10 6 4 5" xfId="2958" xr:uid="{00000000-0005-0000-0000-00008B0B0000}"/>
    <cellStyle name="Normal 10 6 5" xfId="2959" xr:uid="{00000000-0005-0000-0000-00008C0B0000}"/>
    <cellStyle name="Normal 10 6 5 2" xfId="2960" xr:uid="{00000000-0005-0000-0000-00008D0B0000}"/>
    <cellStyle name="Normal 10 6 5 2 2" xfId="2961" xr:uid="{00000000-0005-0000-0000-00008E0B0000}"/>
    <cellStyle name="Normal 10 6 5 2 2 2" xfId="2962" xr:uid="{00000000-0005-0000-0000-00008F0B0000}"/>
    <cellStyle name="Normal 10 6 5 2 3" xfId="2963" xr:uid="{00000000-0005-0000-0000-0000900B0000}"/>
    <cellStyle name="Normal 10 6 5 3" xfId="2964" xr:uid="{00000000-0005-0000-0000-0000910B0000}"/>
    <cellStyle name="Normal 10 6 5 3 2" xfId="2965" xr:uid="{00000000-0005-0000-0000-0000920B0000}"/>
    <cellStyle name="Normal 10 6 5 4" xfId="2966" xr:uid="{00000000-0005-0000-0000-0000930B0000}"/>
    <cellStyle name="Normal 10 6 6" xfId="2967" xr:uid="{00000000-0005-0000-0000-0000940B0000}"/>
    <cellStyle name="Normal 10 6 6 2" xfId="2968" xr:uid="{00000000-0005-0000-0000-0000950B0000}"/>
    <cellStyle name="Normal 10 6 6 2 2" xfId="2969" xr:uid="{00000000-0005-0000-0000-0000960B0000}"/>
    <cellStyle name="Normal 10 6 6 3" xfId="2970" xr:uid="{00000000-0005-0000-0000-0000970B0000}"/>
    <cellStyle name="Normal 10 6 7" xfId="2971" xr:uid="{00000000-0005-0000-0000-0000980B0000}"/>
    <cellStyle name="Normal 10 6 7 2" xfId="2972" xr:uid="{00000000-0005-0000-0000-0000990B0000}"/>
    <cellStyle name="Normal 10 6 8" xfId="2973" xr:uid="{00000000-0005-0000-0000-00009A0B0000}"/>
    <cellStyle name="Normal 10 7" xfId="2974" xr:uid="{00000000-0005-0000-0000-00009B0B0000}"/>
    <cellStyle name="Normal 10 7 2" xfId="2975" xr:uid="{00000000-0005-0000-0000-00009C0B0000}"/>
    <cellStyle name="Normal 10 7 2 2" xfId="2976" xr:uid="{00000000-0005-0000-0000-00009D0B0000}"/>
    <cellStyle name="Normal 10 7 2 2 2" xfId="2977" xr:uid="{00000000-0005-0000-0000-00009E0B0000}"/>
    <cellStyle name="Normal 10 7 2 2 2 2" xfId="2978" xr:uid="{00000000-0005-0000-0000-00009F0B0000}"/>
    <cellStyle name="Normal 10 7 2 2 2 2 2" xfId="2979" xr:uid="{00000000-0005-0000-0000-0000A00B0000}"/>
    <cellStyle name="Normal 10 7 2 2 2 2 2 2" xfId="2980" xr:uid="{00000000-0005-0000-0000-0000A10B0000}"/>
    <cellStyle name="Normal 10 7 2 2 2 2 3" xfId="2981" xr:uid="{00000000-0005-0000-0000-0000A20B0000}"/>
    <cellStyle name="Normal 10 7 2 2 2 3" xfId="2982" xr:uid="{00000000-0005-0000-0000-0000A30B0000}"/>
    <cellStyle name="Normal 10 7 2 2 2 3 2" xfId="2983" xr:uid="{00000000-0005-0000-0000-0000A40B0000}"/>
    <cellStyle name="Normal 10 7 2 2 2 4" xfId="2984" xr:uid="{00000000-0005-0000-0000-0000A50B0000}"/>
    <cellStyle name="Normal 10 7 2 2 3" xfId="2985" xr:uid="{00000000-0005-0000-0000-0000A60B0000}"/>
    <cellStyle name="Normal 10 7 2 2 3 2" xfId="2986" xr:uid="{00000000-0005-0000-0000-0000A70B0000}"/>
    <cellStyle name="Normal 10 7 2 2 3 2 2" xfId="2987" xr:uid="{00000000-0005-0000-0000-0000A80B0000}"/>
    <cellStyle name="Normal 10 7 2 2 3 3" xfId="2988" xr:uid="{00000000-0005-0000-0000-0000A90B0000}"/>
    <cellStyle name="Normal 10 7 2 2 4" xfId="2989" xr:uid="{00000000-0005-0000-0000-0000AA0B0000}"/>
    <cellStyle name="Normal 10 7 2 2 4 2" xfId="2990" xr:uid="{00000000-0005-0000-0000-0000AB0B0000}"/>
    <cellStyle name="Normal 10 7 2 2 5" xfId="2991" xr:uid="{00000000-0005-0000-0000-0000AC0B0000}"/>
    <cellStyle name="Normal 10 7 2 3" xfId="2992" xr:uid="{00000000-0005-0000-0000-0000AD0B0000}"/>
    <cellStyle name="Normal 10 7 2 3 2" xfId="2993" xr:uid="{00000000-0005-0000-0000-0000AE0B0000}"/>
    <cellStyle name="Normal 10 7 2 3 2 2" xfId="2994" xr:uid="{00000000-0005-0000-0000-0000AF0B0000}"/>
    <cellStyle name="Normal 10 7 2 3 2 2 2" xfId="2995" xr:uid="{00000000-0005-0000-0000-0000B00B0000}"/>
    <cellStyle name="Normal 10 7 2 3 2 3" xfId="2996" xr:uid="{00000000-0005-0000-0000-0000B10B0000}"/>
    <cellStyle name="Normal 10 7 2 3 3" xfId="2997" xr:uid="{00000000-0005-0000-0000-0000B20B0000}"/>
    <cellStyle name="Normal 10 7 2 3 3 2" xfId="2998" xr:uid="{00000000-0005-0000-0000-0000B30B0000}"/>
    <cellStyle name="Normal 10 7 2 3 4" xfId="2999" xr:uid="{00000000-0005-0000-0000-0000B40B0000}"/>
    <cellStyle name="Normal 10 7 2 4" xfId="3000" xr:uid="{00000000-0005-0000-0000-0000B50B0000}"/>
    <cellStyle name="Normal 10 7 2 4 2" xfId="3001" xr:uid="{00000000-0005-0000-0000-0000B60B0000}"/>
    <cellStyle name="Normal 10 7 2 4 2 2" xfId="3002" xr:uid="{00000000-0005-0000-0000-0000B70B0000}"/>
    <cellStyle name="Normal 10 7 2 4 3" xfId="3003" xr:uid="{00000000-0005-0000-0000-0000B80B0000}"/>
    <cellStyle name="Normal 10 7 2 5" xfId="3004" xr:uid="{00000000-0005-0000-0000-0000B90B0000}"/>
    <cellStyle name="Normal 10 7 2 5 2" xfId="3005" xr:uid="{00000000-0005-0000-0000-0000BA0B0000}"/>
    <cellStyle name="Normal 10 7 2 6" xfId="3006" xr:uid="{00000000-0005-0000-0000-0000BB0B0000}"/>
    <cellStyle name="Normal 10 7 3" xfId="3007" xr:uid="{00000000-0005-0000-0000-0000BC0B0000}"/>
    <cellStyle name="Normal 10 7 3 2" xfId="3008" xr:uid="{00000000-0005-0000-0000-0000BD0B0000}"/>
    <cellStyle name="Normal 10 7 3 2 2" xfId="3009" xr:uid="{00000000-0005-0000-0000-0000BE0B0000}"/>
    <cellStyle name="Normal 10 7 3 2 2 2" xfId="3010" xr:uid="{00000000-0005-0000-0000-0000BF0B0000}"/>
    <cellStyle name="Normal 10 7 3 2 2 2 2" xfId="3011" xr:uid="{00000000-0005-0000-0000-0000C00B0000}"/>
    <cellStyle name="Normal 10 7 3 2 2 3" xfId="3012" xr:uid="{00000000-0005-0000-0000-0000C10B0000}"/>
    <cellStyle name="Normal 10 7 3 2 3" xfId="3013" xr:uid="{00000000-0005-0000-0000-0000C20B0000}"/>
    <cellStyle name="Normal 10 7 3 2 3 2" xfId="3014" xr:uid="{00000000-0005-0000-0000-0000C30B0000}"/>
    <cellStyle name="Normal 10 7 3 2 4" xfId="3015" xr:uid="{00000000-0005-0000-0000-0000C40B0000}"/>
    <cellStyle name="Normal 10 7 3 3" xfId="3016" xr:uid="{00000000-0005-0000-0000-0000C50B0000}"/>
    <cellStyle name="Normal 10 7 3 3 2" xfId="3017" xr:uid="{00000000-0005-0000-0000-0000C60B0000}"/>
    <cellStyle name="Normal 10 7 3 3 2 2" xfId="3018" xr:uid="{00000000-0005-0000-0000-0000C70B0000}"/>
    <cellStyle name="Normal 10 7 3 3 3" xfId="3019" xr:uid="{00000000-0005-0000-0000-0000C80B0000}"/>
    <cellStyle name="Normal 10 7 3 4" xfId="3020" xr:uid="{00000000-0005-0000-0000-0000C90B0000}"/>
    <cellStyle name="Normal 10 7 3 4 2" xfId="3021" xr:uid="{00000000-0005-0000-0000-0000CA0B0000}"/>
    <cellStyle name="Normal 10 7 3 5" xfId="3022" xr:uid="{00000000-0005-0000-0000-0000CB0B0000}"/>
    <cellStyle name="Normal 10 7 4" xfId="3023" xr:uid="{00000000-0005-0000-0000-0000CC0B0000}"/>
    <cellStyle name="Normal 10 7 4 2" xfId="3024" xr:uid="{00000000-0005-0000-0000-0000CD0B0000}"/>
    <cellStyle name="Normal 10 7 4 2 2" xfId="3025" xr:uid="{00000000-0005-0000-0000-0000CE0B0000}"/>
    <cellStyle name="Normal 10 7 4 2 2 2" xfId="3026" xr:uid="{00000000-0005-0000-0000-0000CF0B0000}"/>
    <cellStyle name="Normal 10 7 4 2 3" xfId="3027" xr:uid="{00000000-0005-0000-0000-0000D00B0000}"/>
    <cellStyle name="Normal 10 7 4 3" xfId="3028" xr:uid="{00000000-0005-0000-0000-0000D10B0000}"/>
    <cellStyle name="Normal 10 7 4 3 2" xfId="3029" xr:uid="{00000000-0005-0000-0000-0000D20B0000}"/>
    <cellStyle name="Normal 10 7 4 4" xfId="3030" xr:uid="{00000000-0005-0000-0000-0000D30B0000}"/>
    <cellStyle name="Normal 10 7 5" xfId="3031" xr:uid="{00000000-0005-0000-0000-0000D40B0000}"/>
    <cellStyle name="Normal 10 7 5 2" xfId="3032" xr:uid="{00000000-0005-0000-0000-0000D50B0000}"/>
    <cellStyle name="Normal 10 7 5 2 2" xfId="3033" xr:uid="{00000000-0005-0000-0000-0000D60B0000}"/>
    <cellStyle name="Normal 10 7 5 3" xfId="3034" xr:uid="{00000000-0005-0000-0000-0000D70B0000}"/>
    <cellStyle name="Normal 10 7 6" xfId="3035" xr:uid="{00000000-0005-0000-0000-0000D80B0000}"/>
    <cellStyle name="Normal 10 7 6 2" xfId="3036" xr:uid="{00000000-0005-0000-0000-0000D90B0000}"/>
    <cellStyle name="Normal 10 7 7" xfId="3037" xr:uid="{00000000-0005-0000-0000-0000DA0B0000}"/>
    <cellStyle name="Normal 10 8" xfId="3038" xr:uid="{00000000-0005-0000-0000-0000DB0B0000}"/>
    <cellStyle name="Normal 10 8 2" xfId="3039" xr:uid="{00000000-0005-0000-0000-0000DC0B0000}"/>
    <cellStyle name="Normal 10 8 2 2" xfId="3040" xr:uid="{00000000-0005-0000-0000-0000DD0B0000}"/>
    <cellStyle name="Normal 10 8 2 2 2" xfId="3041" xr:uid="{00000000-0005-0000-0000-0000DE0B0000}"/>
    <cellStyle name="Normal 10 8 2 2 2 2" xfId="3042" xr:uid="{00000000-0005-0000-0000-0000DF0B0000}"/>
    <cellStyle name="Normal 10 8 2 2 2 2 2" xfId="3043" xr:uid="{00000000-0005-0000-0000-0000E00B0000}"/>
    <cellStyle name="Normal 10 8 2 2 2 3" xfId="3044" xr:uid="{00000000-0005-0000-0000-0000E10B0000}"/>
    <cellStyle name="Normal 10 8 2 2 3" xfId="3045" xr:uid="{00000000-0005-0000-0000-0000E20B0000}"/>
    <cellStyle name="Normal 10 8 2 2 3 2" xfId="3046" xr:uid="{00000000-0005-0000-0000-0000E30B0000}"/>
    <cellStyle name="Normal 10 8 2 2 4" xfId="3047" xr:uid="{00000000-0005-0000-0000-0000E40B0000}"/>
    <cellStyle name="Normal 10 8 2 3" xfId="3048" xr:uid="{00000000-0005-0000-0000-0000E50B0000}"/>
    <cellStyle name="Normal 10 8 2 3 2" xfId="3049" xr:uid="{00000000-0005-0000-0000-0000E60B0000}"/>
    <cellStyle name="Normal 10 8 2 3 2 2" xfId="3050" xr:uid="{00000000-0005-0000-0000-0000E70B0000}"/>
    <cellStyle name="Normal 10 8 2 3 3" xfId="3051" xr:uid="{00000000-0005-0000-0000-0000E80B0000}"/>
    <cellStyle name="Normal 10 8 2 4" xfId="3052" xr:uid="{00000000-0005-0000-0000-0000E90B0000}"/>
    <cellStyle name="Normal 10 8 2 4 2" xfId="3053" xr:uid="{00000000-0005-0000-0000-0000EA0B0000}"/>
    <cellStyle name="Normal 10 8 2 5" xfId="3054" xr:uid="{00000000-0005-0000-0000-0000EB0B0000}"/>
    <cellStyle name="Normal 10 8 3" xfId="3055" xr:uid="{00000000-0005-0000-0000-0000EC0B0000}"/>
    <cellStyle name="Normal 10 8 3 2" xfId="3056" xr:uid="{00000000-0005-0000-0000-0000ED0B0000}"/>
    <cellStyle name="Normal 10 8 3 2 2" xfId="3057" xr:uid="{00000000-0005-0000-0000-0000EE0B0000}"/>
    <cellStyle name="Normal 10 8 3 2 2 2" xfId="3058" xr:uid="{00000000-0005-0000-0000-0000EF0B0000}"/>
    <cellStyle name="Normal 10 8 3 2 3" xfId="3059" xr:uid="{00000000-0005-0000-0000-0000F00B0000}"/>
    <cellStyle name="Normal 10 8 3 3" xfId="3060" xr:uid="{00000000-0005-0000-0000-0000F10B0000}"/>
    <cellStyle name="Normal 10 8 3 3 2" xfId="3061" xr:uid="{00000000-0005-0000-0000-0000F20B0000}"/>
    <cellStyle name="Normal 10 8 3 4" xfId="3062" xr:uid="{00000000-0005-0000-0000-0000F30B0000}"/>
    <cellStyle name="Normal 10 8 4" xfId="3063" xr:uid="{00000000-0005-0000-0000-0000F40B0000}"/>
    <cellStyle name="Normal 10 8 4 2" xfId="3064" xr:uid="{00000000-0005-0000-0000-0000F50B0000}"/>
    <cellStyle name="Normal 10 8 4 2 2" xfId="3065" xr:uid="{00000000-0005-0000-0000-0000F60B0000}"/>
    <cellStyle name="Normal 10 8 4 3" xfId="3066" xr:uid="{00000000-0005-0000-0000-0000F70B0000}"/>
    <cellStyle name="Normal 10 8 5" xfId="3067" xr:uid="{00000000-0005-0000-0000-0000F80B0000}"/>
    <cellStyle name="Normal 10 8 5 2" xfId="3068" xr:uid="{00000000-0005-0000-0000-0000F90B0000}"/>
    <cellStyle name="Normal 10 8 6" xfId="3069" xr:uid="{00000000-0005-0000-0000-0000FA0B0000}"/>
    <cellStyle name="Normal 10 9" xfId="3070" xr:uid="{00000000-0005-0000-0000-0000FB0B0000}"/>
    <cellStyle name="Normal 10 9 2" xfId="3071" xr:uid="{00000000-0005-0000-0000-0000FC0B0000}"/>
    <cellStyle name="Normal 10 9 2 2" xfId="3072" xr:uid="{00000000-0005-0000-0000-0000FD0B0000}"/>
    <cellStyle name="Normal 10 9 2 2 2" xfId="3073" xr:uid="{00000000-0005-0000-0000-0000FE0B0000}"/>
    <cellStyle name="Normal 10 9 2 2 2 2" xfId="3074" xr:uid="{00000000-0005-0000-0000-0000FF0B0000}"/>
    <cellStyle name="Normal 10 9 2 2 3" xfId="3075" xr:uid="{00000000-0005-0000-0000-0000000C0000}"/>
    <cellStyle name="Normal 10 9 2 3" xfId="3076" xr:uid="{00000000-0005-0000-0000-0000010C0000}"/>
    <cellStyle name="Normal 10 9 2 3 2" xfId="3077" xr:uid="{00000000-0005-0000-0000-0000020C0000}"/>
    <cellStyle name="Normal 10 9 2 4" xfId="3078" xr:uid="{00000000-0005-0000-0000-0000030C0000}"/>
    <cellStyle name="Normal 10 9 3" xfId="3079" xr:uid="{00000000-0005-0000-0000-0000040C0000}"/>
    <cellStyle name="Normal 10 9 3 2" xfId="3080" xr:uid="{00000000-0005-0000-0000-0000050C0000}"/>
    <cellStyle name="Normal 10 9 3 2 2" xfId="3081" xr:uid="{00000000-0005-0000-0000-0000060C0000}"/>
    <cellStyle name="Normal 10 9 3 3" xfId="3082" xr:uid="{00000000-0005-0000-0000-0000070C0000}"/>
    <cellStyle name="Normal 10 9 4" xfId="3083" xr:uid="{00000000-0005-0000-0000-0000080C0000}"/>
    <cellStyle name="Normal 10 9 4 2" xfId="3084" xr:uid="{00000000-0005-0000-0000-0000090C0000}"/>
    <cellStyle name="Normal 10 9 5" xfId="3085" xr:uid="{00000000-0005-0000-0000-00000A0C0000}"/>
    <cellStyle name="Normal 11" xfId="3086" xr:uid="{00000000-0005-0000-0000-00000B0C0000}"/>
    <cellStyle name="Normal 11 10" xfId="3087" xr:uid="{00000000-0005-0000-0000-00000C0C0000}"/>
    <cellStyle name="Normal 11 10 2" xfId="3088" xr:uid="{00000000-0005-0000-0000-00000D0C0000}"/>
    <cellStyle name="Normal 11 10 2 2" xfId="3089" xr:uid="{00000000-0005-0000-0000-00000E0C0000}"/>
    <cellStyle name="Normal 11 10 3" xfId="3090" xr:uid="{00000000-0005-0000-0000-00000F0C0000}"/>
    <cellStyle name="Normal 11 11" xfId="3091" xr:uid="{00000000-0005-0000-0000-0000100C0000}"/>
    <cellStyle name="Normal 11 11 2" xfId="3092" xr:uid="{00000000-0005-0000-0000-0000110C0000}"/>
    <cellStyle name="Normal 11 12" xfId="3093" xr:uid="{00000000-0005-0000-0000-0000120C0000}"/>
    <cellStyle name="Normal 11 2" xfId="3094" xr:uid="{00000000-0005-0000-0000-0000130C0000}"/>
    <cellStyle name="Normal 11 2 10" xfId="3095" xr:uid="{00000000-0005-0000-0000-0000140C0000}"/>
    <cellStyle name="Normal 11 2 2" xfId="3096" xr:uid="{00000000-0005-0000-0000-0000150C0000}"/>
    <cellStyle name="Normal 11 2 2 2" xfId="3097" xr:uid="{00000000-0005-0000-0000-0000160C0000}"/>
    <cellStyle name="Normal 11 2 2 2 2" xfId="3098" xr:uid="{00000000-0005-0000-0000-0000170C0000}"/>
    <cellStyle name="Normal 11 2 2 2 2 2" xfId="3099" xr:uid="{00000000-0005-0000-0000-0000180C0000}"/>
    <cellStyle name="Normal 11 2 2 2 2 2 2" xfId="3100" xr:uid="{00000000-0005-0000-0000-0000190C0000}"/>
    <cellStyle name="Normal 11 2 2 2 2 2 2 2" xfId="3101" xr:uid="{00000000-0005-0000-0000-00001A0C0000}"/>
    <cellStyle name="Normal 11 2 2 2 2 2 2 2 2" xfId="3102" xr:uid="{00000000-0005-0000-0000-00001B0C0000}"/>
    <cellStyle name="Normal 11 2 2 2 2 2 2 2 2 2" xfId="3103" xr:uid="{00000000-0005-0000-0000-00001C0C0000}"/>
    <cellStyle name="Normal 11 2 2 2 2 2 2 2 2 2 2" xfId="3104" xr:uid="{00000000-0005-0000-0000-00001D0C0000}"/>
    <cellStyle name="Normal 11 2 2 2 2 2 2 2 2 3" xfId="3105" xr:uid="{00000000-0005-0000-0000-00001E0C0000}"/>
    <cellStyle name="Normal 11 2 2 2 2 2 2 2 3" xfId="3106" xr:uid="{00000000-0005-0000-0000-00001F0C0000}"/>
    <cellStyle name="Normal 11 2 2 2 2 2 2 2 3 2" xfId="3107" xr:uid="{00000000-0005-0000-0000-0000200C0000}"/>
    <cellStyle name="Normal 11 2 2 2 2 2 2 2 4" xfId="3108" xr:uid="{00000000-0005-0000-0000-0000210C0000}"/>
    <cellStyle name="Normal 11 2 2 2 2 2 2 3" xfId="3109" xr:uid="{00000000-0005-0000-0000-0000220C0000}"/>
    <cellStyle name="Normal 11 2 2 2 2 2 2 3 2" xfId="3110" xr:uid="{00000000-0005-0000-0000-0000230C0000}"/>
    <cellStyle name="Normal 11 2 2 2 2 2 2 3 2 2" xfId="3111" xr:uid="{00000000-0005-0000-0000-0000240C0000}"/>
    <cellStyle name="Normal 11 2 2 2 2 2 2 3 3" xfId="3112" xr:uid="{00000000-0005-0000-0000-0000250C0000}"/>
    <cellStyle name="Normal 11 2 2 2 2 2 2 4" xfId="3113" xr:uid="{00000000-0005-0000-0000-0000260C0000}"/>
    <cellStyle name="Normal 11 2 2 2 2 2 2 4 2" xfId="3114" xr:uid="{00000000-0005-0000-0000-0000270C0000}"/>
    <cellStyle name="Normal 11 2 2 2 2 2 2 5" xfId="3115" xr:uid="{00000000-0005-0000-0000-0000280C0000}"/>
    <cellStyle name="Normal 11 2 2 2 2 2 3" xfId="3116" xr:uid="{00000000-0005-0000-0000-0000290C0000}"/>
    <cellStyle name="Normal 11 2 2 2 2 2 3 2" xfId="3117" xr:uid="{00000000-0005-0000-0000-00002A0C0000}"/>
    <cellStyle name="Normal 11 2 2 2 2 2 3 2 2" xfId="3118" xr:uid="{00000000-0005-0000-0000-00002B0C0000}"/>
    <cellStyle name="Normal 11 2 2 2 2 2 3 2 2 2" xfId="3119" xr:uid="{00000000-0005-0000-0000-00002C0C0000}"/>
    <cellStyle name="Normal 11 2 2 2 2 2 3 2 3" xfId="3120" xr:uid="{00000000-0005-0000-0000-00002D0C0000}"/>
    <cellStyle name="Normal 11 2 2 2 2 2 3 3" xfId="3121" xr:uid="{00000000-0005-0000-0000-00002E0C0000}"/>
    <cellStyle name="Normal 11 2 2 2 2 2 3 3 2" xfId="3122" xr:uid="{00000000-0005-0000-0000-00002F0C0000}"/>
    <cellStyle name="Normal 11 2 2 2 2 2 3 4" xfId="3123" xr:uid="{00000000-0005-0000-0000-0000300C0000}"/>
    <cellStyle name="Normal 11 2 2 2 2 2 4" xfId="3124" xr:uid="{00000000-0005-0000-0000-0000310C0000}"/>
    <cellStyle name="Normal 11 2 2 2 2 2 4 2" xfId="3125" xr:uid="{00000000-0005-0000-0000-0000320C0000}"/>
    <cellStyle name="Normal 11 2 2 2 2 2 4 2 2" xfId="3126" xr:uid="{00000000-0005-0000-0000-0000330C0000}"/>
    <cellStyle name="Normal 11 2 2 2 2 2 4 3" xfId="3127" xr:uid="{00000000-0005-0000-0000-0000340C0000}"/>
    <cellStyle name="Normal 11 2 2 2 2 2 5" xfId="3128" xr:uid="{00000000-0005-0000-0000-0000350C0000}"/>
    <cellStyle name="Normal 11 2 2 2 2 2 5 2" xfId="3129" xr:uid="{00000000-0005-0000-0000-0000360C0000}"/>
    <cellStyle name="Normal 11 2 2 2 2 2 6" xfId="3130" xr:uid="{00000000-0005-0000-0000-0000370C0000}"/>
    <cellStyle name="Normal 11 2 2 2 2 3" xfId="3131" xr:uid="{00000000-0005-0000-0000-0000380C0000}"/>
    <cellStyle name="Normal 11 2 2 2 2 3 2" xfId="3132" xr:uid="{00000000-0005-0000-0000-0000390C0000}"/>
    <cellStyle name="Normal 11 2 2 2 2 3 2 2" xfId="3133" xr:uid="{00000000-0005-0000-0000-00003A0C0000}"/>
    <cellStyle name="Normal 11 2 2 2 2 3 2 2 2" xfId="3134" xr:uid="{00000000-0005-0000-0000-00003B0C0000}"/>
    <cellStyle name="Normal 11 2 2 2 2 3 2 2 2 2" xfId="3135" xr:uid="{00000000-0005-0000-0000-00003C0C0000}"/>
    <cellStyle name="Normal 11 2 2 2 2 3 2 2 3" xfId="3136" xr:uid="{00000000-0005-0000-0000-00003D0C0000}"/>
    <cellStyle name="Normal 11 2 2 2 2 3 2 3" xfId="3137" xr:uid="{00000000-0005-0000-0000-00003E0C0000}"/>
    <cellStyle name="Normal 11 2 2 2 2 3 2 3 2" xfId="3138" xr:uid="{00000000-0005-0000-0000-00003F0C0000}"/>
    <cellStyle name="Normal 11 2 2 2 2 3 2 4" xfId="3139" xr:uid="{00000000-0005-0000-0000-0000400C0000}"/>
    <cellStyle name="Normal 11 2 2 2 2 3 3" xfId="3140" xr:uid="{00000000-0005-0000-0000-0000410C0000}"/>
    <cellStyle name="Normal 11 2 2 2 2 3 3 2" xfId="3141" xr:uid="{00000000-0005-0000-0000-0000420C0000}"/>
    <cellStyle name="Normal 11 2 2 2 2 3 3 2 2" xfId="3142" xr:uid="{00000000-0005-0000-0000-0000430C0000}"/>
    <cellStyle name="Normal 11 2 2 2 2 3 3 3" xfId="3143" xr:uid="{00000000-0005-0000-0000-0000440C0000}"/>
    <cellStyle name="Normal 11 2 2 2 2 3 4" xfId="3144" xr:uid="{00000000-0005-0000-0000-0000450C0000}"/>
    <cellStyle name="Normal 11 2 2 2 2 3 4 2" xfId="3145" xr:uid="{00000000-0005-0000-0000-0000460C0000}"/>
    <cellStyle name="Normal 11 2 2 2 2 3 5" xfId="3146" xr:uid="{00000000-0005-0000-0000-0000470C0000}"/>
    <cellStyle name="Normal 11 2 2 2 2 4" xfId="3147" xr:uid="{00000000-0005-0000-0000-0000480C0000}"/>
    <cellStyle name="Normal 11 2 2 2 2 4 2" xfId="3148" xr:uid="{00000000-0005-0000-0000-0000490C0000}"/>
    <cellStyle name="Normal 11 2 2 2 2 4 2 2" xfId="3149" xr:uid="{00000000-0005-0000-0000-00004A0C0000}"/>
    <cellStyle name="Normal 11 2 2 2 2 4 2 2 2" xfId="3150" xr:uid="{00000000-0005-0000-0000-00004B0C0000}"/>
    <cellStyle name="Normal 11 2 2 2 2 4 2 3" xfId="3151" xr:uid="{00000000-0005-0000-0000-00004C0C0000}"/>
    <cellStyle name="Normal 11 2 2 2 2 4 3" xfId="3152" xr:uid="{00000000-0005-0000-0000-00004D0C0000}"/>
    <cellStyle name="Normal 11 2 2 2 2 4 3 2" xfId="3153" xr:uid="{00000000-0005-0000-0000-00004E0C0000}"/>
    <cellStyle name="Normal 11 2 2 2 2 4 4" xfId="3154" xr:uid="{00000000-0005-0000-0000-00004F0C0000}"/>
    <cellStyle name="Normal 11 2 2 2 2 5" xfId="3155" xr:uid="{00000000-0005-0000-0000-0000500C0000}"/>
    <cellStyle name="Normal 11 2 2 2 2 5 2" xfId="3156" xr:uid="{00000000-0005-0000-0000-0000510C0000}"/>
    <cellStyle name="Normal 11 2 2 2 2 5 2 2" xfId="3157" xr:uid="{00000000-0005-0000-0000-0000520C0000}"/>
    <cellStyle name="Normal 11 2 2 2 2 5 3" xfId="3158" xr:uid="{00000000-0005-0000-0000-0000530C0000}"/>
    <cellStyle name="Normal 11 2 2 2 2 6" xfId="3159" xr:uid="{00000000-0005-0000-0000-0000540C0000}"/>
    <cellStyle name="Normal 11 2 2 2 2 6 2" xfId="3160" xr:uid="{00000000-0005-0000-0000-0000550C0000}"/>
    <cellStyle name="Normal 11 2 2 2 2 7" xfId="3161" xr:uid="{00000000-0005-0000-0000-0000560C0000}"/>
    <cellStyle name="Normal 11 2 2 2 3" xfId="3162" xr:uid="{00000000-0005-0000-0000-0000570C0000}"/>
    <cellStyle name="Normal 11 2 2 2 3 2" xfId="3163" xr:uid="{00000000-0005-0000-0000-0000580C0000}"/>
    <cellStyle name="Normal 11 2 2 2 3 2 2" xfId="3164" xr:uid="{00000000-0005-0000-0000-0000590C0000}"/>
    <cellStyle name="Normal 11 2 2 2 3 2 2 2" xfId="3165" xr:uid="{00000000-0005-0000-0000-00005A0C0000}"/>
    <cellStyle name="Normal 11 2 2 2 3 2 2 2 2" xfId="3166" xr:uid="{00000000-0005-0000-0000-00005B0C0000}"/>
    <cellStyle name="Normal 11 2 2 2 3 2 2 2 2 2" xfId="3167" xr:uid="{00000000-0005-0000-0000-00005C0C0000}"/>
    <cellStyle name="Normal 11 2 2 2 3 2 2 2 3" xfId="3168" xr:uid="{00000000-0005-0000-0000-00005D0C0000}"/>
    <cellStyle name="Normal 11 2 2 2 3 2 2 3" xfId="3169" xr:uid="{00000000-0005-0000-0000-00005E0C0000}"/>
    <cellStyle name="Normal 11 2 2 2 3 2 2 3 2" xfId="3170" xr:uid="{00000000-0005-0000-0000-00005F0C0000}"/>
    <cellStyle name="Normal 11 2 2 2 3 2 2 4" xfId="3171" xr:uid="{00000000-0005-0000-0000-0000600C0000}"/>
    <cellStyle name="Normal 11 2 2 2 3 2 3" xfId="3172" xr:uid="{00000000-0005-0000-0000-0000610C0000}"/>
    <cellStyle name="Normal 11 2 2 2 3 2 3 2" xfId="3173" xr:uid="{00000000-0005-0000-0000-0000620C0000}"/>
    <cellStyle name="Normal 11 2 2 2 3 2 3 2 2" xfId="3174" xr:uid="{00000000-0005-0000-0000-0000630C0000}"/>
    <cellStyle name="Normal 11 2 2 2 3 2 3 3" xfId="3175" xr:uid="{00000000-0005-0000-0000-0000640C0000}"/>
    <cellStyle name="Normal 11 2 2 2 3 2 4" xfId="3176" xr:uid="{00000000-0005-0000-0000-0000650C0000}"/>
    <cellStyle name="Normal 11 2 2 2 3 2 4 2" xfId="3177" xr:uid="{00000000-0005-0000-0000-0000660C0000}"/>
    <cellStyle name="Normal 11 2 2 2 3 2 5" xfId="3178" xr:uid="{00000000-0005-0000-0000-0000670C0000}"/>
    <cellStyle name="Normal 11 2 2 2 3 3" xfId="3179" xr:uid="{00000000-0005-0000-0000-0000680C0000}"/>
    <cellStyle name="Normal 11 2 2 2 3 3 2" xfId="3180" xr:uid="{00000000-0005-0000-0000-0000690C0000}"/>
    <cellStyle name="Normal 11 2 2 2 3 3 2 2" xfId="3181" xr:uid="{00000000-0005-0000-0000-00006A0C0000}"/>
    <cellStyle name="Normal 11 2 2 2 3 3 2 2 2" xfId="3182" xr:uid="{00000000-0005-0000-0000-00006B0C0000}"/>
    <cellStyle name="Normal 11 2 2 2 3 3 2 3" xfId="3183" xr:uid="{00000000-0005-0000-0000-00006C0C0000}"/>
    <cellStyle name="Normal 11 2 2 2 3 3 3" xfId="3184" xr:uid="{00000000-0005-0000-0000-00006D0C0000}"/>
    <cellStyle name="Normal 11 2 2 2 3 3 3 2" xfId="3185" xr:uid="{00000000-0005-0000-0000-00006E0C0000}"/>
    <cellStyle name="Normal 11 2 2 2 3 3 4" xfId="3186" xr:uid="{00000000-0005-0000-0000-00006F0C0000}"/>
    <cellStyle name="Normal 11 2 2 2 3 4" xfId="3187" xr:uid="{00000000-0005-0000-0000-0000700C0000}"/>
    <cellStyle name="Normal 11 2 2 2 3 4 2" xfId="3188" xr:uid="{00000000-0005-0000-0000-0000710C0000}"/>
    <cellStyle name="Normal 11 2 2 2 3 4 2 2" xfId="3189" xr:uid="{00000000-0005-0000-0000-0000720C0000}"/>
    <cellStyle name="Normal 11 2 2 2 3 4 3" xfId="3190" xr:uid="{00000000-0005-0000-0000-0000730C0000}"/>
    <cellStyle name="Normal 11 2 2 2 3 5" xfId="3191" xr:uid="{00000000-0005-0000-0000-0000740C0000}"/>
    <cellStyle name="Normal 11 2 2 2 3 5 2" xfId="3192" xr:uid="{00000000-0005-0000-0000-0000750C0000}"/>
    <cellStyle name="Normal 11 2 2 2 3 6" xfId="3193" xr:uid="{00000000-0005-0000-0000-0000760C0000}"/>
    <cellStyle name="Normal 11 2 2 2 4" xfId="3194" xr:uid="{00000000-0005-0000-0000-0000770C0000}"/>
    <cellStyle name="Normal 11 2 2 2 4 2" xfId="3195" xr:uid="{00000000-0005-0000-0000-0000780C0000}"/>
    <cellStyle name="Normal 11 2 2 2 4 2 2" xfId="3196" xr:uid="{00000000-0005-0000-0000-0000790C0000}"/>
    <cellStyle name="Normal 11 2 2 2 4 2 2 2" xfId="3197" xr:uid="{00000000-0005-0000-0000-00007A0C0000}"/>
    <cellStyle name="Normal 11 2 2 2 4 2 2 2 2" xfId="3198" xr:uid="{00000000-0005-0000-0000-00007B0C0000}"/>
    <cellStyle name="Normal 11 2 2 2 4 2 2 3" xfId="3199" xr:uid="{00000000-0005-0000-0000-00007C0C0000}"/>
    <cellStyle name="Normal 11 2 2 2 4 2 3" xfId="3200" xr:uid="{00000000-0005-0000-0000-00007D0C0000}"/>
    <cellStyle name="Normal 11 2 2 2 4 2 3 2" xfId="3201" xr:uid="{00000000-0005-0000-0000-00007E0C0000}"/>
    <cellStyle name="Normal 11 2 2 2 4 2 4" xfId="3202" xr:uid="{00000000-0005-0000-0000-00007F0C0000}"/>
    <cellStyle name="Normal 11 2 2 2 4 3" xfId="3203" xr:uid="{00000000-0005-0000-0000-0000800C0000}"/>
    <cellStyle name="Normal 11 2 2 2 4 3 2" xfId="3204" xr:uid="{00000000-0005-0000-0000-0000810C0000}"/>
    <cellStyle name="Normal 11 2 2 2 4 3 2 2" xfId="3205" xr:uid="{00000000-0005-0000-0000-0000820C0000}"/>
    <cellStyle name="Normal 11 2 2 2 4 3 3" xfId="3206" xr:uid="{00000000-0005-0000-0000-0000830C0000}"/>
    <cellStyle name="Normal 11 2 2 2 4 4" xfId="3207" xr:uid="{00000000-0005-0000-0000-0000840C0000}"/>
    <cellStyle name="Normal 11 2 2 2 4 4 2" xfId="3208" xr:uid="{00000000-0005-0000-0000-0000850C0000}"/>
    <cellStyle name="Normal 11 2 2 2 4 5" xfId="3209" xr:uid="{00000000-0005-0000-0000-0000860C0000}"/>
    <cellStyle name="Normal 11 2 2 2 5" xfId="3210" xr:uid="{00000000-0005-0000-0000-0000870C0000}"/>
    <cellStyle name="Normal 11 2 2 2 5 2" xfId="3211" xr:uid="{00000000-0005-0000-0000-0000880C0000}"/>
    <cellStyle name="Normal 11 2 2 2 5 2 2" xfId="3212" xr:uid="{00000000-0005-0000-0000-0000890C0000}"/>
    <cellStyle name="Normal 11 2 2 2 5 2 2 2" xfId="3213" xr:uid="{00000000-0005-0000-0000-00008A0C0000}"/>
    <cellStyle name="Normal 11 2 2 2 5 2 3" xfId="3214" xr:uid="{00000000-0005-0000-0000-00008B0C0000}"/>
    <cellStyle name="Normal 11 2 2 2 5 3" xfId="3215" xr:uid="{00000000-0005-0000-0000-00008C0C0000}"/>
    <cellStyle name="Normal 11 2 2 2 5 3 2" xfId="3216" xr:uid="{00000000-0005-0000-0000-00008D0C0000}"/>
    <cellStyle name="Normal 11 2 2 2 5 4" xfId="3217" xr:uid="{00000000-0005-0000-0000-00008E0C0000}"/>
    <cellStyle name="Normal 11 2 2 2 6" xfId="3218" xr:uid="{00000000-0005-0000-0000-00008F0C0000}"/>
    <cellStyle name="Normal 11 2 2 2 6 2" xfId="3219" xr:uid="{00000000-0005-0000-0000-0000900C0000}"/>
    <cellStyle name="Normal 11 2 2 2 6 2 2" xfId="3220" xr:uid="{00000000-0005-0000-0000-0000910C0000}"/>
    <cellStyle name="Normal 11 2 2 2 6 3" xfId="3221" xr:uid="{00000000-0005-0000-0000-0000920C0000}"/>
    <cellStyle name="Normal 11 2 2 2 7" xfId="3222" xr:uid="{00000000-0005-0000-0000-0000930C0000}"/>
    <cellStyle name="Normal 11 2 2 2 7 2" xfId="3223" xr:uid="{00000000-0005-0000-0000-0000940C0000}"/>
    <cellStyle name="Normal 11 2 2 2 8" xfId="3224" xr:uid="{00000000-0005-0000-0000-0000950C0000}"/>
    <cellStyle name="Normal 11 2 2 3" xfId="3225" xr:uid="{00000000-0005-0000-0000-0000960C0000}"/>
    <cellStyle name="Normal 11 2 2 3 2" xfId="3226" xr:uid="{00000000-0005-0000-0000-0000970C0000}"/>
    <cellStyle name="Normal 11 2 2 3 2 2" xfId="3227" xr:uid="{00000000-0005-0000-0000-0000980C0000}"/>
    <cellStyle name="Normal 11 2 2 3 2 2 2" xfId="3228" xr:uid="{00000000-0005-0000-0000-0000990C0000}"/>
    <cellStyle name="Normal 11 2 2 3 2 2 2 2" xfId="3229" xr:uid="{00000000-0005-0000-0000-00009A0C0000}"/>
    <cellStyle name="Normal 11 2 2 3 2 2 2 2 2" xfId="3230" xr:uid="{00000000-0005-0000-0000-00009B0C0000}"/>
    <cellStyle name="Normal 11 2 2 3 2 2 2 2 2 2" xfId="3231" xr:uid="{00000000-0005-0000-0000-00009C0C0000}"/>
    <cellStyle name="Normal 11 2 2 3 2 2 2 2 3" xfId="3232" xr:uid="{00000000-0005-0000-0000-00009D0C0000}"/>
    <cellStyle name="Normal 11 2 2 3 2 2 2 3" xfId="3233" xr:uid="{00000000-0005-0000-0000-00009E0C0000}"/>
    <cellStyle name="Normal 11 2 2 3 2 2 2 3 2" xfId="3234" xr:uid="{00000000-0005-0000-0000-00009F0C0000}"/>
    <cellStyle name="Normal 11 2 2 3 2 2 2 4" xfId="3235" xr:uid="{00000000-0005-0000-0000-0000A00C0000}"/>
    <cellStyle name="Normal 11 2 2 3 2 2 3" xfId="3236" xr:uid="{00000000-0005-0000-0000-0000A10C0000}"/>
    <cellStyle name="Normal 11 2 2 3 2 2 3 2" xfId="3237" xr:uid="{00000000-0005-0000-0000-0000A20C0000}"/>
    <cellStyle name="Normal 11 2 2 3 2 2 3 2 2" xfId="3238" xr:uid="{00000000-0005-0000-0000-0000A30C0000}"/>
    <cellStyle name="Normal 11 2 2 3 2 2 3 3" xfId="3239" xr:uid="{00000000-0005-0000-0000-0000A40C0000}"/>
    <cellStyle name="Normal 11 2 2 3 2 2 4" xfId="3240" xr:uid="{00000000-0005-0000-0000-0000A50C0000}"/>
    <cellStyle name="Normal 11 2 2 3 2 2 4 2" xfId="3241" xr:uid="{00000000-0005-0000-0000-0000A60C0000}"/>
    <cellStyle name="Normal 11 2 2 3 2 2 5" xfId="3242" xr:uid="{00000000-0005-0000-0000-0000A70C0000}"/>
    <cellStyle name="Normal 11 2 2 3 2 3" xfId="3243" xr:uid="{00000000-0005-0000-0000-0000A80C0000}"/>
    <cellStyle name="Normal 11 2 2 3 2 3 2" xfId="3244" xr:uid="{00000000-0005-0000-0000-0000A90C0000}"/>
    <cellStyle name="Normal 11 2 2 3 2 3 2 2" xfId="3245" xr:uid="{00000000-0005-0000-0000-0000AA0C0000}"/>
    <cellStyle name="Normal 11 2 2 3 2 3 2 2 2" xfId="3246" xr:uid="{00000000-0005-0000-0000-0000AB0C0000}"/>
    <cellStyle name="Normal 11 2 2 3 2 3 2 3" xfId="3247" xr:uid="{00000000-0005-0000-0000-0000AC0C0000}"/>
    <cellStyle name="Normal 11 2 2 3 2 3 3" xfId="3248" xr:uid="{00000000-0005-0000-0000-0000AD0C0000}"/>
    <cellStyle name="Normal 11 2 2 3 2 3 3 2" xfId="3249" xr:uid="{00000000-0005-0000-0000-0000AE0C0000}"/>
    <cellStyle name="Normal 11 2 2 3 2 3 4" xfId="3250" xr:uid="{00000000-0005-0000-0000-0000AF0C0000}"/>
    <cellStyle name="Normal 11 2 2 3 2 4" xfId="3251" xr:uid="{00000000-0005-0000-0000-0000B00C0000}"/>
    <cellStyle name="Normal 11 2 2 3 2 4 2" xfId="3252" xr:uid="{00000000-0005-0000-0000-0000B10C0000}"/>
    <cellStyle name="Normal 11 2 2 3 2 4 2 2" xfId="3253" xr:uid="{00000000-0005-0000-0000-0000B20C0000}"/>
    <cellStyle name="Normal 11 2 2 3 2 4 3" xfId="3254" xr:uid="{00000000-0005-0000-0000-0000B30C0000}"/>
    <cellStyle name="Normal 11 2 2 3 2 5" xfId="3255" xr:uid="{00000000-0005-0000-0000-0000B40C0000}"/>
    <cellStyle name="Normal 11 2 2 3 2 5 2" xfId="3256" xr:uid="{00000000-0005-0000-0000-0000B50C0000}"/>
    <cellStyle name="Normal 11 2 2 3 2 6" xfId="3257" xr:uid="{00000000-0005-0000-0000-0000B60C0000}"/>
    <cellStyle name="Normal 11 2 2 3 3" xfId="3258" xr:uid="{00000000-0005-0000-0000-0000B70C0000}"/>
    <cellStyle name="Normal 11 2 2 3 3 2" xfId="3259" xr:uid="{00000000-0005-0000-0000-0000B80C0000}"/>
    <cellStyle name="Normal 11 2 2 3 3 2 2" xfId="3260" xr:uid="{00000000-0005-0000-0000-0000B90C0000}"/>
    <cellStyle name="Normal 11 2 2 3 3 2 2 2" xfId="3261" xr:uid="{00000000-0005-0000-0000-0000BA0C0000}"/>
    <cellStyle name="Normal 11 2 2 3 3 2 2 2 2" xfId="3262" xr:uid="{00000000-0005-0000-0000-0000BB0C0000}"/>
    <cellStyle name="Normal 11 2 2 3 3 2 2 3" xfId="3263" xr:uid="{00000000-0005-0000-0000-0000BC0C0000}"/>
    <cellStyle name="Normal 11 2 2 3 3 2 3" xfId="3264" xr:uid="{00000000-0005-0000-0000-0000BD0C0000}"/>
    <cellStyle name="Normal 11 2 2 3 3 2 3 2" xfId="3265" xr:uid="{00000000-0005-0000-0000-0000BE0C0000}"/>
    <cellStyle name="Normal 11 2 2 3 3 2 4" xfId="3266" xr:uid="{00000000-0005-0000-0000-0000BF0C0000}"/>
    <cellStyle name="Normal 11 2 2 3 3 3" xfId="3267" xr:uid="{00000000-0005-0000-0000-0000C00C0000}"/>
    <cellStyle name="Normal 11 2 2 3 3 3 2" xfId="3268" xr:uid="{00000000-0005-0000-0000-0000C10C0000}"/>
    <cellStyle name="Normal 11 2 2 3 3 3 2 2" xfId="3269" xr:uid="{00000000-0005-0000-0000-0000C20C0000}"/>
    <cellStyle name="Normal 11 2 2 3 3 3 3" xfId="3270" xr:uid="{00000000-0005-0000-0000-0000C30C0000}"/>
    <cellStyle name="Normal 11 2 2 3 3 4" xfId="3271" xr:uid="{00000000-0005-0000-0000-0000C40C0000}"/>
    <cellStyle name="Normal 11 2 2 3 3 4 2" xfId="3272" xr:uid="{00000000-0005-0000-0000-0000C50C0000}"/>
    <cellStyle name="Normal 11 2 2 3 3 5" xfId="3273" xr:uid="{00000000-0005-0000-0000-0000C60C0000}"/>
    <cellStyle name="Normal 11 2 2 3 4" xfId="3274" xr:uid="{00000000-0005-0000-0000-0000C70C0000}"/>
    <cellStyle name="Normal 11 2 2 3 4 2" xfId="3275" xr:uid="{00000000-0005-0000-0000-0000C80C0000}"/>
    <cellStyle name="Normal 11 2 2 3 4 2 2" xfId="3276" xr:uid="{00000000-0005-0000-0000-0000C90C0000}"/>
    <cellStyle name="Normal 11 2 2 3 4 2 2 2" xfId="3277" xr:uid="{00000000-0005-0000-0000-0000CA0C0000}"/>
    <cellStyle name="Normal 11 2 2 3 4 2 3" xfId="3278" xr:uid="{00000000-0005-0000-0000-0000CB0C0000}"/>
    <cellStyle name="Normal 11 2 2 3 4 3" xfId="3279" xr:uid="{00000000-0005-0000-0000-0000CC0C0000}"/>
    <cellStyle name="Normal 11 2 2 3 4 3 2" xfId="3280" xr:uid="{00000000-0005-0000-0000-0000CD0C0000}"/>
    <cellStyle name="Normal 11 2 2 3 4 4" xfId="3281" xr:uid="{00000000-0005-0000-0000-0000CE0C0000}"/>
    <cellStyle name="Normal 11 2 2 3 5" xfId="3282" xr:uid="{00000000-0005-0000-0000-0000CF0C0000}"/>
    <cellStyle name="Normal 11 2 2 3 5 2" xfId="3283" xr:uid="{00000000-0005-0000-0000-0000D00C0000}"/>
    <cellStyle name="Normal 11 2 2 3 5 2 2" xfId="3284" xr:uid="{00000000-0005-0000-0000-0000D10C0000}"/>
    <cellStyle name="Normal 11 2 2 3 5 3" xfId="3285" xr:uid="{00000000-0005-0000-0000-0000D20C0000}"/>
    <cellStyle name="Normal 11 2 2 3 6" xfId="3286" xr:uid="{00000000-0005-0000-0000-0000D30C0000}"/>
    <cellStyle name="Normal 11 2 2 3 6 2" xfId="3287" xr:uid="{00000000-0005-0000-0000-0000D40C0000}"/>
    <cellStyle name="Normal 11 2 2 3 7" xfId="3288" xr:uid="{00000000-0005-0000-0000-0000D50C0000}"/>
    <cellStyle name="Normal 11 2 2 4" xfId="3289" xr:uid="{00000000-0005-0000-0000-0000D60C0000}"/>
    <cellStyle name="Normal 11 2 2 4 2" xfId="3290" xr:uid="{00000000-0005-0000-0000-0000D70C0000}"/>
    <cellStyle name="Normal 11 2 2 4 2 2" xfId="3291" xr:uid="{00000000-0005-0000-0000-0000D80C0000}"/>
    <cellStyle name="Normal 11 2 2 4 2 2 2" xfId="3292" xr:uid="{00000000-0005-0000-0000-0000D90C0000}"/>
    <cellStyle name="Normal 11 2 2 4 2 2 2 2" xfId="3293" xr:uid="{00000000-0005-0000-0000-0000DA0C0000}"/>
    <cellStyle name="Normal 11 2 2 4 2 2 2 2 2" xfId="3294" xr:uid="{00000000-0005-0000-0000-0000DB0C0000}"/>
    <cellStyle name="Normal 11 2 2 4 2 2 2 3" xfId="3295" xr:uid="{00000000-0005-0000-0000-0000DC0C0000}"/>
    <cellStyle name="Normal 11 2 2 4 2 2 3" xfId="3296" xr:uid="{00000000-0005-0000-0000-0000DD0C0000}"/>
    <cellStyle name="Normal 11 2 2 4 2 2 3 2" xfId="3297" xr:uid="{00000000-0005-0000-0000-0000DE0C0000}"/>
    <cellStyle name="Normal 11 2 2 4 2 2 4" xfId="3298" xr:uid="{00000000-0005-0000-0000-0000DF0C0000}"/>
    <cellStyle name="Normal 11 2 2 4 2 3" xfId="3299" xr:uid="{00000000-0005-0000-0000-0000E00C0000}"/>
    <cellStyle name="Normal 11 2 2 4 2 3 2" xfId="3300" xr:uid="{00000000-0005-0000-0000-0000E10C0000}"/>
    <cellStyle name="Normal 11 2 2 4 2 3 2 2" xfId="3301" xr:uid="{00000000-0005-0000-0000-0000E20C0000}"/>
    <cellStyle name="Normal 11 2 2 4 2 3 3" xfId="3302" xr:uid="{00000000-0005-0000-0000-0000E30C0000}"/>
    <cellStyle name="Normal 11 2 2 4 2 4" xfId="3303" xr:uid="{00000000-0005-0000-0000-0000E40C0000}"/>
    <cellStyle name="Normal 11 2 2 4 2 4 2" xfId="3304" xr:uid="{00000000-0005-0000-0000-0000E50C0000}"/>
    <cellStyle name="Normal 11 2 2 4 2 5" xfId="3305" xr:uid="{00000000-0005-0000-0000-0000E60C0000}"/>
    <cellStyle name="Normal 11 2 2 4 3" xfId="3306" xr:uid="{00000000-0005-0000-0000-0000E70C0000}"/>
    <cellStyle name="Normal 11 2 2 4 3 2" xfId="3307" xr:uid="{00000000-0005-0000-0000-0000E80C0000}"/>
    <cellStyle name="Normal 11 2 2 4 3 2 2" xfId="3308" xr:uid="{00000000-0005-0000-0000-0000E90C0000}"/>
    <cellStyle name="Normal 11 2 2 4 3 2 2 2" xfId="3309" xr:uid="{00000000-0005-0000-0000-0000EA0C0000}"/>
    <cellStyle name="Normal 11 2 2 4 3 2 3" xfId="3310" xr:uid="{00000000-0005-0000-0000-0000EB0C0000}"/>
    <cellStyle name="Normal 11 2 2 4 3 3" xfId="3311" xr:uid="{00000000-0005-0000-0000-0000EC0C0000}"/>
    <cellStyle name="Normal 11 2 2 4 3 3 2" xfId="3312" xr:uid="{00000000-0005-0000-0000-0000ED0C0000}"/>
    <cellStyle name="Normal 11 2 2 4 3 4" xfId="3313" xr:uid="{00000000-0005-0000-0000-0000EE0C0000}"/>
    <cellStyle name="Normal 11 2 2 4 4" xfId="3314" xr:uid="{00000000-0005-0000-0000-0000EF0C0000}"/>
    <cellStyle name="Normal 11 2 2 4 4 2" xfId="3315" xr:uid="{00000000-0005-0000-0000-0000F00C0000}"/>
    <cellStyle name="Normal 11 2 2 4 4 2 2" xfId="3316" xr:uid="{00000000-0005-0000-0000-0000F10C0000}"/>
    <cellStyle name="Normal 11 2 2 4 4 3" xfId="3317" xr:uid="{00000000-0005-0000-0000-0000F20C0000}"/>
    <cellStyle name="Normal 11 2 2 4 5" xfId="3318" xr:uid="{00000000-0005-0000-0000-0000F30C0000}"/>
    <cellStyle name="Normal 11 2 2 4 5 2" xfId="3319" xr:uid="{00000000-0005-0000-0000-0000F40C0000}"/>
    <cellStyle name="Normal 11 2 2 4 6" xfId="3320" xr:uid="{00000000-0005-0000-0000-0000F50C0000}"/>
    <cellStyle name="Normal 11 2 2 5" xfId="3321" xr:uid="{00000000-0005-0000-0000-0000F60C0000}"/>
    <cellStyle name="Normal 11 2 2 5 2" xfId="3322" xr:uid="{00000000-0005-0000-0000-0000F70C0000}"/>
    <cellStyle name="Normal 11 2 2 5 2 2" xfId="3323" xr:uid="{00000000-0005-0000-0000-0000F80C0000}"/>
    <cellStyle name="Normal 11 2 2 5 2 2 2" xfId="3324" xr:uid="{00000000-0005-0000-0000-0000F90C0000}"/>
    <cellStyle name="Normal 11 2 2 5 2 2 2 2" xfId="3325" xr:uid="{00000000-0005-0000-0000-0000FA0C0000}"/>
    <cellStyle name="Normal 11 2 2 5 2 2 3" xfId="3326" xr:uid="{00000000-0005-0000-0000-0000FB0C0000}"/>
    <cellStyle name="Normal 11 2 2 5 2 3" xfId="3327" xr:uid="{00000000-0005-0000-0000-0000FC0C0000}"/>
    <cellStyle name="Normal 11 2 2 5 2 3 2" xfId="3328" xr:uid="{00000000-0005-0000-0000-0000FD0C0000}"/>
    <cellStyle name="Normal 11 2 2 5 2 4" xfId="3329" xr:uid="{00000000-0005-0000-0000-0000FE0C0000}"/>
    <cellStyle name="Normal 11 2 2 5 3" xfId="3330" xr:uid="{00000000-0005-0000-0000-0000FF0C0000}"/>
    <cellStyle name="Normal 11 2 2 5 3 2" xfId="3331" xr:uid="{00000000-0005-0000-0000-0000000D0000}"/>
    <cellStyle name="Normal 11 2 2 5 3 2 2" xfId="3332" xr:uid="{00000000-0005-0000-0000-0000010D0000}"/>
    <cellStyle name="Normal 11 2 2 5 3 3" xfId="3333" xr:uid="{00000000-0005-0000-0000-0000020D0000}"/>
    <cellStyle name="Normal 11 2 2 5 4" xfId="3334" xr:uid="{00000000-0005-0000-0000-0000030D0000}"/>
    <cellStyle name="Normal 11 2 2 5 4 2" xfId="3335" xr:uid="{00000000-0005-0000-0000-0000040D0000}"/>
    <cellStyle name="Normal 11 2 2 5 5" xfId="3336" xr:uid="{00000000-0005-0000-0000-0000050D0000}"/>
    <cellStyle name="Normal 11 2 2 6" xfId="3337" xr:uid="{00000000-0005-0000-0000-0000060D0000}"/>
    <cellStyle name="Normal 11 2 2 6 2" xfId="3338" xr:uid="{00000000-0005-0000-0000-0000070D0000}"/>
    <cellStyle name="Normal 11 2 2 6 2 2" xfId="3339" xr:uid="{00000000-0005-0000-0000-0000080D0000}"/>
    <cellStyle name="Normal 11 2 2 6 2 2 2" xfId="3340" xr:uid="{00000000-0005-0000-0000-0000090D0000}"/>
    <cellStyle name="Normal 11 2 2 6 2 3" xfId="3341" xr:uid="{00000000-0005-0000-0000-00000A0D0000}"/>
    <cellStyle name="Normal 11 2 2 6 3" xfId="3342" xr:uid="{00000000-0005-0000-0000-00000B0D0000}"/>
    <cellStyle name="Normal 11 2 2 6 3 2" xfId="3343" xr:uid="{00000000-0005-0000-0000-00000C0D0000}"/>
    <cellStyle name="Normal 11 2 2 6 4" xfId="3344" xr:uid="{00000000-0005-0000-0000-00000D0D0000}"/>
    <cellStyle name="Normal 11 2 2 7" xfId="3345" xr:uid="{00000000-0005-0000-0000-00000E0D0000}"/>
    <cellStyle name="Normal 11 2 2 7 2" xfId="3346" xr:uid="{00000000-0005-0000-0000-00000F0D0000}"/>
    <cellStyle name="Normal 11 2 2 7 2 2" xfId="3347" xr:uid="{00000000-0005-0000-0000-0000100D0000}"/>
    <cellStyle name="Normal 11 2 2 7 3" xfId="3348" xr:uid="{00000000-0005-0000-0000-0000110D0000}"/>
    <cellStyle name="Normal 11 2 2 8" xfId="3349" xr:uid="{00000000-0005-0000-0000-0000120D0000}"/>
    <cellStyle name="Normal 11 2 2 8 2" xfId="3350" xr:uid="{00000000-0005-0000-0000-0000130D0000}"/>
    <cellStyle name="Normal 11 2 2 9" xfId="3351" xr:uid="{00000000-0005-0000-0000-0000140D0000}"/>
    <cellStyle name="Normal 11 2 3" xfId="3352" xr:uid="{00000000-0005-0000-0000-0000150D0000}"/>
    <cellStyle name="Normal 11 2 3 2" xfId="3353" xr:uid="{00000000-0005-0000-0000-0000160D0000}"/>
    <cellStyle name="Normal 11 2 3 2 2" xfId="3354" xr:uid="{00000000-0005-0000-0000-0000170D0000}"/>
    <cellStyle name="Normal 11 2 3 2 2 2" xfId="3355" xr:uid="{00000000-0005-0000-0000-0000180D0000}"/>
    <cellStyle name="Normal 11 2 3 2 2 2 2" xfId="3356" xr:uid="{00000000-0005-0000-0000-0000190D0000}"/>
    <cellStyle name="Normal 11 2 3 2 2 2 2 2" xfId="3357" xr:uid="{00000000-0005-0000-0000-00001A0D0000}"/>
    <cellStyle name="Normal 11 2 3 2 2 2 2 2 2" xfId="3358" xr:uid="{00000000-0005-0000-0000-00001B0D0000}"/>
    <cellStyle name="Normal 11 2 3 2 2 2 2 2 2 2" xfId="3359" xr:uid="{00000000-0005-0000-0000-00001C0D0000}"/>
    <cellStyle name="Normal 11 2 3 2 2 2 2 2 3" xfId="3360" xr:uid="{00000000-0005-0000-0000-00001D0D0000}"/>
    <cellStyle name="Normal 11 2 3 2 2 2 2 3" xfId="3361" xr:uid="{00000000-0005-0000-0000-00001E0D0000}"/>
    <cellStyle name="Normal 11 2 3 2 2 2 2 3 2" xfId="3362" xr:uid="{00000000-0005-0000-0000-00001F0D0000}"/>
    <cellStyle name="Normal 11 2 3 2 2 2 2 4" xfId="3363" xr:uid="{00000000-0005-0000-0000-0000200D0000}"/>
    <cellStyle name="Normal 11 2 3 2 2 2 3" xfId="3364" xr:uid="{00000000-0005-0000-0000-0000210D0000}"/>
    <cellStyle name="Normal 11 2 3 2 2 2 3 2" xfId="3365" xr:uid="{00000000-0005-0000-0000-0000220D0000}"/>
    <cellStyle name="Normal 11 2 3 2 2 2 3 2 2" xfId="3366" xr:uid="{00000000-0005-0000-0000-0000230D0000}"/>
    <cellStyle name="Normal 11 2 3 2 2 2 3 3" xfId="3367" xr:uid="{00000000-0005-0000-0000-0000240D0000}"/>
    <cellStyle name="Normal 11 2 3 2 2 2 4" xfId="3368" xr:uid="{00000000-0005-0000-0000-0000250D0000}"/>
    <cellStyle name="Normal 11 2 3 2 2 2 4 2" xfId="3369" xr:uid="{00000000-0005-0000-0000-0000260D0000}"/>
    <cellStyle name="Normal 11 2 3 2 2 2 5" xfId="3370" xr:uid="{00000000-0005-0000-0000-0000270D0000}"/>
    <cellStyle name="Normal 11 2 3 2 2 3" xfId="3371" xr:uid="{00000000-0005-0000-0000-0000280D0000}"/>
    <cellStyle name="Normal 11 2 3 2 2 3 2" xfId="3372" xr:uid="{00000000-0005-0000-0000-0000290D0000}"/>
    <cellStyle name="Normal 11 2 3 2 2 3 2 2" xfId="3373" xr:uid="{00000000-0005-0000-0000-00002A0D0000}"/>
    <cellStyle name="Normal 11 2 3 2 2 3 2 2 2" xfId="3374" xr:uid="{00000000-0005-0000-0000-00002B0D0000}"/>
    <cellStyle name="Normal 11 2 3 2 2 3 2 3" xfId="3375" xr:uid="{00000000-0005-0000-0000-00002C0D0000}"/>
    <cellStyle name="Normal 11 2 3 2 2 3 3" xfId="3376" xr:uid="{00000000-0005-0000-0000-00002D0D0000}"/>
    <cellStyle name="Normal 11 2 3 2 2 3 3 2" xfId="3377" xr:uid="{00000000-0005-0000-0000-00002E0D0000}"/>
    <cellStyle name="Normal 11 2 3 2 2 3 4" xfId="3378" xr:uid="{00000000-0005-0000-0000-00002F0D0000}"/>
    <cellStyle name="Normal 11 2 3 2 2 4" xfId="3379" xr:uid="{00000000-0005-0000-0000-0000300D0000}"/>
    <cellStyle name="Normal 11 2 3 2 2 4 2" xfId="3380" xr:uid="{00000000-0005-0000-0000-0000310D0000}"/>
    <cellStyle name="Normal 11 2 3 2 2 4 2 2" xfId="3381" xr:uid="{00000000-0005-0000-0000-0000320D0000}"/>
    <cellStyle name="Normal 11 2 3 2 2 4 3" xfId="3382" xr:uid="{00000000-0005-0000-0000-0000330D0000}"/>
    <cellStyle name="Normal 11 2 3 2 2 5" xfId="3383" xr:uid="{00000000-0005-0000-0000-0000340D0000}"/>
    <cellStyle name="Normal 11 2 3 2 2 5 2" xfId="3384" xr:uid="{00000000-0005-0000-0000-0000350D0000}"/>
    <cellStyle name="Normal 11 2 3 2 2 6" xfId="3385" xr:uid="{00000000-0005-0000-0000-0000360D0000}"/>
    <cellStyle name="Normal 11 2 3 2 3" xfId="3386" xr:uid="{00000000-0005-0000-0000-0000370D0000}"/>
    <cellStyle name="Normal 11 2 3 2 3 2" xfId="3387" xr:uid="{00000000-0005-0000-0000-0000380D0000}"/>
    <cellStyle name="Normal 11 2 3 2 3 2 2" xfId="3388" xr:uid="{00000000-0005-0000-0000-0000390D0000}"/>
    <cellStyle name="Normal 11 2 3 2 3 2 2 2" xfId="3389" xr:uid="{00000000-0005-0000-0000-00003A0D0000}"/>
    <cellStyle name="Normal 11 2 3 2 3 2 2 2 2" xfId="3390" xr:uid="{00000000-0005-0000-0000-00003B0D0000}"/>
    <cellStyle name="Normal 11 2 3 2 3 2 2 3" xfId="3391" xr:uid="{00000000-0005-0000-0000-00003C0D0000}"/>
    <cellStyle name="Normal 11 2 3 2 3 2 3" xfId="3392" xr:uid="{00000000-0005-0000-0000-00003D0D0000}"/>
    <cellStyle name="Normal 11 2 3 2 3 2 3 2" xfId="3393" xr:uid="{00000000-0005-0000-0000-00003E0D0000}"/>
    <cellStyle name="Normal 11 2 3 2 3 2 4" xfId="3394" xr:uid="{00000000-0005-0000-0000-00003F0D0000}"/>
    <cellStyle name="Normal 11 2 3 2 3 3" xfId="3395" xr:uid="{00000000-0005-0000-0000-0000400D0000}"/>
    <cellStyle name="Normal 11 2 3 2 3 3 2" xfId="3396" xr:uid="{00000000-0005-0000-0000-0000410D0000}"/>
    <cellStyle name="Normal 11 2 3 2 3 3 2 2" xfId="3397" xr:uid="{00000000-0005-0000-0000-0000420D0000}"/>
    <cellStyle name="Normal 11 2 3 2 3 3 3" xfId="3398" xr:uid="{00000000-0005-0000-0000-0000430D0000}"/>
    <cellStyle name="Normal 11 2 3 2 3 4" xfId="3399" xr:uid="{00000000-0005-0000-0000-0000440D0000}"/>
    <cellStyle name="Normal 11 2 3 2 3 4 2" xfId="3400" xr:uid="{00000000-0005-0000-0000-0000450D0000}"/>
    <cellStyle name="Normal 11 2 3 2 3 5" xfId="3401" xr:uid="{00000000-0005-0000-0000-0000460D0000}"/>
    <cellStyle name="Normal 11 2 3 2 4" xfId="3402" xr:uid="{00000000-0005-0000-0000-0000470D0000}"/>
    <cellStyle name="Normal 11 2 3 2 4 2" xfId="3403" xr:uid="{00000000-0005-0000-0000-0000480D0000}"/>
    <cellStyle name="Normal 11 2 3 2 4 2 2" xfId="3404" xr:uid="{00000000-0005-0000-0000-0000490D0000}"/>
    <cellStyle name="Normal 11 2 3 2 4 2 2 2" xfId="3405" xr:uid="{00000000-0005-0000-0000-00004A0D0000}"/>
    <cellStyle name="Normal 11 2 3 2 4 2 3" xfId="3406" xr:uid="{00000000-0005-0000-0000-00004B0D0000}"/>
    <cellStyle name="Normal 11 2 3 2 4 3" xfId="3407" xr:uid="{00000000-0005-0000-0000-00004C0D0000}"/>
    <cellStyle name="Normal 11 2 3 2 4 3 2" xfId="3408" xr:uid="{00000000-0005-0000-0000-00004D0D0000}"/>
    <cellStyle name="Normal 11 2 3 2 4 4" xfId="3409" xr:uid="{00000000-0005-0000-0000-00004E0D0000}"/>
    <cellStyle name="Normal 11 2 3 2 5" xfId="3410" xr:uid="{00000000-0005-0000-0000-00004F0D0000}"/>
    <cellStyle name="Normal 11 2 3 2 5 2" xfId="3411" xr:uid="{00000000-0005-0000-0000-0000500D0000}"/>
    <cellStyle name="Normal 11 2 3 2 5 2 2" xfId="3412" xr:uid="{00000000-0005-0000-0000-0000510D0000}"/>
    <cellStyle name="Normal 11 2 3 2 5 3" xfId="3413" xr:uid="{00000000-0005-0000-0000-0000520D0000}"/>
    <cellStyle name="Normal 11 2 3 2 6" xfId="3414" xr:uid="{00000000-0005-0000-0000-0000530D0000}"/>
    <cellStyle name="Normal 11 2 3 2 6 2" xfId="3415" xr:uid="{00000000-0005-0000-0000-0000540D0000}"/>
    <cellStyle name="Normal 11 2 3 2 7" xfId="3416" xr:uid="{00000000-0005-0000-0000-0000550D0000}"/>
    <cellStyle name="Normal 11 2 3 3" xfId="3417" xr:uid="{00000000-0005-0000-0000-0000560D0000}"/>
    <cellStyle name="Normal 11 2 3 3 2" xfId="3418" xr:uid="{00000000-0005-0000-0000-0000570D0000}"/>
    <cellStyle name="Normal 11 2 3 3 2 2" xfId="3419" xr:uid="{00000000-0005-0000-0000-0000580D0000}"/>
    <cellStyle name="Normal 11 2 3 3 2 2 2" xfId="3420" xr:uid="{00000000-0005-0000-0000-0000590D0000}"/>
    <cellStyle name="Normal 11 2 3 3 2 2 2 2" xfId="3421" xr:uid="{00000000-0005-0000-0000-00005A0D0000}"/>
    <cellStyle name="Normal 11 2 3 3 2 2 2 2 2" xfId="3422" xr:uid="{00000000-0005-0000-0000-00005B0D0000}"/>
    <cellStyle name="Normal 11 2 3 3 2 2 2 3" xfId="3423" xr:uid="{00000000-0005-0000-0000-00005C0D0000}"/>
    <cellStyle name="Normal 11 2 3 3 2 2 3" xfId="3424" xr:uid="{00000000-0005-0000-0000-00005D0D0000}"/>
    <cellStyle name="Normal 11 2 3 3 2 2 3 2" xfId="3425" xr:uid="{00000000-0005-0000-0000-00005E0D0000}"/>
    <cellStyle name="Normal 11 2 3 3 2 2 4" xfId="3426" xr:uid="{00000000-0005-0000-0000-00005F0D0000}"/>
    <cellStyle name="Normal 11 2 3 3 2 3" xfId="3427" xr:uid="{00000000-0005-0000-0000-0000600D0000}"/>
    <cellStyle name="Normal 11 2 3 3 2 3 2" xfId="3428" xr:uid="{00000000-0005-0000-0000-0000610D0000}"/>
    <cellStyle name="Normal 11 2 3 3 2 3 2 2" xfId="3429" xr:uid="{00000000-0005-0000-0000-0000620D0000}"/>
    <cellStyle name="Normal 11 2 3 3 2 3 3" xfId="3430" xr:uid="{00000000-0005-0000-0000-0000630D0000}"/>
    <cellStyle name="Normal 11 2 3 3 2 4" xfId="3431" xr:uid="{00000000-0005-0000-0000-0000640D0000}"/>
    <cellStyle name="Normal 11 2 3 3 2 4 2" xfId="3432" xr:uid="{00000000-0005-0000-0000-0000650D0000}"/>
    <cellStyle name="Normal 11 2 3 3 2 5" xfId="3433" xr:uid="{00000000-0005-0000-0000-0000660D0000}"/>
    <cellStyle name="Normal 11 2 3 3 3" xfId="3434" xr:uid="{00000000-0005-0000-0000-0000670D0000}"/>
    <cellStyle name="Normal 11 2 3 3 3 2" xfId="3435" xr:uid="{00000000-0005-0000-0000-0000680D0000}"/>
    <cellStyle name="Normal 11 2 3 3 3 2 2" xfId="3436" xr:uid="{00000000-0005-0000-0000-0000690D0000}"/>
    <cellStyle name="Normal 11 2 3 3 3 2 2 2" xfId="3437" xr:uid="{00000000-0005-0000-0000-00006A0D0000}"/>
    <cellStyle name="Normal 11 2 3 3 3 2 3" xfId="3438" xr:uid="{00000000-0005-0000-0000-00006B0D0000}"/>
    <cellStyle name="Normal 11 2 3 3 3 3" xfId="3439" xr:uid="{00000000-0005-0000-0000-00006C0D0000}"/>
    <cellStyle name="Normal 11 2 3 3 3 3 2" xfId="3440" xr:uid="{00000000-0005-0000-0000-00006D0D0000}"/>
    <cellStyle name="Normal 11 2 3 3 3 4" xfId="3441" xr:uid="{00000000-0005-0000-0000-00006E0D0000}"/>
    <cellStyle name="Normal 11 2 3 3 4" xfId="3442" xr:uid="{00000000-0005-0000-0000-00006F0D0000}"/>
    <cellStyle name="Normal 11 2 3 3 4 2" xfId="3443" xr:uid="{00000000-0005-0000-0000-0000700D0000}"/>
    <cellStyle name="Normal 11 2 3 3 4 2 2" xfId="3444" xr:uid="{00000000-0005-0000-0000-0000710D0000}"/>
    <cellStyle name="Normal 11 2 3 3 4 3" xfId="3445" xr:uid="{00000000-0005-0000-0000-0000720D0000}"/>
    <cellStyle name="Normal 11 2 3 3 5" xfId="3446" xr:uid="{00000000-0005-0000-0000-0000730D0000}"/>
    <cellStyle name="Normal 11 2 3 3 5 2" xfId="3447" xr:uid="{00000000-0005-0000-0000-0000740D0000}"/>
    <cellStyle name="Normal 11 2 3 3 6" xfId="3448" xr:uid="{00000000-0005-0000-0000-0000750D0000}"/>
    <cellStyle name="Normal 11 2 3 4" xfId="3449" xr:uid="{00000000-0005-0000-0000-0000760D0000}"/>
    <cellStyle name="Normal 11 2 3 4 2" xfId="3450" xr:uid="{00000000-0005-0000-0000-0000770D0000}"/>
    <cellStyle name="Normal 11 2 3 4 2 2" xfId="3451" xr:uid="{00000000-0005-0000-0000-0000780D0000}"/>
    <cellStyle name="Normal 11 2 3 4 2 2 2" xfId="3452" xr:uid="{00000000-0005-0000-0000-0000790D0000}"/>
    <cellStyle name="Normal 11 2 3 4 2 2 2 2" xfId="3453" xr:uid="{00000000-0005-0000-0000-00007A0D0000}"/>
    <cellStyle name="Normal 11 2 3 4 2 2 3" xfId="3454" xr:uid="{00000000-0005-0000-0000-00007B0D0000}"/>
    <cellStyle name="Normal 11 2 3 4 2 3" xfId="3455" xr:uid="{00000000-0005-0000-0000-00007C0D0000}"/>
    <cellStyle name="Normal 11 2 3 4 2 3 2" xfId="3456" xr:uid="{00000000-0005-0000-0000-00007D0D0000}"/>
    <cellStyle name="Normal 11 2 3 4 2 4" xfId="3457" xr:uid="{00000000-0005-0000-0000-00007E0D0000}"/>
    <cellStyle name="Normal 11 2 3 4 3" xfId="3458" xr:uid="{00000000-0005-0000-0000-00007F0D0000}"/>
    <cellStyle name="Normal 11 2 3 4 3 2" xfId="3459" xr:uid="{00000000-0005-0000-0000-0000800D0000}"/>
    <cellStyle name="Normal 11 2 3 4 3 2 2" xfId="3460" xr:uid="{00000000-0005-0000-0000-0000810D0000}"/>
    <cellStyle name="Normal 11 2 3 4 3 3" xfId="3461" xr:uid="{00000000-0005-0000-0000-0000820D0000}"/>
    <cellStyle name="Normal 11 2 3 4 4" xfId="3462" xr:uid="{00000000-0005-0000-0000-0000830D0000}"/>
    <cellStyle name="Normal 11 2 3 4 4 2" xfId="3463" xr:uid="{00000000-0005-0000-0000-0000840D0000}"/>
    <cellStyle name="Normal 11 2 3 4 5" xfId="3464" xr:uid="{00000000-0005-0000-0000-0000850D0000}"/>
    <cellStyle name="Normal 11 2 3 5" xfId="3465" xr:uid="{00000000-0005-0000-0000-0000860D0000}"/>
    <cellStyle name="Normal 11 2 3 5 2" xfId="3466" xr:uid="{00000000-0005-0000-0000-0000870D0000}"/>
    <cellStyle name="Normal 11 2 3 5 2 2" xfId="3467" xr:uid="{00000000-0005-0000-0000-0000880D0000}"/>
    <cellStyle name="Normal 11 2 3 5 2 2 2" xfId="3468" xr:uid="{00000000-0005-0000-0000-0000890D0000}"/>
    <cellStyle name="Normal 11 2 3 5 2 3" xfId="3469" xr:uid="{00000000-0005-0000-0000-00008A0D0000}"/>
    <cellStyle name="Normal 11 2 3 5 3" xfId="3470" xr:uid="{00000000-0005-0000-0000-00008B0D0000}"/>
    <cellStyle name="Normal 11 2 3 5 3 2" xfId="3471" xr:uid="{00000000-0005-0000-0000-00008C0D0000}"/>
    <cellStyle name="Normal 11 2 3 5 4" xfId="3472" xr:uid="{00000000-0005-0000-0000-00008D0D0000}"/>
    <cellStyle name="Normal 11 2 3 6" xfId="3473" xr:uid="{00000000-0005-0000-0000-00008E0D0000}"/>
    <cellStyle name="Normal 11 2 3 6 2" xfId="3474" xr:uid="{00000000-0005-0000-0000-00008F0D0000}"/>
    <cellStyle name="Normal 11 2 3 6 2 2" xfId="3475" xr:uid="{00000000-0005-0000-0000-0000900D0000}"/>
    <cellStyle name="Normal 11 2 3 6 3" xfId="3476" xr:uid="{00000000-0005-0000-0000-0000910D0000}"/>
    <cellStyle name="Normal 11 2 3 7" xfId="3477" xr:uid="{00000000-0005-0000-0000-0000920D0000}"/>
    <cellStyle name="Normal 11 2 3 7 2" xfId="3478" xr:uid="{00000000-0005-0000-0000-0000930D0000}"/>
    <cellStyle name="Normal 11 2 3 8" xfId="3479" xr:uid="{00000000-0005-0000-0000-0000940D0000}"/>
    <cellStyle name="Normal 11 2 4" xfId="3480" xr:uid="{00000000-0005-0000-0000-0000950D0000}"/>
    <cellStyle name="Normal 11 2 4 2" xfId="3481" xr:uid="{00000000-0005-0000-0000-0000960D0000}"/>
    <cellStyle name="Normal 11 2 4 2 2" xfId="3482" xr:uid="{00000000-0005-0000-0000-0000970D0000}"/>
    <cellStyle name="Normal 11 2 4 2 2 2" xfId="3483" xr:uid="{00000000-0005-0000-0000-0000980D0000}"/>
    <cellStyle name="Normal 11 2 4 2 2 2 2" xfId="3484" xr:uid="{00000000-0005-0000-0000-0000990D0000}"/>
    <cellStyle name="Normal 11 2 4 2 2 2 2 2" xfId="3485" xr:uid="{00000000-0005-0000-0000-00009A0D0000}"/>
    <cellStyle name="Normal 11 2 4 2 2 2 2 2 2" xfId="3486" xr:uid="{00000000-0005-0000-0000-00009B0D0000}"/>
    <cellStyle name="Normal 11 2 4 2 2 2 2 3" xfId="3487" xr:uid="{00000000-0005-0000-0000-00009C0D0000}"/>
    <cellStyle name="Normal 11 2 4 2 2 2 3" xfId="3488" xr:uid="{00000000-0005-0000-0000-00009D0D0000}"/>
    <cellStyle name="Normal 11 2 4 2 2 2 3 2" xfId="3489" xr:uid="{00000000-0005-0000-0000-00009E0D0000}"/>
    <cellStyle name="Normal 11 2 4 2 2 2 4" xfId="3490" xr:uid="{00000000-0005-0000-0000-00009F0D0000}"/>
    <cellStyle name="Normal 11 2 4 2 2 3" xfId="3491" xr:uid="{00000000-0005-0000-0000-0000A00D0000}"/>
    <cellStyle name="Normal 11 2 4 2 2 3 2" xfId="3492" xr:uid="{00000000-0005-0000-0000-0000A10D0000}"/>
    <cellStyle name="Normal 11 2 4 2 2 3 2 2" xfId="3493" xr:uid="{00000000-0005-0000-0000-0000A20D0000}"/>
    <cellStyle name="Normal 11 2 4 2 2 3 3" xfId="3494" xr:uid="{00000000-0005-0000-0000-0000A30D0000}"/>
    <cellStyle name="Normal 11 2 4 2 2 4" xfId="3495" xr:uid="{00000000-0005-0000-0000-0000A40D0000}"/>
    <cellStyle name="Normal 11 2 4 2 2 4 2" xfId="3496" xr:uid="{00000000-0005-0000-0000-0000A50D0000}"/>
    <cellStyle name="Normal 11 2 4 2 2 5" xfId="3497" xr:uid="{00000000-0005-0000-0000-0000A60D0000}"/>
    <cellStyle name="Normal 11 2 4 2 3" xfId="3498" xr:uid="{00000000-0005-0000-0000-0000A70D0000}"/>
    <cellStyle name="Normal 11 2 4 2 3 2" xfId="3499" xr:uid="{00000000-0005-0000-0000-0000A80D0000}"/>
    <cellStyle name="Normal 11 2 4 2 3 2 2" xfId="3500" xr:uid="{00000000-0005-0000-0000-0000A90D0000}"/>
    <cellStyle name="Normal 11 2 4 2 3 2 2 2" xfId="3501" xr:uid="{00000000-0005-0000-0000-0000AA0D0000}"/>
    <cellStyle name="Normal 11 2 4 2 3 2 3" xfId="3502" xr:uid="{00000000-0005-0000-0000-0000AB0D0000}"/>
    <cellStyle name="Normal 11 2 4 2 3 3" xfId="3503" xr:uid="{00000000-0005-0000-0000-0000AC0D0000}"/>
    <cellStyle name="Normal 11 2 4 2 3 3 2" xfId="3504" xr:uid="{00000000-0005-0000-0000-0000AD0D0000}"/>
    <cellStyle name="Normal 11 2 4 2 3 4" xfId="3505" xr:uid="{00000000-0005-0000-0000-0000AE0D0000}"/>
    <cellStyle name="Normal 11 2 4 2 4" xfId="3506" xr:uid="{00000000-0005-0000-0000-0000AF0D0000}"/>
    <cellStyle name="Normal 11 2 4 2 4 2" xfId="3507" xr:uid="{00000000-0005-0000-0000-0000B00D0000}"/>
    <cellStyle name="Normal 11 2 4 2 4 2 2" xfId="3508" xr:uid="{00000000-0005-0000-0000-0000B10D0000}"/>
    <cellStyle name="Normal 11 2 4 2 4 3" xfId="3509" xr:uid="{00000000-0005-0000-0000-0000B20D0000}"/>
    <cellStyle name="Normal 11 2 4 2 5" xfId="3510" xr:uid="{00000000-0005-0000-0000-0000B30D0000}"/>
    <cellStyle name="Normal 11 2 4 2 5 2" xfId="3511" xr:uid="{00000000-0005-0000-0000-0000B40D0000}"/>
    <cellStyle name="Normal 11 2 4 2 6" xfId="3512" xr:uid="{00000000-0005-0000-0000-0000B50D0000}"/>
    <cellStyle name="Normal 11 2 4 3" xfId="3513" xr:uid="{00000000-0005-0000-0000-0000B60D0000}"/>
    <cellStyle name="Normal 11 2 4 3 2" xfId="3514" xr:uid="{00000000-0005-0000-0000-0000B70D0000}"/>
    <cellStyle name="Normal 11 2 4 3 2 2" xfId="3515" xr:uid="{00000000-0005-0000-0000-0000B80D0000}"/>
    <cellStyle name="Normal 11 2 4 3 2 2 2" xfId="3516" xr:uid="{00000000-0005-0000-0000-0000B90D0000}"/>
    <cellStyle name="Normal 11 2 4 3 2 2 2 2" xfId="3517" xr:uid="{00000000-0005-0000-0000-0000BA0D0000}"/>
    <cellStyle name="Normal 11 2 4 3 2 2 3" xfId="3518" xr:uid="{00000000-0005-0000-0000-0000BB0D0000}"/>
    <cellStyle name="Normal 11 2 4 3 2 3" xfId="3519" xr:uid="{00000000-0005-0000-0000-0000BC0D0000}"/>
    <cellStyle name="Normal 11 2 4 3 2 3 2" xfId="3520" xr:uid="{00000000-0005-0000-0000-0000BD0D0000}"/>
    <cellStyle name="Normal 11 2 4 3 2 4" xfId="3521" xr:uid="{00000000-0005-0000-0000-0000BE0D0000}"/>
    <cellStyle name="Normal 11 2 4 3 3" xfId="3522" xr:uid="{00000000-0005-0000-0000-0000BF0D0000}"/>
    <cellStyle name="Normal 11 2 4 3 3 2" xfId="3523" xr:uid="{00000000-0005-0000-0000-0000C00D0000}"/>
    <cellStyle name="Normal 11 2 4 3 3 2 2" xfId="3524" xr:uid="{00000000-0005-0000-0000-0000C10D0000}"/>
    <cellStyle name="Normal 11 2 4 3 3 3" xfId="3525" xr:uid="{00000000-0005-0000-0000-0000C20D0000}"/>
    <cellStyle name="Normal 11 2 4 3 4" xfId="3526" xr:uid="{00000000-0005-0000-0000-0000C30D0000}"/>
    <cellStyle name="Normal 11 2 4 3 4 2" xfId="3527" xr:uid="{00000000-0005-0000-0000-0000C40D0000}"/>
    <cellStyle name="Normal 11 2 4 3 5" xfId="3528" xr:uid="{00000000-0005-0000-0000-0000C50D0000}"/>
    <cellStyle name="Normal 11 2 4 4" xfId="3529" xr:uid="{00000000-0005-0000-0000-0000C60D0000}"/>
    <cellStyle name="Normal 11 2 4 4 2" xfId="3530" xr:uid="{00000000-0005-0000-0000-0000C70D0000}"/>
    <cellStyle name="Normal 11 2 4 4 2 2" xfId="3531" xr:uid="{00000000-0005-0000-0000-0000C80D0000}"/>
    <cellStyle name="Normal 11 2 4 4 2 2 2" xfId="3532" xr:uid="{00000000-0005-0000-0000-0000C90D0000}"/>
    <cellStyle name="Normal 11 2 4 4 2 3" xfId="3533" xr:uid="{00000000-0005-0000-0000-0000CA0D0000}"/>
    <cellStyle name="Normal 11 2 4 4 3" xfId="3534" xr:uid="{00000000-0005-0000-0000-0000CB0D0000}"/>
    <cellStyle name="Normal 11 2 4 4 3 2" xfId="3535" xr:uid="{00000000-0005-0000-0000-0000CC0D0000}"/>
    <cellStyle name="Normal 11 2 4 4 4" xfId="3536" xr:uid="{00000000-0005-0000-0000-0000CD0D0000}"/>
    <cellStyle name="Normal 11 2 4 5" xfId="3537" xr:uid="{00000000-0005-0000-0000-0000CE0D0000}"/>
    <cellStyle name="Normal 11 2 4 5 2" xfId="3538" xr:uid="{00000000-0005-0000-0000-0000CF0D0000}"/>
    <cellStyle name="Normal 11 2 4 5 2 2" xfId="3539" xr:uid="{00000000-0005-0000-0000-0000D00D0000}"/>
    <cellStyle name="Normal 11 2 4 5 3" xfId="3540" xr:uid="{00000000-0005-0000-0000-0000D10D0000}"/>
    <cellStyle name="Normal 11 2 4 6" xfId="3541" xr:uid="{00000000-0005-0000-0000-0000D20D0000}"/>
    <cellStyle name="Normal 11 2 4 6 2" xfId="3542" xr:uid="{00000000-0005-0000-0000-0000D30D0000}"/>
    <cellStyle name="Normal 11 2 4 7" xfId="3543" xr:uid="{00000000-0005-0000-0000-0000D40D0000}"/>
    <cellStyle name="Normal 11 2 5" xfId="3544" xr:uid="{00000000-0005-0000-0000-0000D50D0000}"/>
    <cellStyle name="Normal 11 2 5 2" xfId="3545" xr:uid="{00000000-0005-0000-0000-0000D60D0000}"/>
    <cellStyle name="Normal 11 2 5 2 2" xfId="3546" xr:uid="{00000000-0005-0000-0000-0000D70D0000}"/>
    <cellStyle name="Normal 11 2 5 2 2 2" xfId="3547" xr:uid="{00000000-0005-0000-0000-0000D80D0000}"/>
    <cellStyle name="Normal 11 2 5 2 2 2 2" xfId="3548" xr:uid="{00000000-0005-0000-0000-0000D90D0000}"/>
    <cellStyle name="Normal 11 2 5 2 2 2 2 2" xfId="3549" xr:uid="{00000000-0005-0000-0000-0000DA0D0000}"/>
    <cellStyle name="Normal 11 2 5 2 2 2 3" xfId="3550" xr:uid="{00000000-0005-0000-0000-0000DB0D0000}"/>
    <cellStyle name="Normal 11 2 5 2 2 3" xfId="3551" xr:uid="{00000000-0005-0000-0000-0000DC0D0000}"/>
    <cellStyle name="Normal 11 2 5 2 2 3 2" xfId="3552" xr:uid="{00000000-0005-0000-0000-0000DD0D0000}"/>
    <cellStyle name="Normal 11 2 5 2 2 4" xfId="3553" xr:uid="{00000000-0005-0000-0000-0000DE0D0000}"/>
    <cellStyle name="Normal 11 2 5 2 3" xfId="3554" xr:uid="{00000000-0005-0000-0000-0000DF0D0000}"/>
    <cellStyle name="Normal 11 2 5 2 3 2" xfId="3555" xr:uid="{00000000-0005-0000-0000-0000E00D0000}"/>
    <cellStyle name="Normal 11 2 5 2 3 2 2" xfId="3556" xr:uid="{00000000-0005-0000-0000-0000E10D0000}"/>
    <cellStyle name="Normal 11 2 5 2 3 3" xfId="3557" xr:uid="{00000000-0005-0000-0000-0000E20D0000}"/>
    <cellStyle name="Normal 11 2 5 2 4" xfId="3558" xr:uid="{00000000-0005-0000-0000-0000E30D0000}"/>
    <cellStyle name="Normal 11 2 5 2 4 2" xfId="3559" xr:uid="{00000000-0005-0000-0000-0000E40D0000}"/>
    <cellStyle name="Normal 11 2 5 2 5" xfId="3560" xr:uid="{00000000-0005-0000-0000-0000E50D0000}"/>
    <cellStyle name="Normal 11 2 5 3" xfId="3561" xr:uid="{00000000-0005-0000-0000-0000E60D0000}"/>
    <cellStyle name="Normal 11 2 5 3 2" xfId="3562" xr:uid="{00000000-0005-0000-0000-0000E70D0000}"/>
    <cellStyle name="Normal 11 2 5 3 2 2" xfId="3563" xr:uid="{00000000-0005-0000-0000-0000E80D0000}"/>
    <cellStyle name="Normal 11 2 5 3 2 2 2" xfId="3564" xr:uid="{00000000-0005-0000-0000-0000E90D0000}"/>
    <cellStyle name="Normal 11 2 5 3 2 3" xfId="3565" xr:uid="{00000000-0005-0000-0000-0000EA0D0000}"/>
    <cellStyle name="Normal 11 2 5 3 3" xfId="3566" xr:uid="{00000000-0005-0000-0000-0000EB0D0000}"/>
    <cellStyle name="Normal 11 2 5 3 3 2" xfId="3567" xr:uid="{00000000-0005-0000-0000-0000EC0D0000}"/>
    <cellStyle name="Normal 11 2 5 3 4" xfId="3568" xr:uid="{00000000-0005-0000-0000-0000ED0D0000}"/>
    <cellStyle name="Normal 11 2 5 4" xfId="3569" xr:uid="{00000000-0005-0000-0000-0000EE0D0000}"/>
    <cellStyle name="Normal 11 2 5 4 2" xfId="3570" xr:uid="{00000000-0005-0000-0000-0000EF0D0000}"/>
    <cellStyle name="Normal 11 2 5 4 2 2" xfId="3571" xr:uid="{00000000-0005-0000-0000-0000F00D0000}"/>
    <cellStyle name="Normal 11 2 5 4 3" xfId="3572" xr:uid="{00000000-0005-0000-0000-0000F10D0000}"/>
    <cellStyle name="Normal 11 2 5 5" xfId="3573" xr:uid="{00000000-0005-0000-0000-0000F20D0000}"/>
    <cellStyle name="Normal 11 2 5 5 2" xfId="3574" xr:uid="{00000000-0005-0000-0000-0000F30D0000}"/>
    <cellStyle name="Normal 11 2 5 6" xfId="3575" xr:uid="{00000000-0005-0000-0000-0000F40D0000}"/>
    <cellStyle name="Normal 11 2 6" xfId="3576" xr:uid="{00000000-0005-0000-0000-0000F50D0000}"/>
    <cellStyle name="Normal 11 2 6 2" xfId="3577" xr:uid="{00000000-0005-0000-0000-0000F60D0000}"/>
    <cellStyle name="Normal 11 2 6 2 2" xfId="3578" xr:uid="{00000000-0005-0000-0000-0000F70D0000}"/>
    <cellStyle name="Normal 11 2 6 2 2 2" xfId="3579" xr:uid="{00000000-0005-0000-0000-0000F80D0000}"/>
    <cellStyle name="Normal 11 2 6 2 2 2 2" xfId="3580" xr:uid="{00000000-0005-0000-0000-0000F90D0000}"/>
    <cellStyle name="Normal 11 2 6 2 2 3" xfId="3581" xr:uid="{00000000-0005-0000-0000-0000FA0D0000}"/>
    <cellStyle name="Normal 11 2 6 2 3" xfId="3582" xr:uid="{00000000-0005-0000-0000-0000FB0D0000}"/>
    <cellStyle name="Normal 11 2 6 2 3 2" xfId="3583" xr:uid="{00000000-0005-0000-0000-0000FC0D0000}"/>
    <cellStyle name="Normal 11 2 6 2 4" xfId="3584" xr:uid="{00000000-0005-0000-0000-0000FD0D0000}"/>
    <cellStyle name="Normal 11 2 6 3" xfId="3585" xr:uid="{00000000-0005-0000-0000-0000FE0D0000}"/>
    <cellStyle name="Normal 11 2 6 3 2" xfId="3586" xr:uid="{00000000-0005-0000-0000-0000FF0D0000}"/>
    <cellStyle name="Normal 11 2 6 3 2 2" xfId="3587" xr:uid="{00000000-0005-0000-0000-0000000E0000}"/>
    <cellStyle name="Normal 11 2 6 3 3" xfId="3588" xr:uid="{00000000-0005-0000-0000-0000010E0000}"/>
    <cellStyle name="Normal 11 2 6 4" xfId="3589" xr:uid="{00000000-0005-0000-0000-0000020E0000}"/>
    <cellStyle name="Normal 11 2 6 4 2" xfId="3590" xr:uid="{00000000-0005-0000-0000-0000030E0000}"/>
    <cellStyle name="Normal 11 2 6 5" xfId="3591" xr:uid="{00000000-0005-0000-0000-0000040E0000}"/>
    <cellStyle name="Normal 11 2 7" xfId="3592" xr:uid="{00000000-0005-0000-0000-0000050E0000}"/>
    <cellStyle name="Normal 11 2 7 2" xfId="3593" xr:uid="{00000000-0005-0000-0000-0000060E0000}"/>
    <cellStyle name="Normal 11 2 7 2 2" xfId="3594" xr:uid="{00000000-0005-0000-0000-0000070E0000}"/>
    <cellStyle name="Normal 11 2 7 2 2 2" xfId="3595" xr:uid="{00000000-0005-0000-0000-0000080E0000}"/>
    <cellStyle name="Normal 11 2 7 2 3" xfId="3596" xr:uid="{00000000-0005-0000-0000-0000090E0000}"/>
    <cellStyle name="Normal 11 2 7 3" xfId="3597" xr:uid="{00000000-0005-0000-0000-00000A0E0000}"/>
    <cellStyle name="Normal 11 2 7 3 2" xfId="3598" xr:uid="{00000000-0005-0000-0000-00000B0E0000}"/>
    <cellStyle name="Normal 11 2 7 4" xfId="3599" xr:uid="{00000000-0005-0000-0000-00000C0E0000}"/>
    <cellStyle name="Normal 11 2 8" xfId="3600" xr:uid="{00000000-0005-0000-0000-00000D0E0000}"/>
    <cellStyle name="Normal 11 2 8 2" xfId="3601" xr:uid="{00000000-0005-0000-0000-00000E0E0000}"/>
    <cellStyle name="Normal 11 2 8 2 2" xfId="3602" xr:uid="{00000000-0005-0000-0000-00000F0E0000}"/>
    <cellStyle name="Normal 11 2 8 3" xfId="3603" xr:uid="{00000000-0005-0000-0000-0000100E0000}"/>
    <cellStyle name="Normal 11 2 9" xfId="3604" xr:uid="{00000000-0005-0000-0000-0000110E0000}"/>
    <cellStyle name="Normal 11 2 9 2" xfId="3605" xr:uid="{00000000-0005-0000-0000-0000120E0000}"/>
    <cellStyle name="Normal 11 3" xfId="3606" xr:uid="{00000000-0005-0000-0000-0000130E0000}"/>
    <cellStyle name="Normal 11 3 2" xfId="3607" xr:uid="{00000000-0005-0000-0000-0000140E0000}"/>
    <cellStyle name="Normal 11 3 2 2" xfId="3608" xr:uid="{00000000-0005-0000-0000-0000150E0000}"/>
    <cellStyle name="Normal 11 3 2 2 2" xfId="3609" xr:uid="{00000000-0005-0000-0000-0000160E0000}"/>
    <cellStyle name="Normal 11 3 2 2 2 2" xfId="3610" xr:uid="{00000000-0005-0000-0000-0000170E0000}"/>
    <cellStyle name="Normal 11 3 2 2 2 2 2" xfId="3611" xr:uid="{00000000-0005-0000-0000-0000180E0000}"/>
    <cellStyle name="Normal 11 3 2 2 2 2 2 2" xfId="3612" xr:uid="{00000000-0005-0000-0000-0000190E0000}"/>
    <cellStyle name="Normal 11 3 2 2 2 2 2 2 2" xfId="3613" xr:uid="{00000000-0005-0000-0000-00001A0E0000}"/>
    <cellStyle name="Normal 11 3 2 2 2 2 2 2 2 2" xfId="3614" xr:uid="{00000000-0005-0000-0000-00001B0E0000}"/>
    <cellStyle name="Normal 11 3 2 2 2 2 2 2 3" xfId="3615" xr:uid="{00000000-0005-0000-0000-00001C0E0000}"/>
    <cellStyle name="Normal 11 3 2 2 2 2 2 3" xfId="3616" xr:uid="{00000000-0005-0000-0000-00001D0E0000}"/>
    <cellStyle name="Normal 11 3 2 2 2 2 2 3 2" xfId="3617" xr:uid="{00000000-0005-0000-0000-00001E0E0000}"/>
    <cellStyle name="Normal 11 3 2 2 2 2 2 4" xfId="3618" xr:uid="{00000000-0005-0000-0000-00001F0E0000}"/>
    <cellStyle name="Normal 11 3 2 2 2 2 3" xfId="3619" xr:uid="{00000000-0005-0000-0000-0000200E0000}"/>
    <cellStyle name="Normal 11 3 2 2 2 2 3 2" xfId="3620" xr:uid="{00000000-0005-0000-0000-0000210E0000}"/>
    <cellStyle name="Normal 11 3 2 2 2 2 3 2 2" xfId="3621" xr:uid="{00000000-0005-0000-0000-0000220E0000}"/>
    <cellStyle name="Normal 11 3 2 2 2 2 3 3" xfId="3622" xr:uid="{00000000-0005-0000-0000-0000230E0000}"/>
    <cellStyle name="Normal 11 3 2 2 2 2 4" xfId="3623" xr:uid="{00000000-0005-0000-0000-0000240E0000}"/>
    <cellStyle name="Normal 11 3 2 2 2 2 4 2" xfId="3624" xr:uid="{00000000-0005-0000-0000-0000250E0000}"/>
    <cellStyle name="Normal 11 3 2 2 2 2 5" xfId="3625" xr:uid="{00000000-0005-0000-0000-0000260E0000}"/>
    <cellStyle name="Normal 11 3 2 2 2 3" xfId="3626" xr:uid="{00000000-0005-0000-0000-0000270E0000}"/>
    <cellStyle name="Normal 11 3 2 2 2 3 2" xfId="3627" xr:uid="{00000000-0005-0000-0000-0000280E0000}"/>
    <cellStyle name="Normal 11 3 2 2 2 3 2 2" xfId="3628" xr:uid="{00000000-0005-0000-0000-0000290E0000}"/>
    <cellStyle name="Normal 11 3 2 2 2 3 2 2 2" xfId="3629" xr:uid="{00000000-0005-0000-0000-00002A0E0000}"/>
    <cellStyle name="Normal 11 3 2 2 2 3 2 3" xfId="3630" xr:uid="{00000000-0005-0000-0000-00002B0E0000}"/>
    <cellStyle name="Normal 11 3 2 2 2 3 3" xfId="3631" xr:uid="{00000000-0005-0000-0000-00002C0E0000}"/>
    <cellStyle name="Normal 11 3 2 2 2 3 3 2" xfId="3632" xr:uid="{00000000-0005-0000-0000-00002D0E0000}"/>
    <cellStyle name="Normal 11 3 2 2 2 3 4" xfId="3633" xr:uid="{00000000-0005-0000-0000-00002E0E0000}"/>
    <cellStyle name="Normal 11 3 2 2 2 4" xfId="3634" xr:uid="{00000000-0005-0000-0000-00002F0E0000}"/>
    <cellStyle name="Normal 11 3 2 2 2 4 2" xfId="3635" xr:uid="{00000000-0005-0000-0000-0000300E0000}"/>
    <cellStyle name="Normal 11 3 2 2 2 4 2 2" xfId="3636" xr:uid="{00000000-0005-0000-0000-0000310E0000}"/>
    <cellStyle name="Normal 11 3 2 2 2 4 3" xfId="3637" xr:uid="{00000000-0005-0000-0000-0000320E0000}"/>
    <cellStyle name="Normal 11 3 2 2 2 5" xfId="3638" xr:uid="{00000000-0005-0000-0000-0000330E0000}"/>
    <cellStyle name="Normal 11 3 2 2 2 5 2" xfId="3639" xr:uid="{00000000-0005-0000-0000-0000340E0000}"/>
    <cellStyle name="Normal 11 3 2 2 2 6" xfId="3640" xr:uid="{00000000-0005-0000-0000-0000350E0000}"/>
    <cellStyle name="Normal 11 3 2 2 3" xfId="3641" xr:uid="{00000000-0005-0000-0000-0000360E0000}"/>
    <cellStyle name="Normal 11 3 2 2 3 2" xfId="3642" xr:uid="{00000000-0005-0000-0000-0000370E0000}"/>
    <cellStyle name="Normal 11 3 2 2 3 2 2" xfId="3643" xr:uid="{00000000-0005-0000-0000-0000380E0000}"/>
    <cellStyle name="Normal 11 3 2 2 3 2 2 2" xfId="3644" xr:uid="{00000000-0005-0000-0000-0000390E0000}"/>
    <cellStyle name="Normal 11 3 2 2 3 2 2 2 2" xfId="3645" xr:uid="{00000000-0005-0000-0000-00003A0E0000}"/>
    <cellStyle name="Normal 11 3 2 2 3 2 2 3" xfId="3646" xr:uid="{00000000-0005-0000-0000-00003B0E0000}"/>
    <cellStyle name="Normal 11 3 2 2 3 2 3" xfId="3647" xr:uid="{00000000-0005-0000-0000-00003C0E0000}"/>
    <cellStyle name="Normal 11 3 2 2 3 2 3 2" xfId="3648" xr:uid="{00000000-0005-0000-0000-00003D0E0000}"/>
    <cellStyle name="Normal 11 3 2 2 3 2 4" xfId="3649" xr:uid="{00000000-0005-0000-0000-00003E0E0000}"/>
    <cellStyle name="Normal 11 3 2 2 3 3" xfId="3650" xr:uid="{00000000-0005-0000-0000-00003F0E0000}"/>
    <cellStyle name="Normal 11 3 2 2 3 3 2" xfId="3651" xr:uid="{00000000-0005-0000-0000-0000400E0000}"/>
    <cellStyle name="Normal 11 3 2 2 3 3 2 2" xfId="3652" xr:uid="{00000000-0005-0000-0000-0000410E0000}"/>
    <cellStyle name="Normal 11 3 2 2 3 3 3" xfId="3653" xr:uid="{00000000-0005-0000-0000-0000420E0000}"/>
    <cellStyle name="Normal 11 3 2 2 3 4" xfId="3654" xr:uid="{00000000-0005-0000-0000-0000430E0000}"/>
    <cellStyle name="Normal 11 3 2 2 3 4 2" xfId="3655" xr:uid="{00000000-0005-0000-0000-0000440E0000}"/>
    <cellStyle name="Normal 11 3 2 2 3 5" xfId="3656" xr:uid="{00000000-0005-0000-0000-0000450E0000}"/>
    <cellStyle name="Normal 11 3 2 2 4" xfId="3657" xr:uid="{00000000-0005-0000-0000-0000460E0000}"/>
    <cellStyle name="Normal 11 3 2 2 4 2" xfId="3658" xr:uid="{00000000-0005-0000-0000-0000470E0000}"/>
    <cellStyle name="Normal 11 3 2 2 4 2 2" xfId="3659" xr:uid="{00000000-0005-0000-0000-0000480E0000}"/>
    <cellStyle name="Normal 11 3 2 2 4 2 2 2" xfId="3660" xr:uid="{00000000-0005-0000-0000-0000490E0000}"/>
    <cellStyle name="Normal 11 3 2 2 4 2 3" xfId="3661" xr:uid="{00000000-0005-0000-0000-00004A0E0000}"/>
    <cellStyle name="Normal 11 3 2 2 4 3" xfId="3662" xr:uid="{00000000-0005-0000-0000-00004B0E0000}"/>
    <cellStyle name="Normal 11 3 2 2 4 3 2" xfId="3663" xr:uid="{00000000-0005-0000-0000-00004C0E0000}"/>
    <cellStyle name="Normal 11 3 2 2 4 4" xfId="3664" xr:uid="{00000000-0005-0000-0000-00004D0E0000}"/>
    <cellStyle name="Normal 11 3 2 2 5" xfId="3665" xr:uid="{00000000-0005-0000-0000-00004E0E0000}"/>
    <cellStyle name="Normal 11 3 2 2 5 2" xfId="3666" xr:uid="{00000000-0005-0000-0000-00004F0E0000}"/>
    <cellStyle name="Normal 11 3 2 2 5 2 2" xfId="3667" xr:uid="{00000000-0005-0000-0000-0000500E0000}"/>
    <cellStyle name="Normal 11 3 2 2 5 3" xfId="3668" xr:uid="{00000000-0005-0000-0000-0000510E0000}"/>
    <cellStyle name="Normal 11 3 2 2 6" xfId="3669" xr:uid="{00000000-0005-0000-0000-0000520E0000}"/>
    <cellStyle name="Normal 11 3 2 2 6 2" xfId="3670" xr:uid="{00000000-0005-0000-0000-0000530E0000}"/>
    <cellStyle name="Normal 11 3 2 2 7" xfId="3671" xr:uid="{00000000-0005-0000-0000-0000540E0000}"/>
    <cellStyle name="Normal 11 3 2 3" xfId="3672" xr:uid="{00000000-0005-0000-0000-0000550E0000}"/>
    <cellStyle name="Normal 11 3 2 3 2" xfId="3673" xr:uid="{00000000-0005-0000-0000-0000560E0000}"/>
    <cellStyle name="Normal 11 3 2 3 2 2" xfId="3674" xr:uid="{00000000-0005-0000-0000-0000570E0000}"/>
    <cellStyle name="Normal 11 3 2 3 2 2 2" xfId="3675" xr:uid="{00000000-0005-0000-0000-0000580E0000}"/>
    <cellStyle name="Normal 11 3 2 3 2 2 2 2" xfId="3676" xr:uid="{00000000-0005-0000-0000-0000590E0000}"/>
    <cellStyle name="Normal 11 3 2 3 2 2 2 2 2" xfId="3677" xr:uid="{00000000-0005-0000-0000-00005A0E0000}"/>
    <cellStyle name="Normal 11 3 2 3 2 2 2 3" xfId="3678" xr:uid="{00000000-0005-0000-0000-00005B0E0000}"/>
    <cellStyle name="Normal 11 3 2 3 2 2 3" xfId="3679" xr:uid="{00000000-0005-0000-0000-00005C0E0000}"/>
    <cellStyle name="Normal 11 3 2 3 2 2 3 2" xfId="3680" xr:uid="{00000000-0005-0000-0000-00005D0E0000}"/>
    <cellStyle name="Normal 11 3 2 3 2 2 4" xfId="3681" xr:uid="{00000000-0005-0000-0000-00005E0E0000}"/>
    <cellStyle name="Normal 11 3 2 3 2 3" xfId="3682" xr:uid="{00000000-0005-0000-0000-00005F0E0000}"/>
    <cellStyle name="Normal 11 3 2 3 2 3 2" xfId="3683" xr:uid="{00000000-0005-0000-0000-0000600E0000}"/>
    <cellStyle name="Normal 11 3 2 3 2 3 2 2" xfId="3684" xr:uid="{00000000-0005-0000-0000-0000610E0000}"/>
    <cellStyle name="Normal 11 3 2 3 2 3 3" xfId="3685" xr:uid="{00000000-0005-0000-0000-0000620E0000}"/>
    <cellStyle name="Normal 11 3 2 3 2 4" xfId="3686" xr:uid="{00000000-0005-0000-0000-0000630E0000}"/>
    <cellStyle name="Normal 11 3 2 3 2 4 2" xfId="3687" xr:uid="{00000000-0005-0000-0000-0000640E0000}"/>
    <cellStyle name="Normal 11 3 2 3 2 5" xfId="3688" xr:uid="{00000000-0005-0000-0000-0000650E0000}"/>
    <cellStyle name="Normal 11 3 2 3 3" xfId="3689" xr:uid="{00000000-0005-0000-0000-0000660E0000}"/>
    <cellStyle name="Normal 11 3 2 3 3 2" xfId="3690" xr:uid="{00000000-0005-0000-0000-0000670E0000}"/>
    <cellStyle name="Normal 11 3 2 3 3 2 2" xfId="3691" xr:uid="{00000000-0005-0000-0000-0000680E0000}"/>
    <cellStyle name="Normal 11 3 2 3 3 2 2 2" xfId="3692" xr:uid="{00000000-0005-0000-0000-0000690E0000}"/>
    <cellStyle name="Normal 11 3 2 3 3 2 3" xfId="3693" xr:uid="{00000000-0005-0000-0000-00006A0E0000}"/>
    <cellStyle name="Normal 11 3 2 3 3 3" xfId="3694" xr:uid="{00000000-0005-0000-0000-00006B0E0000}"/>
    <cellStyle name="Normal 11 3 2 3 3 3 2" xfId="3695" xr:uid="{00000000-0005-0000-0000-00006C0E0000}"/>
    <cellStyle name="Normal 11 3 2 3 3 4" xfId="3696" xr:uid="{00000000-0005-0000-0000-00006D0E0000}"/>
    <cellStyle name="Normal 11 3 2 3 4" xfId="3697" xr:uid="{00000000-0005-0000-0000-00006E0E0000}"/>
    <cellStyle name="Normal 11 3 2 3 4 2" xfId="3698" xr:uid="{00000000-0005-0000-0000-00006F0E0000}"/>
    <cellStyle name="Normal 11 3 2 3 4 2 2" xfId="3699" xr:uid="{00000000-0005-0000-0000-0000700E0000}"/>
    <cellStyle name="Normal 11 3 2 3 4 3" xfId="3700" xr:uid="{00000000-0005-0000-0000-0000710E0000}"/>
    <cellStyle name="Normal 11 3 2 3 5" xfId="3701" xr:uid="{00000000-0005-0000-0000-0000720E0000}"/>
    <cellStyle name="Normal 11 3 2 3 5 2" xfId="3702" xr:uid="{00000000-0005-0000-0000-0000730E0000}"/>
    <cellStyle name="Normal 11 3 2 3 6" xfId="3703" xr:uid="{00000000-0005-0000-0000-0000740E0000}"/>
    <cellStyle name="Normal 11 3 2 4" xfId="3704" xr:uid="{00000000-0005-0000-0000-0000750E0000}"/>
    <cellStyle name="Normal 11 3 2 4 2" xfId="3705" xr:uid="{00000000-0005-0000-0000-0000760E0000}"/>
    <cellStyle name="Normal 11 3 2 4 2 2" xfId="3706" xr:uid="{00000000-0005-0000-0000-0000770E0000}"/>
    <cellStyle name="Normal 11 3 2 4 2 2 2" xfId="3707" xr:uid="{00000000-0005-0000-0000-0000780E0000}"/>
    <cellStyle name="Normal 11 3 2 4 2 2 2 2" xfId="3708" xr:uid="{00000000-0005-0000-0000-0000790E0000}"/>
    <cellStyle name="Normal 11 3 2 4 2 2 3" xfId="3709" xr:uid="{00000000-0005-0000-0000-00007A0E0000}"/>
    <cellStyle name="Normal 11 3 2 4 2 3" xfId="3710" xr:uid="{00000000-0005-0000-0000-00007B0E0000}"/>
    <cellStyle name="Normal 11 3 2 4 2 3 2" xfId="3711" xr:uid="{00000000-0005-0000-0000-00007C0E0000}"/>
    <cellStyle name="Normal 11 3 2 4 2 4" xfId="3712" xr:uid="{00000000-0005-0000-0000-00007D0E0000}"/>
    <cellStyle name="Normal 11 3 2 4 3" xfId="3713" xr:uid="{00000000-0005-0000-0000-00007E0E0000}"/>
    <cellStyle name="Normal 11 3 2 4 3 2" xfId="3714" xr:uid="{00000000-0005-0000-0000-00007F0E0000}"/>
    <cellStyle name="Normal 11 3 2 4 3 2 2" xfId="3715" xr:uid="{00000000-0005-0000-0000-0000800E0000}"/>
    <cellStyle name="Normal 11 3 2 4 3 3" xfId="3716" xr:uid="{00000000-0005-0000-0000-0000810E0000}"/>
    <cellStyle name="Normal 11 3 2 4 4" xfId="3717" xr:uid="{00000000-0005-0000-0000-0000820E0000}"/>
    <cellStyle name="Normal 11 3 2 4 4 2" xfId="3718" xr:uid="{00000000-0005-0000-0000-0000830E0000}"/>
    <cellStyle name="Normal 11 3 2 4 5" xfId="3719" xr:uid="{00000000-0005-0000-0000-0000840E0000}"/>
    <cellStyle name="Normal 11 3 2 5" xfId="3720" xr:uid="{00000000-0005-0000-0000-0000850E0000}"/>
    <cellStyle name="Normal 11 3 2 5 2" xfId="3721" xr:uid="{00000000-0005-0000-0000-0000860E0000}"/>
    <cellStyle name="Normal 11 3 2 5 2 2" xfId="3722" xr:uid="{00000000-0005-0000-0000-0000870E0000}"/>
    <cellStyle name="Normal 11 3 2 5 2 2 2" xfId="3723" xr:uid="{00000000-0005-0000-0000-0000880E0000}"/>
    <cellStyle name="Normal 11 3 2 5 2 3" xfId="3724" xr:uid="{00000000-0005-0000-0000-0000890E0000}"/>
    <cellStyle name="Normal 11 3 2 5 3" xfId="3725" xr:uid="{00000000-0005-0000-0000-00008A0E0000}"/>
    <cellStyle name="Normal 11 3 2 5 3 2" xfId="3726" xr:uid="{00000000-0005-0000-0000-00008B0E0000}"/>
    <cellStyle name="Normal 11 3 2 5 4" xfId="3727" xr:uid="{00000000-0005-0000-0000-00008C0E0000}"/>
    <cellStyle name="Normal 11 3 2 6" xfId="3728" xr:uid="{00000000-0005-0000-0000-00008D0E0000}"/>
    <cellStyle name="Normal 11 3 2 6 2" xfId="3729" xr:uid="{00000000-0005-0000-0000-00008E0E0000}"/>
    <cellStyle name="Normal 11 3 2 6 2 2" xfId="3730" xr:uid="{00000000-0005-0000-0000-00008F0E0000}"/>
    <cellStyle name="Normal 11 3 2 6 3" xfId="3731" xr:uid="{00000000-0005-0000-0000-0000900E0000}"/>
    <cellStyle name="Normal 11 3 2 7" xfId="3732" xr:uid="{00000000-0005-0000-0000-0000910E0000}"/>
    <cellStyle name="Normal 11 3 2 7 2" xfId="3733" xr:uid="{00000000-0005-0000-0000-0000920E0000}"/>
    <cellStyle name="Normal 11 3 2 8" xfId="3734" xr:uid="{00000000-0005-0000-0000-0000930E0000}"/>
    <cellStyle name="Normal 11 3 3" xfId="3735" xr:uid="{00000000-0005-0000-0000-0000940E0000}"/>
    <cellStyle name="Normal 11 3 3 2" xfId="3736" xr:uid="{00000000-0005-0000-0000-0000950E0000}"/>
    <cellStyle name="Normal 11 3 3 2 2" xfId="3737" xr:uid="{00000000-0005-0000-0000-0000960E0000}"/>
    <cellStyle name="Normal 11 3 3 2 2 2" xfId="3738" xr:uid="{00000000-0005-0000-0000-0000970E0000}"/>
    <cellStyle name="Normal 11 3 3 2 2 2 2" xfId="3739" xr:uid="{00000000-0005-0000-0000-0000980E0000}"/>
    <cellStyle name="Normal 11 3 3 2 2 2 2 2" xfId="3740" xr:uid="{00000000-0005-0000-0000-0000990E0000}"/>
    <cellStyle name="Normal 11 3 3 2 2 2 2 2 2" xfId="3741" xr:uid="{00000000-0005-0000-0000-00009A0E0000}"/>
    <cellStyle name="Normal 11 3 3 2 2 2 2 3" xfId="3742" xr:uid="{00000000-0005-0000-0000-00009B0E0000}"/>
    <cellStyle name="Normal 11 3 3 2 2 2 3" xfId="3743" xr:uid="{00000000-0005-0000-0000-00009C0E0000}"/>
    <cellStyle name="Normal 11 3 3 2 2 2 3 2" xfId="3744" xr:uid="{00000000-0005-0000-0000-00009D0E0000}"/>
    <cellStyle name="Normal 11 3 3 2 2 2 4" xfId="3745" xr:uid="{00000000-0005-0000-0000-00009E0E0000}"/>
    <cellStyle name="Normal 11 3 3 2 2 3" xfId="3746" xr:uid="{00000000-0005-0000-0000-00009F0E0000}"/>
    <cellStyle name="Normal 11 3 3 2 2 3 2" xfId="3747" xr:uid="{00000000-0005-0000-0000-0000A00E0000}"/>
    <cellStyle name="Normal 11 3 3 2 2 3 2 2" xfId="3748" xr:uid="{00000000-0005-0000-0000-0000A10E0000}"/>
    <cellStyle name="Normal 11 3 3 2 2 3 3" xfId="3749" xr:uid="{00000000-0005-0000-0000-0000A20E0000}"/>
    <cellStyle name="Normal 11 3 3 2 2 4" xfId="3750" xr:uid="{00000000-0005-0000-0000-0000A30E0000}"/>
    <cellStyle name="Normal 11 3 3 2 2 4 2" xfId="3751" xr:uid="{00000000-0005-0000-0000-0000A40E0000}"/>
    <cellStyle name="Normal 11 3 3 2 2 5" xfId="3752" xr:uid="{00000000-0005-0000-0000-0000A50E0000}"/>
    <cellStyle name="Normal 11 3 3 2 3" xfId="3753" xr:uid="{00000000-0005-0000-0000-0000A60E0000}"/>
    <cellStyle name="Normal 11 3 3 2 3 2" xfId="3754" xr:uid="{00000000-0005-0000-0000-0000A70E0000}"/>
    <cellStyle name="Normal 11 3 3 2 3 2 2" xfId="3755" xr:uid="{00000000-0005-0000-0000-0000A80E0000}"/>
    <cellStyle name="Normal 11 3 3 2 3 2 2 2" xfId="3756" xr:uid="{00000000-0005-0000-0000-0000A90E0000}"/>
    <cellStyle name="Normal 11 3 3 2 3 2 3" xfId="3757" xr:uid="{00000000-0005-0000-0000-0000AA0E0000}"/>
    <cellStyle name="Normal 11 3 3 2 3 3" xfId="3758" xr:uid="{00000000-0005-0000-0000-0000AB0E0000}"/>
    <cellStyle name="Normal 11 3 3 2 3 3 2" xfId="3759" xr:uid="{00000000-0005-0000-0000-0000AC0E0000}"/>
    <cellStyle name="Normal 11 3 3 2 3 4" xfId="3760" xr:uid="{00000000-0005-0000-0000-0000AD0E0000}"/>
    <cellStyle name="Normal 11 3 3 2 4" xfId="3761" xr:uid="{00000000-0005-0000-0000-0000AE0E0000}"/>
    <cellStyle name="Normal 11 3 3 2 4 2" xfId="3762" xr:uid="{00000000-0005-0000-0000-0000AF0E0000}"/>
    <cellStyle name="Normal 11 3 3 2 4 2 2" xfId="3763" xr:uid="{00000000-0005-0000-0000-0000B00E0000}"/>
    <cellStyle name="Normal 11 3 3 2 4 3" xfId="3764" xr:uid="{00000000-0005-0000-0000-0000B10E0000}"/>
    <cellStyle name="Normal 11 3 3 2 5" xfId="3765" xr:uid="{00000000-0005-0000-0000-0000B20E0000}"/>
    <cellStyle name="Normal 11 3 3 2 5 2" xfId="3766" xr:uid="{00000000-0005-0000-0000-0000B30E0000}"/>
    <cellStyle name="Normal 11 3 3 2 6" xfId="3767" xr:uid="{00000000-0005-0000-0000-0000B40E0000}"/>
    <cellStyle name="Normal 11 3 3 3" xfId="3768" xr:uid="{00000000-0005-0000-0000-0000B50E0000}"/>
    <cellStyle name="Normal 11 3 3 3 2" xfId="3769" xr:uid="{00000000-0005-0000-0000-0000B60E0000}"/>
    <cellStyle name="Normal 11 3 3 3 2 2" xfId="3770" xr:uid="{00000000-0005-0000-0000-0000B70E0000}"/>
    <cellStyle name="Normal 11 3 3 3 2 2 2" xfId="3771" xr:uid="{00000000-0005-0000-0000-0000B80E0000}"/>
    <cellStyle name="Normal 11 3 3 3 2 2 2 2" xfId="3772" xr:uid="{00000000-0005-0000-0000-0000B90E0000}"/>
    <cellStyle name="Normal 11 3 3 3 2 2 3" xfId="3773" xr:uid="{00000000-0005-0000-0000-0000BA0E0000}"/>
    <cellStyle name="Normal 11 3 3 3 2 3" xfId="3774" xr:uid="{00000000-0005-0000-0000-0000BB0E0000}"/>
    <cellStyle name="Normal 11 3 3 3 2 3 2" xfId="3775" xr:uid="{00000000-0005-0000-0000-0000BC0E0000}"/>
    <cellStyle name="Normal 11 3 3 3 2 4" xfId="3776" xr:uid="{00000000-0005-0000-0000-0000BD0E0000}"/>
    <cellStyle name="Normal 11 3 3 3 3" xfId="3777" xr:uid="{00000000-0005-0000-0000-0000BE0E0000}"/>
    <cellStyle name="Normal 11 3 3 3 3 2" xfId="3778" xr:uid="{00000000-0005-0000-0000-0000BF0E0000}"/>
    <cellStyle name="Normal 11 3 3 3 3 2 2" xfId="3779" xr:uid="{00000000-0005-0000-0000-0000C00E0000}"/>
    <cellStyle name="Normal 11 3 3 3 3 3" xfId="3780" xr:uid="{00000000-0005-0000-0000-0000C10E0000}"/>
    <cellStyle name="Normal 11 3 3 3 4" xfId="3781" xr:uid="{00000000-0005-0000-0000-0000C20E0000}"/>
    <cellStyle name="Normal 11 3 3 3 4 2" xfId="3782" xr:uid="{00000000-0005-0000-0000-0000C30E0000}"/>
    <cellStyle name="Normal 11 3 3 3 5" xfId="3783" xr:uid="{00000000-0005-0000-0000-0000C40E0000}"/>
    <cellStyle name="Normal 11 3 3 4" xfId="3784" xr:uid="{00000000-0005-0000-0000-0000C50E0000}"/>
    <cellStyle name="Normal 11 3 3 4 2" xfId="3785" xr:uid="{00000000-0005-0000-0000-0000C60E0000}"/>
    <cellStyle name="Normal 11 3 3 4 2 2" xfId="3786" xr:uid="{00000000-0005-0000-0000-0000C70E0000}"/>
    <cellStyle name="Normal 11 3 3 4 2 2 2" xfId="3787" xr:uid="{00000000-0005-0000-0000-0000C80E0000}"/>
    <cellStyle name="Normal 11 3 3 4 2 3" xfId="3788" xr:uid="{00000000-0005-0000-0000-0000C90E0000}"/>
    <cellStyle name="Normal 11 3 3 4 3" xfId="3789" xr:uid="{00000000-0005-0000-0000-0000CA0E0000}"/>
    <cellStyle name="Normal 11 3 3 4 3 2" xfId="3790" xr:uid="{00000000-0005-0000-0000-0000CB0E0000}"/>
    <cellStyle name="Normal 11 3 3 4 4" xfId="3791" xr:uid="{00000000-0005-0000-0000-0000CC0E0000}"/>
    <cellStyle name="Normal 11 3 3 5" xfId="3792" xr:uid="{00000000-0005-0000-0000-0000CD0E0000}"/>
    <cellStyle name="Normal 11 3 3 5 2" xfId="3793" xr:uid="{00000000-0005-0000-0000-0000CE0E0000}"/>
    <cellStyle name="Normal 11 3 3 5 2 2" xfId="3794" xr:uid="{00000000-0005-0000-0000-0000CF0E0000}"/>
    <cellStyle name="Normal 11 3 3 5 3" xfId="3795" xr:uid="{00000000-0005-0000-0000-0000D00E0000}"/>
    <cellStyle name="Normal 11 3 3 6" xfId="3796" xr:uid="{00000000-0005-0000-0000-0000D10E0000}"/>
    <cellStyle name="Normal 11 3 3 6 2" xfId="3797" xr:uid="{00000000-0005-0000-0000-0000D20E0000}"/>
    <cellStyle name="Normal 11 3 3 7" xfId="3798" xr:uid="{00000000-0005-0000-0000-0000D30E0000}"/>
    <cellStyle name="Normal 11 3 4" xfId="3799" xr:uid="{00000000-0005-0000-0000-0000D40E0000}"/>
    <cellStyle name="Normal 11 3 4 2" xfId="3800" xr:uid="{00000000-0005-0000-0000-0000D50E0000}"/>
    <cellStyle name="Normal 11 3 4 2 2" xfId="3801" xr:uid="{00000000-0005-0000-0000-0000D60E0000}"/>
    <cellStyle name="Normal 11 3 4 2 2 2" xfId="3802" xr:uid="{00000000-0005-0000-0000-0000D70E0000}"/>
    <cellStyle name="Normal 11 3 4 2 2 2 2" xfId="3803" xr:uid="{00000000-0005-0000-0000-0000D80E0000}"/>
    <cellStyle name="Normal 11 3 4 2 2 2 2 2" xfId="3804" xr:uid="{00000000-0005-0000-0000-0000D90E0000}"/>
    <cellStyle name="Normal 11 3 4 2 2 2 3" xfId="3805" xr:uid="{00000000-0005-0000-0000-0000DA0E0000}"/>
    <cellStyle name="Normal 11 3 4 2 2 3" xfId="3806" xr:uid="{00000000-0005-0000-0000-0000DB0E0000}"/>
    <cellStyle name="Normal 11 3 4 2 2 3 2" xfId="3807" xr:uid="{00000000-0005-0000-0000-0000DC0E0000}"/>
    <cellStyle name="Normal 11 3 4 2 2 4" xfId="3808" xr:uid="{00000000-0005-0000-0000-0000DD0E0000}"/>
    <cellStyle name="Normal 11 3 4 2 3" xfId="3809" xr:uid="{00000000-0005-0000-0000-0000DE0E0000}"/>
    <cellStyle name="Normal 11 3 4 2 3 2" xfId="3810" xr:uid="{00000000-0005-0000-0000-0000DF0E0000}"/>
    <cellStyle name="Normal 11 3 4 2 3 2 2" xfId="3811" xr:uid="{00000000-0005-0000-0000-0000E00E0000}"/>
    <cellStyle name="Normal 11 3 4 2 3 3" xfId="3812" xr:uid="{00000000-0005-0000-0000-0000E10E0000}"/>
    <cellStyle name="Normal 11 3 4 2 4" xfId="3813" xr:uid="{00000000-0005-0000-0000-0000E20E0000}"/>
    <cellStyle name="Normal 11 3 4 2 4 2" xfId="3814" xr:uid="{00000000-0005-0000-0000-0000E30E0000}"/>
    <cellStyle name="Normal 11 3 4 2 5" xfId="3815" xr:uid="{00000000-0005-0000-0000-0000E40E0000}"/>
    <cellStyle name="Normal 11 3 4 3" xfId="3816" xr:uid="{00000000-0005-0000-0000-0000E50E0000}"/>
    <cellStyle name="Normal 11 3 4 3 2" xfId="3817" xr:uid="{00000000-0005-0000-0000-0000E60E0000}"/>
    <cellStyle name="Normal 11 3 4 3 2 2" xfId="3818" xr:uid="{00000000-0005-0000-0000-0000E70E0000}"/>
    <cellStyle name="Normal 11 3 4 3 2 2 2" xfId="3819" xr:uid="{00000000-0005-0000-0000-0000E80E0000}"/>
    <cellStyle name="Normal 11 3 4 3 2 3" xfId="3820" xr:uid="{00000000-0005-0000-0000-0000E90E0000}"/>
    <cellStyle name="Normal 11 3 4 3 3" xfId="3821" xr:uid="{00000000-0005-0000-0000-0000EA0E0000}"/>
    <cellStyle name="Normal 11 3 4 3 3 2" xfId="3822" xr:uid="{00000000-0005-0000-0000-0000EB0E0000}"/>
    <cellStyle name="Normal 11 3 4 3 4" xfId="3823" xr:uid="{00000000-0005-0000-0000-0000EC0E0000}"/>
    <cellStyle name="Normal 11 3 4 4" xfId="3824" xr:uid="{00000000-0005-0000-0000-0000ED0E0000}"/>
    <cellStyle name="Normal 11 3 4 4 2" xfId="3825" xr:uid="{00000000-0005-0000-0000-0000EE0E0000}"/>
    <cellStyle name="Normal 11 3 4 4 2 2" xfId="3826" xr:uid="{00000000-0005-0000-0000-0000EF0E0000}"/>
    <cellStyle name="Normal 11 3 4 4 3" xfId="3827" xr:uid="{00000000-0005-0000-0000-0000F00E0000}"/>
    <cellStyle name="Normal 11 3 4 5" xfId="3828" xr:uid="{00000000-0005-0000-0000-0000F10E0000}"/>
    <cellStyle name="Normal 11 3 4 5 2" xfId="3829" xr:uid="{00000000-0005-0000-0000-0000F20E0000}"/>
    <cellStyle name="Normal 11 3 4 6" xfId="3830" xr:uid="{00000000-0005-0000-0000-0000F30E0000}"/>
    <cellStyle name="Normal 11 3 5" xfId="3831" xr:uid="{00000000-0005-0000-0000-0000F40E0000}"/>
    <cellStyle name="Normal 11 3 5 2" xfId="3832" xr:uid="{00000000-0005-0000-0000-0000F50E0000}"/>
    <cellStyle name="Normal 11 3 5 2 2" xfId="3833" xr:uid="{00000000-0005-0000-0000-0000F60E0000}"/>
    <cellStyle name="Normal 11 3 5 2 2 2" xfId="3834" xr:uid="{00000000-0005-0000-0000-0000F70E0000}"/>
    <cellStyle name="Normal 11 3 5 2 2 2 2" xfId="3835" xr:uid="{00000000-0005-0000-0000-0000F80E0000}"/>
    <cellStyle name="Normal 11 3 5 2 2 3" xfId="3836" xr:uid="{00000000-0005-0000-0000-0000F90E0000}"/>
    <cellStyle name="Normal 11 3 5 2 3" xfId="3837" xr:uid="{00000000-0005-0000-0000-0000FA0E0000}"/>
    <cellStyle name="Normal 11 3 5 2 3 2" xfId="3838" xr:uid="{00000000-0005-0000-0000-0000FB0E0000}"/>
    <cellStyle name="Normal 11 3 5 2 4" xfId="3839" xr:uid="{00000000-0005-0000-0000-0000FC0E0000}"/>
    <cellStyle name="Normal 11 3 5 3" xfId="3840" xr:uid="{00000000-0005-0000-0000-0000FD0E0000}"/>
    <cellStyle name="Normal 11 3 5 3 2" xfId="3841" xr:uid="{00000000-0005-0000-0000-0000FE0E0000}"/>
    <cellStyle name="Normal 11 3 5 3 2 2" xfId="3842" xr:uid="{00000000-0005-0000-0000-0000FF0E0000}"/>
    <cellStyle name="Normal 11 3 5 3 3" xfId="3843" xr:uid="{00000000-0005-0000-0000-0000000F0000}"/>
    <cellStyle name="Normal 11 3 5 4" xfId="3844" xr:uid="{00000000-0005-0000-0000-0000010F0000}"/>
    <cellStyle name="Normal 11 3 5 4 2" xfId="3845" xr:uid="{00000000-0005-0000-0000-0000020F0000}"/>
    <cellStyle name="Normal 11 3 5 5" xfId="3846" xr:uid="{00000000-0005-0000-0000-0000030F0000}"/>
    <cellStyle name="Normal 11 3 6" xfId="3847" xr:uid="{00000000-0005-0000-0000-0000040F0000}"/>
    <cellStyle name="Normal 11 3 6 2" xfId="3848" xr:uid="{00000000-0005-0000-0000-0000050F0000}"/>
    <cellStyle name="Normal 11 3 6 2 2" xfId="3849" xr:uid="{00000000-0005-0000-0000-0000060F0000}"/>
    <cellStyle name="Normal 11 3 6 2 2 2" xfId="3850" xr:uid="{00000000-0005-0000-0000-0000070F0000}"/>
    <cellStyle name="Normal 11 3 6 2 3" xfId="3851" xr:uid="{00000000-0005-0000-0000-0000080F0000}"/>
    <cellStyle name="Normal 11 3 6 3" xfId="3852" xr:uid="{00000000-0005-0000-0000-0000090F0000}"/>
    <cellStyle name="Normal 11 3 6 3 2" xfId="3853" xr:uid="{00000000-0005-0000-0000-00000A0F0000}"/>
    <cellStyle name="Normal 11 3 6 4" xfId="3854" xr:uid="{00000000-0005-0000-0000-00000B0F0000}"/>
    <cellStyle name="Normal 11 3 7" xfId="3855" xr:uid="{00000000-0005-0000-0000-00000C0F0000}"/>
    <cellStyle name="Normal 11 3 7 2" xfId="3856" xr:uid="{00000000-0005-0000-0000-00000D0F0000}"/>
    <cellStyle name="Normal 11 3 7 2 2" xfId="3857" xr:uid="{00000000-0005-0000-0000-00000E0F0000}"/>
    <cellStyle name="Normal 11 3 7 3" xfId="3858" xr:uid="{00000000-0005-0000-0000-00000F0F0000}"/>
    <cellStyle name="Normal 11 3 8" xfId="3859" xr:uid="{00000000-0005-0000-0000-0000100F0000}"/>
    <cellStyle name="Normal 11 3 8 2" xfId="3860" xr:uid="{00000000-0005-0000-0000-0000110F0000}"/>
    <cellStyle name="Normal 11 3 9" xfId="3861" xr:uid="{00000000-0005-0000-0000-0000120F0000}"/>
    <cellStyle name="Normal 11 4" xfId="3862" xr:uid="{00000000-0005-0000-0000-0000130F0000}"/>
    <cellStyle name="Normal 11 4 2" xfId="3863" xr:uid="{00000000-0005-0000-0000-0000140F0000}"/>
    <cellStyle name="Normal 11 4 2 2" xfId="3864" xr:uid="{00000000-0005-0000-0000-0000150F0000}"/>
    <cellStyle name="Normal 11 4 2 2 2" xfId="3865" xr:uid="{00000000-0005-0000-0000-0000160F0000}"/>
    <cellStyle name="Normal 11 4 2 2 2 2" xfId="3866" xr:uid="{00000000-0005-0000-0000-0000170F0000}"/>
    <cellStyle name="Normal 11 4 2 2 2 2 2" xfId="3867" xr:uid="{00000000-0005-0000-0000-0000180F0000}"/>
    <cellStyle name="Normal 11 4 2 2 2 2 2 2" xfId="3868" xr:uid="{00000000-0005-0000-0000-0000190F0000}"/>
    <cellStyle name="Normal 11 4 2 2 2 2 2 2 2" xfId="3869" xr:uid="{00000000-0005-0000-0000-00001A0F0000}"/>
    <cellStyle name="Normal 11 4 2 2 2 2 2 3" xfId="3870" xr:uid="{00000000-0005-0000-0000-00001B0F0000}"/>
    <cellStyle name="Normal 11 4 2 2 2 2 3" xfId="3871" xr:uid="{00000000-0005-0000-0000-00001C0F0000}"/>
    <cellStyle name="Normal 11 4 2 2 2 2 3 2" xfId="3872" xr:uid="{00000000-0005-0000-0000-00001D0F0000}"/>
    <cellStyle name="Normal 11 4 2 2 2 2 4" xfId="3873" xr:uid="{00000000-0005-0000-0000-00001E0F0000}"/>
    <cellStyle name="Normal 11 4 2 2 2 3" xfId="3874" xr:uid="{00000000-0005-0000-0000-00001F0F0000}"/>
    <cellStyle name="Normal 11 4 2 2 2 3 2" xfId="3875" xr:uid="{00000000-0005-0000-0000-0000200F0000}"/>
    <cellStyle name="Normal 11 4 2 2 2 3 2 2" xfId="3876" xr:uid="{00000000-0005-0000-0000-0000210F0000}"/>
    <cellStyle name="Normal 11 4 2 2 2 3 3" xfId="3877" xr:uid="{00000000-0005-0000-0000-0000220F0000}"/>
    <cellStyle name="Normal 11 4 2 2 2 4" xfId="3878" xr:uid="{00000000-0005-0000-0000-0000230F0000}"/>
    <cellStyle name="Normal 11 4 2 2 2 4 2" xfId="3879" xr:uid="{00000000-0005-0000-0000-0000240F0000}"/>
    <cellStyle name="Normal 11 4 2 2 2 5" xfId="3880" xr:uid="{00000000-0005-0000-0000-0000250F0000}"/>
    <cellStyle name="Normal 11 4 2 2 3" xfId="3881" xr:uid="{00000000-0005-0000-0000-0000260F0000}"/>
    <cellStyle name="Normal 11 4 2 2 3 2" xfId="3882" xr:uid="{00000000-0005-0000-0000-0000270F0000}"/>
    <cellStyle name="Normal 11 4 2 2 3 2 2" xfId="3883" xr:uid="{00000000-0005-0000-0000-0000280F0000}"/>
    <cellStyle name="Normal 11 4 2 2 3 2 2 2" xfId="3884" xr:uid="{00000000-0005-0000-0000-0000290F0000}"/>
    <cellStyle name="Normal 11 4 2 2 3 2 3" xfId="3885" xr:uid="{00000000-0005-0000-0000-00002A0F0000}"/>
    <cellStyle name="Normal 11 4 2 2 3 3" xfId="3886" xr:uid="{00000000-0005-0000-0000-00002B0F0000}"/>
    <cellStyle name="Normal 11 4 2 2 3 3 2" xfId="3887" xr:uid="{00000000-0005-0000-0000-00002C0F0000}"/>
    <cellStyle name="Normal 11 4 2 2 3 4" xfId="3888" xr:uid="{00000000-0005-0000-0000-00002D0F0000}"/>
    <cellStyle name="Normal 11 4 2 2 4" xfId="3889" xr:uid="{00000000-0005-0000-0000-00002E0F0000}"/>
    <cellStyle name="Normal 11 4 2 2 4 2" xfId="3890" xr:uid="{00000000-0005-0000-0000-00002F0F0000}"/>
    <cellStyle name="Normal 11 4 2 2 4 2 2" xfId="3891" xr:uid="{00000000-0005-0000-0000-0000300F0000}"/>
    <cellStyle name="Normal 11 4 2 2 4 3" xfId="3892" xr:uid="{00000000-0005-0000-0000-0000310F0000}"/>
    <cellStyle name="Normal 11 4 2 2 5" xfId="3893" xr:uid="{00000000-0005-0000-0000-0000320F0000}"/>
    <cellStyle name="Normal 11 4 2 2 5 2" xfId="3894" xr:uid="{00000000-0005-0000-0000-0000330F0000}"/>
    <cellStyle name="Normal 11 4 2 2 6" xfId="3895" xr:uid="{00000000-0005-0000-0000-0000340F0000}"/>
    <cellStyle name="Normal 11 4 2 3" xfId="3896" xr:uid="{00000000-0005-0000-0000-0000350F0000}"/>
    <cellStyle name="Normal 11 4 2 3 2" xfId="3897" xr:uid="{00000000-0005-0000-0000-0000360F0000}"/>
    <cellStyle name="Normal 11 4 2 3 2 2" xfId="3898" xr:uid="{00000000-0005-0000-0000-0000370F0000}"/>
    <cellStyle name="Normal 11 4 2 3 2 2 2" xfId="3899" xr:uid="{00000000-0005-0000-0000-0000380F0000}"/>
    <cellStyle name="Normal 11 4 2 3 2 2 2 2" xfId="3900" xr:uid="{00000000-0005-0000-0000-0000390F0000}"/>
    <cellStyle name="Normal 11 4 2 3 2 2 3" xfId="3901" xr:uid="{00000000-0005-0000-0000-00003A0F0000}"/>
    <cellStyle name="Normal 11 4 2 3 2 3" xfId="3902" xr:uid="{00000000-0005-0000-0000-00003B0F0000}"/>
    <cellStyle name="Normal 11 4 2 3 2 3 2" xfId="3903" xr:uid="{00000000-0005-0000-0000-00003C0F0000}"/>
    <cellStyle name="Normal 11 4 2 3 2 4" xfId="3904" xr:uid="{00000000-0005-0000-0000-00003D0F0000}"/>
    <cellStyle name="Normal 11 4 2 3 3" xfId="3905" xr:uid="{00000000-0005-0000-0000-00003E0F0000}"/>
    <cellStyle name="Normal 11 4 2 3 3 2" xfId="3906" xr:uid="{00000000-0005-0000-0000-00003F0F0000}"/>
    <cellStyle name="Normal 11 4 2 3 3 2 2" xfId="3907" xr:uid="{00000000-0005-0000-0000-0000400F0000}"/>
    <cellStyle name="Normal 11 4 2 3 3 3" xfId="3908" xr:uid="{00000000-0005-0000-0000-0000410F0000}"/>
    <cellStyle name="Normal 11 4 2 3 4" xfId="3909" xr:uid="{00000000-0005-0000-0000-0000420F0000}"/>
    <cellStyle name="Normal 11 4 2 3 4 2" xfId="3910" xr:uid="{00000000-0005-0000-0000-0000430F0000}"/>
    <cellStyle name="Normal 11 4 2 3 5" xfId="3911" xr:uid="{00000000-0005-0000-0000-0000440F0000}"/>
    <cellStyle name="Normal 11 4 2 4" xfId="3912" xr:uid="{00000000-0005-0000-0000-0000450F0000}"/>
    <cellStyle name="Normal 11 4 2 4 2" xfId="3913" xr:uid="{00000000-0005-0000-0000-0000460F0000}"/>
    <cellStyle name="Normal 11 4 2 4 2 2" xfId="3914" xr:uid="{00000000-0005-0000-0000-0000470F0000}"/>
    <cellStyle name="Normal 11 4 2 4 2 2 2" xfId="3915" xr:uid="{00000000-0005-0000-0000-0000480F0000}"/>
    <cellStyle name="Normal 11 4 2 4 2 3" xfId="3916" xr:uid="{00000000-0005-0000-0000-0000490F0000}"/>
    <cellStyle name="Normal 11 4 2 4 3" xfId="3917" xr:uid="{00000000-0005-0000-0000-00004A0F0000}"/>
    <cellStyle name="Normal 11 4 2 4 3 2" xfId="3918" xr:uid="{00000000-0005-0000-0000-00004B0F0000}"/>
    <cellStyle name="Normal 11 4 2 4 4" xfId="3919" xr:uid="{00000000-0005-0000-0000-00004C0F0000}"/>
    <cellStyle name="Normal 11 4 2 5" xfId="3920" xr:uid="{00000000-0005-0000-0000-00004D0F0000}"/>
    <cellStyle name="Normal 11 4 2 5 2" xfId="3921" xr:uid="{00000000-0005-0000-0000-00004E0F0000}"/>
    <cellStyle name="Normal 11 4 2 5 2 2" xfId="3922" xr:uid="{00000000-0005-0000-0000-00004F0F0000}"/>
    <cellStyle name="Normal 11 4 2 5 3" xfId="3923" xr:uid="{00000000-0005-0000-0000-0000500F0000}"/>
    <cellStyle name="Normal 11 4 2 6" xfId="3924" xr:uid="{00000000-0005-0000-0000-0000510F0000}"/>
    <cellStyle name="Normal 11 4 2 6 2" xfId="3925" xr:uid="{00000000-0005-0000-0000-0000520F0000}"/>
    <cellStyle name="Normal 11 4 2 7" xfId="3926" xr:uid="{00000000-0005-0000-0000-0000530F0000}"/>
    <cellStyle name="Normal 11 4 3" xfId="3927" xr:uid="{00000000-0005-0000-0000-0000540F0000}"/>
    <cellStyle name="Normal 11 4 4" xfId="3928" xr:uid="{00000000-0005-0000-0000-0000550F0000}"/>
    <cellStyle name="Normal 11 4 4 2" xfId="3929" xr:uid="{00000000-0005-0000-0000-0000560F0000}"/>
    <cellStyle name="Normal 11 4 5" xfId="3930" xr:uid="{00000000-0005-0000-0000-0000570F0000}"/>
    <cellStyle name="Normal 11 5" xfId="3931" xr:uid="{00000000-0005-0000-0000-0000580F0000}"/>
    <cellStyle name="Normal 11 5 2" xfId="3932" xr:uid="{00000000-0005-0000-0000-0000590F0000}"/>
    <cellStyle name="Normal 11 5 2 2" xfId="3933" xr:uid="{00000000-0005-0000-0000-00005A0F0000}"/>
    <cellStyle name="Normal 11 5 2 2 2" xfId="3934" xr:uid="{00000000-0005-0000-0000-00005B0F0000}"/>
    <cellStyle name="Normal 11 5 2 2 2 2" xfId="3935" xr:uid="{00000000-0005-0000-0000-00005C0F0000}"/>
    <cellStyle name="Normal 11 5 2 2 2 2 2" xfId="3936" xr:uid="{00000000-0005-0000-0000-00005D0F0000}"/>
    <cellStyle name="Normal 11 5 2 2 2 2 2 2" xfId="3937" xr:uid="{00000000-0005-0000-0000-00005E0F0000}"/>
    <cellStyle name="Normal 11 5 2 2 2 2 3" xfId="3938" xr:uid="{00000000-0005-0000-0000-00005F0F0000}"/>
    <cellStyle name="Normal 11 5 2 2 2 3" xfId="3939" xr:uid="{00000000-0005-0000-0000-0000600F0000}"/>
    <cellStyle name="Normal 11 5 2 2 2 3 2" xfId="3940" xr:uid="{00000000-0005-0000-0000-0000610F0000}"/>
    <cellStyle name="Normal 11 5 2 2 2 4" xfId="3941" xr:uid="{00000000-0005-0000-0000-0000620F0000}"/>
    <cellStyle name="Normal 11 5 2 2 3" xfId="3942" xr:uid="{00000000-0005-0000-0000-0000630F0000}"/>
    <cellStyle name="Normal 11 5 2 2 3 2" xfId="3943" xr:uid="{00000000-0005-0000-0000-0000640F0000}"/>
    <cellStyle name="Normal 11 5 2 2 3 2 2" xfId="3944" xr:uid="{00000000-0005-0000-0000-0000650F0000}"/>
    <cellStyle name="Normal 11 5 2 2 3 3" xfId="3945" xr:uid="{00000000-0005-0000-0000-0000660F0000}"/>
    <cellStyle name="Normal 11 5 2 2 4" xfId="3946" xr:uid="{00000000-0005-0000-0000-0000670F0000}"/>
    <cellStyle name="Normal 11 5 2 2 4 2" xfId="3947" xr:uid="{00000000-0005-0000-0000-0000680F0000}"/>
    <cellStyle name="Normal 11 5 2 2 5" xfId="3948" xr:uid="{00000000-0005-0000-0000-0000690F0000}"/>
    <cellStyle name="Normal 11 5 2 3" xfId="3949" xr:uid="{00000000-0005-0000-0000-00006A0F0000}"/>
    <cellStyle name="Normal 11 5 2 3 2" xfId="3950" xr:uid="{00000000-0005-0000-0000-00006B0F0000}"/>
    <cellStyle name="Normal 11 5 2 3 2 2" xfId="3951" xr:uid="{00000000-0005-0000-0000-00006C0F0000}"/>
    <cellStyle name="Normal 11 5 2 3 2 2 2" xfId="3952" xr:uid="{00000000-0005-0000-0000-00006D0F0000}"/>
    <cellStyle name="Normal 11 5 2 3 2 3" xfId="3953" xr:uid="{00000000-0005-0000-0000-00006E0F0000}"/>
    <cellStyle name="Normal 11 5 2 3 3" xfId="3954" xr:uid="{00000000-0005-0000-0000-00006F0F0000}"/>
    <cellStyle name="Normal 11 5 2 3 3 2" xfId="3955" xr:uid="{00000000-0005-0000-0000-0000700F0000}"/>
    <cellStyle name="Normal 11 5 2 3 4" xfId="3956" xr:uid="{00000000-0005-0000-0000-0000710F0000}"/>
    <cellStyle name="Normal 11 5 2 4" xfId="3957" xr:uid="{00000000-0005-0000-0000-0000720F0000}"/>
    <cellStyle name="Normal 11 5 2 4 2" xfId="3958" xr:uid="{00000000-0005-0000-0000-0000730F0000}"/>
    <cellStyle name="Normal 11 5 2 4 2 2" xfId="3959" xr:uid="{00000000-0005-0000-0000-0000740F0000}"/>
    <cellStyle name="Normal 11 5 2 4 3" xfId="3960" xr:uid="{00000000-0005-0000-0000-0000750F0000}"/>
    <cellStyle name="Normal 11 5 2 5" xfId="3961" xr:uid="{00000000-0005-0000-0000-0000760F0000}"/>
    <cellStyle name="Normal 11 5 2 5 2" xfId="3962" xr:uid="{00000000-0005-0000-0000-0000770F0000}"/>
    <cellStyle name="Normal 11 5 2 6" xfId="3963" xr:uid="{00000000-0005-0000-0000-0000780F0000}"/>
    <cellStyle name="Normal 11 5 3" xfId="3964" xr:uid="{00000000-0005-0000-0000-0000790F0000}"/>
    <cellStyle name="Normal 11 5 3 2" xfId="3965" xr:uid="{00000000-0005-0000-0000-00007A0F0000}"/>
    <cellStyle name="Normal 11 5 3 2 2" xfId="3966" xr:uid="{00000000-0005-0000-0000-00007B0F0000}"/>
    <cellStyle name="Normal 11 5 3 2 2 2" xfId="3967" xr:uid="{00000000-0005-0000-0000-00007C0F0000}"/>
    <cellStyle name="Normal 11 5 3 2 2 2 2" xfId="3968" xr:uid="{00000000-0005-0000-0000-00007D0F0000}"/>
    <cellStyle name="Normal 11 5 3 2 2 3" xfId="3969" xr:uid="{00000000-0005-0000-0000-00007E0F0000}"/>
    <cellStyle name="Normal 11 5 3 2 3" xfId="3970" xr:uid="{00000000-0005-0000-0000-00007F0F0000}"/>
    <cellStyle name="Normal 11 5 3 2 3 2" xfId="3971" xr:uid="{00000000-0005-0000-0000-0000800F0000}"/>
    <cellStyle name="Normal 11 5 3 2 4" xfId="3972" xr:uid="{00000000-0005-0000-0000-0000810F0000}"/>
    <cellStyle name="Normal 11 5 3 3" xfId="3973" xr:uid="{00000000-0005-0000-0000-0000820F0000}"/>
    <cellStyle name="Normal 11 5 3 3 2" xfId="3974" xr:uid="{00000000-0005-0000-0000-0000830F0000}"/>
    <cellStyle name="Normal 11 5 3 3 2 2" xfId="3975" xr:uid="{00000000-0005-0000-0000-0000840F0000}"/>
    <cellStyle name="Normal 11 5 3 3 3" xfId="3976" xr:uid="{00000000-0005-0000-0000-0000850F0000}"/>
    <cellStyle name="Normal 11 5 3 4" xfId="3977" xr:uid="{00000000-0005-0000-0000-0000860F0000}"/>
    <cellStyle name="Normal 11 5 3 4 2" xfId="3978" xr:uid="{00000000-0005-0000-0000-0000870F0000}"/>
    <cellStyle name="Normal 11 5 3 5" xfId="3979" xr:uid="{00000000-0005-0000-0000-0000880F0000}"/>
    <cellStyle name="Normal 11 5 4" xfId="3980" xr:uid="{00000000-0005-0000-0000-0000890F0000}"/>
    <cellStyle name="Normal 11 5 4 2" xfId="3981" xr:uid="{00000000-0005-0000-0000-00008A0F0000}"/>
    <cellStyle name="Normal 11 5 4 2 2" xfId="3982" xr:uid="{00000000-0005-0000-0000-00008B0F0000}"/>
    <cellStyle name="Normal 11 5 4 2 2 2" xfId="3983" xr:uid="{00000000-0005-0000-0000-00008C0F0000}"/>
    <cellStyle name="Normal 11 5 4 2 3" xfId="3984" xr:uid="{00000000-0005-0000-0000-00008D0F0000}"/>
    <cellStyle name="Normal 11 5 4 3" xfId="3985" xr:uid="{00000000-0005-0000-0000-00008E0F0000}"/>
    <cellStyle name="Normal 11 5 4 3 2" xfId="3986" xr:uid="{00000000-0005-0000-0000-00008F0F0000}"/>
    <cellStyle name="Normal 11 5 4 4" xfId="3987" xr:uid="{00000000-0005-0000-0000-0000900F0000}"/>
    <cellStyle name="Normal 11 5 5" xfId="3988" xr:uid="{00000000-0005-0000-0000-0000910F0000}"/>
    <cellStyle name="Normal 11 5 5 2" xfId="3989" xr:uid="{00000000-0005-0000-0000-0000920F0000}"/>
    <cellStyle name="Normal 11 5 5 2 2" xfId="3990" xr:uid="{00000000-0005-0000-0000-0000930F0000}"/>
    <cellStyle name="Normal 11 5 5 3" xfId="3991" xr:uid="{00000000-0005-0000-0000-0000940F0000}"/>
    <cellStyle name="Normal 11 5 6" xfId="3992" xr:uid="{00000000-0005-0000-0000-0000950F0000}"/>
    <cellStyle name="Normal 11 5 6 2" xfId="3993" xr:uid="{00000000-0005-0000-0000-0000960F0000}"/>
    <cellStyle name="Normal 11 5 7" xfId="3994" xr:uid="{00000000-0005-0000-0000-0000970F0000}"/>
    <cellStyle name="Normal 11 6" xfId="3995" xr:uid="{00000000-0005-0000-0000-0000980F0000}"/>
    <cellStyle name="Normal 11 6 2" xfId="3996" xr:uid="{00000000-0005-0000-0000-0000990F0000}"/>
    <cellStyle name="Normal 11 6 2 2" xfId="3997" xr:uid="{00000000-0005-0000-0000-00009A0F0000}"/>
    <cellStyle name="Normal 11 6 2 2 2" xfId="3998" xr:uid="{00000000-0005-0000-0000-00009B0F0000}"/>
    <cellStyle name="Normal 11 6 2 2 2 2" xfId="3999" xr:uid="{00000000-0005-0000-0000-00009C0F0000}"/>
    <cellStyle name="Normal 11 6 2 2 2 2 2" xfId="4000" xr:uid="{00000000-0005-0000-0000-00009D0F0000}"/>
    <cellStyle name="Normal 11 6 2 2 2 2 2 2" xfId="4001" xr:uid="{00000000-0005-0000-0000-00009E0F0000}"/>
    <cellStyle name="Normal 11 6 2 2 2 2 3" xfId="4002" xr:uid="{00000000-0005-0000-0000-00009F0F0000}"/>
    <cellStyle name="Normal 11 6 2 2 2 3" xfId="4003" xr:uid="{00000000-0005-0000-0000-0000A00F0000}"/>
    <cellStyle name="Normal 11 6 2 2 2 3 2" xfId="4004" xr:uid="{00000000-0005-0000-0000-0000A10F0000}"/>
    <cellStyle name="Normal 11 6 2 2 2 4" xfId="4005" xr:uid="{00000000-0005-0000-0000-0000A20F0000}"/>
    <cellStyle name="Normal 11 6 2 2 3" xfId="4006" xr:uid="{00000000-0005-0000-0000-0000A30F0000}"/>
    <cellStyle name="Normal 11 6 2 2 3 2" xfId="4007" xr:uid="{00000000-0005-0000-0000-0000A40F0000}"/>
    <cellStyle name="Normal 11 6 2 2 3 2 2" xfId="4008" xr:uid="{00000000-0005-0000-0000-0000A50F0000}"/>
    <cellStyle name="Normal 11 6 2 2 3 3" xfId="4009" xr:uid="{00000000-0005-0000-0000-0000A60F0000}"/>
    <cellStyle name="Normal 11 6 2 2 4" xfId="4010" xr:uid="{00000000-0005-0000-0000-0000A70F0000}"/>
    <cellStyle name="Normal 11 6 2 2 4 2" xfId="4011" xr:uid="{00000000-0005-0000-0000-0000A80F0000}"/>
    <cellStyle name="Normal 11 6 2 2 5" xfId="4012" xr:uid="{00000000-0005-0000-0000-0000A90F0000}"/>
    <cellStyle name="Normal 11 6 2 3" xfId="4013" xr:uid="{00000000-0005-0000-0000-0000AA0F0000}"/>
    <cellStyle name="Normal 11 6 2 3 2" xfId="4014" xr:uid="{00000000-0005-0000-0000-0000AB0F0000}"/>
    <cellStyle name="Normal 11 6 2 3 2 2" xfId="4015" xr:uid="{00000000-0005-0000-0000-0000AC0F0000}"/>
    <cellStyle name="Normal 11 6 2 3 2 2 2" xfId="4016" xr:uid="{00000000-0005-0000-0000-0000AD0F0000}"/>
    <cellStyle name="Normal 11 6 2 3 2 3" xfId="4017" xr:uid="{00000000-0005-0000-0000-0000AE0F0000}"/>
    <cellStyle name="Normal 11 6 2 3 3" xfId="4018" xr:uid="{00000000-0005-0000-0000-0000AF0F0000}"/>
    <cellStyle name="Normal 11 6 2 3 3 2" xfId="4019" xr:uid="{00000000-0005-0000-0000-0000B00F0000}"/>
    <cellStyle name="Normal 11 6 2 3 4" xfId="4020" xr:uid="{00000000-0005-0000-0000-0000B10F0000}"/>
    <cellStyle name="Normal 11 6 2 4" xfId="4021" xr:uid="{00000000-0005-0000-0000-0000B20F0000}"/>
    <cellStyle name="Normal 11 6 2 4 2" xfId="4022" xr:uid="{00000000-0005-0000-0000-0000B30F0000}"/>
    <cellStyle name="Normal 11 6 2 4 2 2" xfId="4023" xr:uid="{00000000-0005-0000-0000-0000B40F0000}"/>
    <cellStyle name="Normal 11 6 2 4 3" xfId="4024" xr:uid="{00000000-0005-0000-0000-0000B50F0000}"/>
    <cellStyle name="Normal 11 6 2 5" xfId="4025" xr:uid="{00000000-0005-0000-0000-0000B60F0000}"/>
    <cellStyle name="Normal 11 6 2 5 2" xfId="4026" xr:uid="{00000000-0005-0000-0000-0000B70F0000}"/>
    <cellStyle name="Normal 11 6 2 6" xfId="4027" xr:uid="{00000000-0005-0000-0000-0000B80F0000}"/>
    <cellStyle name="Normal 11 6 3" xfId="4028" xr:uid="{00000000-0005-0000-0000-0000B90F0000}"/>
    <cellStyle name="Normal 11 6 3 2" xfId="4029" xr:uid="{00000000-0005-0000-0000-0000BA0F0000}"/>
    <cellStyle name="Normal 11 6 3 2 2" xfId="4030" xr:uid="{00000000-0005-0000-0000-0000BB0F0000}"/>
    <cellStyle name="Normal 11 6 3 2 2 2" xfId="4031" xr:uid="{00000000-0005-0000-0000-0000BC0F0000}"/>
    <cellStyle name="Normal 11 6 3 2 2 2 2" xfId="4032" xr:uid="{00000000-0005-0000-0000-0000BD0F0000}"/>
    <cellStyle name="Normal 11 6 3 2 2 3" xfId="4033" xr:uid="{00000000-0005-0000-0000-0000BE0F0000}"/>
    <cellStyle name="Normal 11 6 3 2 3" xfId="4034" xr:uid="{00000000-0005-0000-0000-0000BF0F0000}"/>
    <cellStyle name="Normal 11 6 3 2 3 2" xfId="4035" xr:uid="{00000000-0005-0000-0000-0000C00F0000}"/>
    <cellStyle name="Normal 11 6 3 2 4" xfId="4036" xr:uid="{00000000-0005-0000-0000-0000C10F0000}"/>
    <cellStyle name="Normal 11 6 3 3" xfId="4037" xr:uid="{00000000-0005-0000-0000-0000C20F0000}"/>
    <cellStyle name="Normal 11 6 3 3 2" xfId="4038" xr:uid="{00000000-0005-0000-0000-0000C30F0000}"/>
    <cellStyle name="Normal 11 6 3 3 2 2" xfId="4039" xr:uid="{00000000-0005-0000-0000-0000C40F0000}"/>
    <cellStyle name="Normal 11 6 3 3 3" xfId="4040" xr:uid="{00000000-0005-0000-0000-0000C50F0000}"/>
    <cellStyle name="Normal 11 6 3 4" xfId="4041" xr:uid="{00000000-0005-0000-0000-0000C60F0000}"/>
    <cellStyle name="Normal 11 6 3 4 2" xfId="4042" xr:uid="{00000000-0005-0000-0000-0000C70F0000}"/>
    <cellStyle name="Normal 11 6 3 5" xfId="4043" xr:uid="{00000000-0005-0000-0000-0000C80F0000}"/>
    <cellStyle name="Normal 11 6 4" xfId="4044" xr:uid="{00000000-0005-0000-0000-0000C90F0000}"/>
    <cellStyle name="Normal 11 6 4 2" xfId="4045" xr:uid="{00000000-0005-0000-0000-0000CA0F0000}"/>
    <cellStyle name="Normal 11 6 4 2 2" xfId="4046" xr:uid="{00000000-0005-0000-0000-0000CB0F0000}"/>
    <cellStyle name="Normal 11 6 4 2 2 2" xfId="4047" xr:uid="{00000000-0005-0000-0000-0000CC0F0000}"/>
    <cellStyle name="Normal 11 6 4 2 3" xfId="4048" xr:uid="{00000000-0005-0000-0000-0000CD0F0000}"/>
    <cellStyle name="Normal 11 6 4 3" xfId="4049" xr:uid="{00000000-0005-0000-0000-0000CE0F0000}"/>
    <cellStyle name="Normal 11 6 4 3 2" xfId="4050" xr:uid="{00000000-0005-0000-0000-0000CF0F0000}"/>
    <cellStyle name="Normal 11 6 4 4" xfId="4051" xr:uid="{00000000-0005-0000-0000-0000D00F0000}"/>
    <cellStyle name="Normal 11 6 5" xfId="4052" xr:uid="{00000000-0005-0000-0000-0000D10F0000}"/>
    <cellStyle name="Normal 11 6 5 2" xfId="4053" xr:uid="{00000000-0005-0000-0000-0000D20F0000}"/>
    <cellStyle name="Normal 11 6 5 2 2" xfId="4054" xr:uid="{00000000-0005-0000-0000-0000D30F0000}"/>
    <cellStyle name="Normal 11 6 5 3" xfId="4055" xr:uid="{00000000-0005-0000-0000-0000D40F0000}"/>
    <cellStyle name="Normal 11 6 6" xfId="4056" xr:uid="{00000000-0005-0000-0000-0000D50F0000}"/>
    <cellStyle name="Normal 11 6 6 2" xfId="4057" xr:uid="{00000000-0005-0000-0000-0000D60F0000}"/>
    <cellStyle name="Normal 11 6 7" xfId="4058" xr:uid="{00000000-0005-0000-0000-0000D70F0000}"/>
    <cellStyle name="Normal 11 7" xfId="4059" xr:uid="{00000000-0005-0000-0000-0000D80F0000}"/>
    <cellStyle name="Normal 11 7 2" xfId="4060" xr:uid="{00000000-0005-0000-0000-0000D90F0000}"/>
    <cellStyle name="Normal 11 7 2 2" xfId="4061" xr:uid="{00000000-0005-0000-0000-0000DA0F0000}"/>
    <cellStyle name="Normal 11 7 2 2 2" xfId="4062" xr:uid="{00000000-0005-0000-0000-0000DB0F0000}"/>
    <cellStyle name="Normal 11 7 2 2 2 2" xfId="4063" xr:uid="{00000000-0005-0000-0000-0000DC0F0000}"/>
    <cellStyle name="Normal 11 7 2 2 2 2 2" xfId="4064" xr:uid="{00000000-0005-0000-0000-0000DD0F0000}"/>
    <cellStyle name="Normal 11 7 2 2 2 3" xfId="4065" xr:uid="{00000000-0005-0000-0000-0000DE0F0000}"/>
    <cellStyle name="Normal 11 7 2 2 3" xfId="4066" xr:uid="{00000000-0005-0000-0000-0000DF0F0000}"/>
    <cellStyle name="Normal 11 7 2 2 3 2" xfId="4067" xr:uid="{00000000-0005-0000-0000-0000E00F0000}"/>
    <cellStyle name="Normal 11 7 2 2 4" xfId="4068" xr:uid="{00000000-0005-0000-0000-0000E10F0000}"/>
    <cellStyle name="Normal 11 7 2 3" xfId="4069" xr:uid="{00000000-0005-0000-0000-0000E20F0000}"/>
    <cellStyle name="Normal 11 7 2 3 2" xfId="4070" xr:uid="{00000000-0005-0000-0000-0000E30F0000}"/>
    <cellStyle name="Normal 11 7 2 3 2 2" xfId="4071" xr:uid="{00000000-0005-0000-0000-0000E40F0000}"/>
    <cellStyle name="Normal 11 7 2 3 3" xfId="4072" xr:uid="{00000000-0005-0000-0000-0000E50F0000}"/>
    <cellStyle name="Normal 11 7 2 4" xfId="4073" xr:uid="{00000000-0005-0000-0000-0000E60F0000}"/>
    <cellStyle name="Normal 11 7 2 4 2" xfId="4074" xr:uid="{00000000-0005-0000-0000-0000E70F0000}"/>
    <cellStyle name="Normal 11 7 2 5" xfId="4075" xr:uid="{00000000-0005-0000-0000-0000E80F0000}"/>
    <cellStyle name="Normal 11 7 3" xfId="4076" xr:uid="{00000000-0005-0000-0000-0000E90F0000}"/>
    <cellStyle name="Normal 11 7 3 2" xfId="4077" xr:uid="{00000000-0005-0000-0000-0000EA0F0000}"/>
    <cellStyle name="Normal 11 7 3 2 2" xfId="4078" xr:uid="{00000000-0005-0000-0000-0000EB0F0000}"/>
    <cellStyle name="Normal 11 7 3 2 2 2" xfId="4079" xr:uid="{00000000-0005-0000-0000-0000EC0F0000}"/>
    <cellStyle name="Normal 11 7 3 2 3" xfId="4080" xr:uid="{00000000-0005-0000-0000-0000ED0F0000}"/>
    <cellStyle name="Normal 11 7 3 3" xfId="4081" xr:uid="{00000000-0005-0000-0000-0000EE0F0000}"/>
    <cellStyle name="Normal 11 7 3 3 2" xfId="4082" xr:uid="{00000000-0005-0000-0000-0000EF0F0000}"/>
    <cellStyle name="Normal 11 7 3 4" xfId="4083" xr:uid="{00000000-0005-0000-0000-0000F00F0000}"/>
    <cellStyle name="Normal 11 7 4" xfId="4084" xr:uid="{00000000-0005-0000-0000-0000F10F0000}"/>
    <cellStyle name="Normal 11 7 4 2" xfId="4085" xr:uid="{00000000-0005-0000-0000-0000F20F0000}"/>
    <cellStyle name="Normal 11 7 4 2 2" xfId="4086" xr:uid="{00000000-0005-0000-0000-0000F30F0000}"/>
    <cellStyle name="Normal 11 7 4 3" xfId="4087" xr:uid="{00000000-0005-0000-0000-0000F40F0000}"/>
    <cellStyle name="Normal 11 7 5" xfId="4088" xr:uid="{00000000-0005-0000-0000-0000F50F0000}"/>
    <cellStyle name="Normal 11 7 5 2" xfId="4089" xr:uid="{00000000-0005-0000-0000-0000F60F0000}"/>
    <cellStyle name="Normal 11 7 6" xfId="4090" xr:uid="{00000000-0005-0000-0000-0000F70F0000}"/>
    <cellStyle name="Normal 11 8" xfId="4091" xr:uid="{00000000-0005-0000-0000-0000F80F0000}"/>
    <cellStyle name="Normal 11 8 2" xfId="4092" xr:uid="{00000000-0005-0000-0000-0000F90F0000}"/>
    <cellStyle name="Normal 11 8 2 2" xfId="4093" xr:uid="{00000000-0005-0000-0000-0000FA0F0000}"/>
    <cellStyle name="Normal 11 8 2 2 2" xfId="4094" xr:uid="{00000000-0005-0000-0000-0000FB0F0000}"/>
    <cellStyle name="Normal 11 8 2 2 2 2" xfId="4095" xr:uid="{00000000-0005-0000-0000-0000FC0F0000}"/>
    <cellStyle name="Normal 11 8 2 2 3" xfId="4096" xr:uid="{00000000-0005-0000-0000-0000FD0F0000}"/>
    <cellStyle name="Normal 11 8 2 3" xfId="4097" xr:uid="{00000000-0005-0000-0000-0000FE0F0000}"/>
    <cellStyle name="Normal 11 8 2 3 2" xfId="4098" xr:uid="{00000000-0005-0000-0000-0000FF0F0000}"/>
    <cellStyle name="Normal 11 8 2 4" xfId="4099" xr:uid="{00000000-0005-0000-0000-000000100000}"/>
    <cellStyle name="Normal 11 8 3" xfId="4100" xr:uid="{00000000-0005-0000-0000-000001100000}"/>
    <cellStyle name="Normal 11 8 3 2" xfId="4101" xr:uid="{00000000-0005-0000-0000-000002100000}"/>
    <cellStyle name="Normal 11 8 3 2 2" xfId="4102" xr:uid="{00000000-0005-0000-0000-000003100000}"/>
    <cellStyle name="Normal 11 8 3 3" xfId="4103" xr:uid="{00000000-0005-0000-0000-000004100000}"/>
    <cellStyle name="Normal 11 8 4" xfId="4104" xr:uid="{00000000-0005-0000-0000-000005100000}"/>
    <cellStyle name="Normal 11 8 4 2" xfId="4105" xr:uid="{00000000-0005-0000-0000-000006100000}"/>
    <cellStyle name="Normal 11 8 5" xfId="4106" xr:uid="{00000000-0005-0000-0000-000007100000}"/>
    <cellStyle name="Normal 11 9" xfId="4107" xr:uid="{00000000-0005-0000-0000-000008100000}"/>
    <cellStyle name="Normal 11 9 2" xfId="4108" xr:uid="{00000000-0005-0000-0000-000009100000}"/>
    <cellStyle name="Normal 11 9 2 2" xfId="4109" xr:uid="{00000000-0005-0000-0000-00000A100000}"/>
    <cellStyle name="Normal 11 9 2 2 2" xfId="4110" xr:uid="{00000000-0005-0000-0000-00000B100000}"/>
    <cellStyle name="Normal 11 9 2 3" xfId="4111" xr:uid="{00000000-0005-0000-0000-00000C100000}"/>
    <cellStyle name="Normal 11 9 3" xfId="4112" xr:uid="{00000000-0005-0000-0000-00000D100000}"/>
    <cellStyle name="Normal 11 9 3 2" xfId="4113" xr:uid="{00000000-0005-0000-0000-00000E100000}"/>
    <cellStyle name="Normal 11 9 4" xfId="4114" xr:uid="{00000000-0005-0000-0000-00000F100000}"/>
    <cellStyle name="Normal 12" xfId="4115" xr:uid="{00000000-0005-0000-0000-000010100000}"/>
    <cellStyle name="Normal 12 10" xfId="4116" xr:uid="{00000000-0005-0000-0000-000011100000}"/>
    <cellStyle name="Normal 12 10 2" xfId="4117" xr:uid="{00000000-0005-0000-0000-000012100000}"/>
    <cellStyle name="Normal 12 11" xfId="4118" xr:uid="{00000000-0005-0000-0000-000013100000}"/>
    <cellStyle name="Normal 12 2" xfId="4119" xr:uid="{00000000-0005-0000-0000-000014100000}"/>
    <cellStyle name="Normal 12 2 10" xfId="4120" xr:uid="{00000000-0005-0000-0000-000015100000}"/>
    <cellStyle name="Normal 12 2 2" xfId="4121" xr:uid="{00000000-0005-0000-0000-000016100000}"/>
    <cellStyle name="Normal 12 2 2 2" xfId="4122" xr:uid="{00000000-0005-0000-0000-000017100000}"/>
    <cellStyle name="Normal 12 2 2 2 2" xfId="4123" xr:uid="{00000000-0005-0000-0000-000018100000}"/>
    <cellStyle name="Normal 12 2 2 2 2 2" xfId="4124" xr:uid="{00000000-0005-0000-0000-000019100000}"/>
    <cellStyle name="Normal 12 2 2 2 2 2 2" xfId="4125" xr:uid="{00000000-0005-0000-0000-00001A100000}"/>
    <cellStyle name="Normal 12 2 2 2 2 2 2 2" xfId="4126" xr:uid="{00000000-0005-0000-0000-00001B100000}"/>
    <cellStyle name="Normal 12 2 2 2 2 2 2 2 2" xfId="4127" xr:uid="{00000000-0005-0000-0000-00001C100000}"/>
    <cellStyle name="Normal 12 2 2 2 2 2 2 2 2 2" xfId="4128" xr:uid="{00000000-0005-0000-0000-00001D100000}"/>
    <cellStyle name="Normal 12 2 2 2 2 2 2 2 2 2 2" xfId="4129" xr:uid="{00000000-0005-0000-0000-00001E100000}"/>
    <cellStyle name="Normal 12 2 2 2 2 2 2 2 2 3" xfId="4130" xr:uid="{00000000-0005-0000-0000-00001F100000}"/>
    <cellStyle name="Normal 12 2 2 2 2 2 2 2 3" xfId="4131" xr:uid="{00000000-0005-0000-0000-000020100000}"/>
    <cellStyle name="Normal 12 2 2 2 2 2 2 2 3 2" xfId="4132" xr:uid="{00000000-0005-0000-0000-000021100000}"/>
    <cellStyle name="Normal 12 2 2 2 2 2 2 2 4" xfId="4133" xr:uid="{00000000-0005-0000-0000-000022100000}"/>
    <cellStyle name="Normal 12 2 2 2 2 2 2 3" xfId="4134" xr:uid="{00000000-0005-0000-0000-000023100000}"/>
    <cellStyle name="Normal 12 2 2 2 2 2 2 3 2" xfId="4135" xr:uid="{00000000-0005-0000-0000-000024100000}"/>
    <cellStyle name="Normal 12 2 2 2 2 2 2 3 2 2" xfId="4136" xr:uid="{00000000-0005-0000-0000-000025100000}"/>
    <cellStyle name="Normal 12 2 2 2 2 2 2 3 3" xfId="4137" xr:uid="{00000000-0005-0000-0000-000026100000}"/>
    <cellStyle name="Normal 12 2 2 2 2 2 2 4" xfId="4138" xr:uid="{00000000-0005-0000-0000-000027100000}"/>
    <cellStyle name="Normal 12 2 2 2 2 2 2 4 2" xfId="4139" xr:uid="{00000000-0005-0000-0000-000028100000}"/>
    <cellStyle name="Normal 12 2 2 2 2 2 2 5" xfId="4140" xr:uid="{00000000-0005-0000-0000-000029100000}"/>
    <cellStyle name="Normal 12 2 2 2 2 2 3" xfId="4141" xr:uid="{00000000-0005-0000-0000-00002A100000}"/>
    <cellStyle name="Normal 12 2 2 2 2 2 3 2" xfId="4142" xr:uid="{00000000-0005-0000-0000-00002B100000}"/>
    <cellStyle name="Normal 12 2 2 2 2 2 3 2 2" xfId="4143" xr:uid="{00000000-0005-0000-0000-00002C100000}"/>
    <cellStyle name="Normal 12 2 2 2 2 2 3 2 2 2" xfId="4144" xr:uid="{00000000-0005-0000-0000-00002D100000}"/>
    <cellStyle name="Normal 12 2 2 2 2 2 3 2 3" xfId="4145" xr:uid="{00000000-0005-0000-0000-00002E100000}"/>
    <cellStyle name="Normal 12 2 2 2 2 2 3 3" xfId="4146" xr:uid="{00000000-0005-0000-0000-00002F100000}"/>
    <cellStyle name="Normal 12 2 2 2 2 2 3 3 2" xfId="4147" xr:uid="{00000000-0005-0000-0000-000030100000}"/>
    <cellStyle name="Normal 12 2 2 2 2 2 3 4" xfId="4148" xr:uid="{00000000-0005-0000-0000-000031100000}"/>
    <cellStyle name="Normal 12 2 2 2 2 2 4" xfId="4149" xr:uid="{00000000-0005-0000-0000-000032100000}"/>
    <cellStyle name="Normal 12 2 2 2 2 2 4 2" xfId="4150" xr:uid="{00000000-0005-0000-0000-000033100000}"/>
    <cellStyle name="Normal 12 2 2 2 2 2 4 2 2" xfId="4151" xr:uid="{00000000-0005-0000-0000-000034100000}"/>
    <cellStyle name="Normal 12 2 2 2 2 2 4 3" xfId="4152" xr:uid="{00000000-0005-0000-0000-000035100000}"/>
    <cellStyle name="Normal 12 2 2 2 2 2 5" xfId="4153" xr:uid="{00000000-0005-0000-0000-000036100000}"/>
    <cellStyle name="Normal 12 2 2 2 2 2 5 2" xfId="4154" xr:uid="{00000000-0005-0000-0000-000037100000}"/>
    <cellStyle name="Normal 12 2 2 2 2 2 6" xfId="4155" xr:uid="{00000000-0005-0000-0000-000038100000}"/>
    <cellStyle name="Normal 12 2 2 2 2 3" xfId="4156" xr:uid="{00000000-0005-0000-0000-000039100000}"/>
    <cellStyle name="Normal 12 2 2 2 2 3 2" xfId="4157" xr:uid="{00000000-0005-0000-0000-00003A100000}"/>
    <cellStyle name="Normal 12 2 2 2 2 3 2 2" xfId="4158" xr:uid="{00000000-0005-0000-0000-00003B100000}"/>
    <cellStyle name="Normal 12 2 2 2 2 3 2 2 2" xfId="4159" xr:uid="{00000000-0005-0000-0000-00003C100000}"/>
    <cellStyle name="Normal 12 2 2 2 2 3 2 2 2 2" xfId="4160" xr:uid="{00000000-0005-0000-0000-00003D100000}"/>
    <cellStyle name="Normal 12 2 2 2 2 3 2 2 3" xfId="4161" xr:uid="{00000000-0005-0000-0000-00003E100000}"/>
    <cellStyle name="Normal 12 2 2 2 2 3 2 3" xfId="4162" xr:uid="{00000000-0005-0000-0000-00003F100000}"/>
    <cellStyle name="Normal 12 2 2 2 2 3 2 3 2" xfId="4163" xr:uid="{00000000-0005-0000-0000-000040100000}"/>
    <cellStyle name="Normal 12 2 2 2 2 3 2 4" xfId="4164" xr:uid="{00000000-0005-0000-0000-000041100000}"/>
    <cellStyle name="Normal 12 2 2 2 2 3 3" xfId="4165" xr:uid="{00000000-0005-0000-0000-000042100000}"/>
    <cellStyle name="Normal 12 2 2 2 2 3 3 2" xfId="4166" xr:uid="{00000000-0005-0000-0000-000043100000}"/>
    <cellStyle name="Normal 12 2 2 2 2 3 3 2 2" xfId="4167" xr:uid="{00000000-0005-0000-0000-000044100000}"/>
    <cellStyle name="Normal 12 2 2 2 2 3 3 3" xfId="4168" xr:uid="{00000000-0005-0000-0000-000045100000}"/>
    <cellStyle name="Normal 12 2 2 2 2 3 4" xfId="4169" xr:uid="{00000000-0005-0000-0000-000046100000}"/>
    <cellStyle name="Normal 12 2 2 2 2 3 4 2" xfId="4170" xr:uid="{00000000-0005-0000-0000-000047100000}"/>
    <cellStyle name="Normal 12 2 2 2 2 3 5" xfId="4171" xr:uid="{00000000-0005-0000-0000-000048100000}"/>
    <cellStyle name="Normal 12 2 2 2 2 4" xfId="4172" xr:uid="{00000000-0005-0000-0000-000049100000}"/>
    <cellStyle name="Normal 12 2 2 2 2 4 2" xfId="4173" xr:uid="{00000000-0005-0000-0000-00004A100000}"/>
    <cellStyle name="Normal 12 2 2 2 2 4 2 2" xfId="4174" xr:uid="{00000000-0005-0000-0000-00004B100000}"/>
    <cellStyle name="Normal 12 2 2 2 2 4 2 2 2" xfId="4175" xr:uid="{00000000-0005-0000-0000-00004C100000}"/>
    <cellStyle name="Normal 12 2 2 2 2 4 2 3" xfId="4176" xr:uid="{00000000-0005-0000-0000-00004D100000}"/>
    <cellStyle name="Normal 12 2 2 2 2 4 3" xfId="4177" xr:uid="{00000000-0005-0000-0000-00004E100000}"/>
    <cellStyle name="Normal 12 2 2 2 2 4 3 2" xfId="4178" xr:uid="{00000000-0005-0000-0000-00004F100000}"/>
    <cellStyle name="Normal 12 2 2 2 2 4 4" xfId="4179" xr:uid="{00000000-0005-0000-0000-000050100000}"/>
    <cellStyle name="Normal 12 2 2 2 2 5" xfId="4180" xr:uid="{00000000-0005-0000-0000-000051100000}"/>
    <cellStyle name="Normal 12 2 2 2 2 5 2" xfId="4181" xr:uid="{00000000-0005-0000-0000-000052100000}"/>
    <cellStyle name="Normal 12 2 2 2 2 5 2 2" xfId="4182" xr:uid="{00000000-0005-0000-0000-000053100000}"/>
    <cellStyle name="Normal 12 2 2 2 2 5 3" xfId="4183" xr:uid="{00000000-0005-0000-0000-000054100000}"/>
    <cellStyle name="Normal 12 2 2 2 2 6" xfId="4184" xr:uid="{00000000-0005-0000-0000-000055100000}"/>
    <cellStyle name="Normal 12 2 2 2 2 6 2" xfId="4185" xr:uid="{00000000-0005-0000-0000-000056100000}"/>
    <cellStyle name="Normal 12 2 2 2 2 7" xfId="4186" xr:uid="{00000000-0005-0000-0000-000057100000}"/>
    <cellStyle name="Normal 12 2 2 2 3" xfId="4187" xr:uid="{00000000-0005-0000-0000-000058100000}"/>
    <cellStyle name="Normal 12 2 2 2 3 2" xfId="4188" xr:uid="{00000000-0005-0000-0000-000059100000}"/>
    <cellStyle name="Normal 12 2 2 2 3 2 2" xfId="4189" xr:uid="{00000000-0005-0000-0000-00005A100000}"/>
    <cellStyle name="Normal 12 2 2 2 3 2 2 2" xfId="4190" xr:uid="{00000000-0005-0000-0000-00005B100000}"/>
    <cellStyle name="Normal 12 2 2 2 3 2 2 2 2" xfId="4191" xr:uid="{00000000-0005-0000-0000-00005C100000}"/>
    <cellStyle name="Normal 12 2 2 2 3 2 2 2 2 2" xfId="4192" xr:uid="{00000000-0005-0000-0000-00005D100000}"/>
    <cellStyle name="Normal 12 2 2 2 3 2 2 2 3" xfId="4193" xr:uid="{00000000-0005-0000-0000-00005E100000}"/>
    <cellStyle name="Normal 12 2 2 2 3 2 2 3" xfId="4194" xr:uid="{00000000-0005-0000-0000-00005F100000}"/>
    <cellStyle name="Normal 12 2 2 2 3 2 2 3 2" xfId="4195" xr:uid="{00000000-0005-0000-0000-000060100000}"/>
    <cellStyle name="Normal 12 2 2 2 3 2 2 4" xfId="4196" xr:uid="{00000000-0005-0000-0000-000061100000}"/>
    <cellStyle name="Normal 12 2 2 2 3 2 3" xfId="4197" xr:uid="{00000000-0005-0000-0000-000062100000}"/>
    <cellStyle name="Normal 12 2 2 2 3 2 3 2" xfId="4198" xr:uid="{00000000-0005-0000-0000-000063100000}"/>
    <cellStyle name="Normal 12 2 2 2 3 2 3 2 2" xfId="4199" xr:uid="{00000000-0005-0000-0000-000064100000}"/>
    <cellStyle name="Normal 12 2 2 2 3 2 3 3" xfId="4200" xr:uid="{00000000-0005-0000-0000-000065100000}"/>
    <cellStyle name="Normal 12 2 2 2 3 2 4" xfId="4201" xr:uid="{00000000-0005-0000-0000-000066100000}"/>
    <cellStyle name="Normal 12 2 2 2 3 2 4 2" xfId="4202" xr:uid="{00000000-0005-0000-0000-000067100000}"/>
    <cellStyle name="Normal 12 2 2 2 3 2 5" xfId="4203" xr:uid="{00000000-0005-0000-0000-000068100000}"/>
    <cellStyle name="Normal 12 2 2 2 3 3" xfId="4204" xr:uid="{00000000-0005-0000-0000-000069100000}"/>
    <cellStyle name="Normal 12 2 2 2 3 3 2" xfId="4205" xr:uid="{00000000-0005-0000-0000-00006A100000}"/>
    <cellStyle name="Normal 12 2 2 2 3 3 2 2" xfId="4206" xr:uid="{00000000-0005-0000-0000-00006B100000}"/>
    <cellStyle name="Normal 12 2 2 2 3 3 2 2 2" xfId="4207" xr:uid="{00000000-0005-0000-0000-00006C100000}"/>
    <cellStyle name="Normal 12 2 2 2 3 3 2 3" xfId="4208" xr:uid="{00000000-0005-0000-0000-00006D100000}"/>
    <cellStyle name="Normal 12 2 2 2 3 3 3" xfId="4209" xr:uid="{00000000-0005-0000-0000-00006E100000}"/>
    <cellStyle name="Normal 12 2 2 2 3 3 3 2" xfId="4210" xr:uid="{00000000-0005-0000-0000-00006F100000}"/>
    <cellStyle name="Normal 12 2 2 2 3 3 4" xfId="4211" xr:uid="{00000000-0005-0000-0000-000070100000}"/>
    <cellStyle name="Normal 12 2 2 2 3 4" xfId="4212" xr:uid="{00000000-0005-0000-0000-000071100000}"/>
    <cellStyle name="Normal 12 2 2 2 3 4 2" xfId="4213" xr:uid="{00000000-0005-0000-0000-000072100000}"/>
    <cellStyle name="Normal 12 2 2 2 3 4 2 2" xfId="4214" xr:uid="{00000000-0005-0000-0000-000073100000}"/>
    <cellStyle name="Normal 12 2 2 2 3 4 3" xfId="4215" xr:uid="{00000000-0005-0000-0000-000074100000}"/>
    <cellStyle name="Normal 12 2 2 2 3 5" xfId="4216" xr:uid="{00000000-0005-0000-0000-000075100000}"/>
    <cellStyle name="Normal 12 2 2 2 3 5 2" xfId="4217" xr:uid="{00000000-0005-0000-0000-000076100000}"/>
    <cellStyle name="Normal 12 2 2 2 3 6" xfId="4218" xr:uid="{00000000-0005-0000-0000-000077100000}"/>
    <cellStyle name="Normal 12 2 2 2 4" xfId="4219" xr:uid="{00000000-0005-0000-0000-000078100000}"/>
    <cellStyle name="Normal 12 2 2 2 4 2" xfId="4220" xr:uid="{00000000-0005-0000-0000-000079100000}"/>
    <cellStyle name="Normal 12 2 2 2 4 2 2" xfId="4221" xr:uid="{00000000-0005-0000-0000-00007A100000}"/>
    <cellStyle name="Normal 12 2 2 2 4 2 2 2" xfId="4222" xr:uid="{00000000-0005-0000-0000-00007B100000}"/>
    <cellStyle name="Normal 12 2 2 2 4 2 2 2 2" xfId="4223" xr:uid="{00000000-0005-0000-0000-00007C100000}"/>
    <cellStyle name="Normal 12 2 2 2 4 2 2 3" xfId="4224" xr:uid="{00000000-0005-0000-0000-00007D100000}"/>
    <cellStyle name="Normal 12 2 2 2 4 2 3" xfId="4225" xr:uid="{00000000-0005-0000-0000-00007E100000}"/>
    <cellStyle name="Normal 12 2 2 2 4 2 3 2" xfId="4226" xr:uid="{00000000-0005-0000-0000-00007F100000}"/>
    <cellStyle name="Normal 12 2 2 2 4 2 4" xfId="4227" xr:uid="{00000000-0005-0000-0000-000080100000}"/>
    <cellStyle name="Normal 12 2 2 2 4 3" xfId="4228" xr:uid="{00000000-0005-0000-0000-000081100000}"/>
    <cellStyle name="Normal 12 2 2 2 4 3 2" xfId="4229" xr:uid="{00000000-0005-0000-0000-000082100000}"/>
    <cellStyle name="Normal 12 2 2 2 4 3 2 2" xfId="4230" xr:uid="{00000000-0005-0000-0000-000083100000}"/>
    <cellStyle name="Normal 12 2 2 2 4 3 3" xfId="4231" xr:uid="{00000000-0005-0000-0000-000084100000}"/>
    <cellStyle name="Normal 12 2 2 2 4 4" xfId="4232" xr:uid="{00000000-0005-0000-0000-000085100000}"/>
    <cellStyle name="Normal 12 2 2 2 4 4 2" xfId="4233" xr:uid="{00000000-0005-0000-0000-000086100000}"/>
    <cellStyle name="Normal 12 2 2 2 4 5" xfId="4234" xr:uid="{00000000-0005-0000-0000-000087100000}"/>
    <cellStyle name="Normal 12 2 2 2 5" xfId="4235" xr:uid="{00000000-0005-0000-0000-000088100000}"/>
    <cellStyle name="Normal 12 2 2 2 5 2" xfId="4236" xr:uid="{00000000-0005-0000-0000-000089100000}"/>
    <cellStyle name="Normal 12 2 2 2 5 2 2" xfId="4237" xr:uid="{00000000-0005-0000-0000-00008A100000}"/>
    <cellStyle name="Normal 12 2 2 2 5 2 2 2" xfId="4238" xr:uid="{00000000-0005-0000-0000-00008B100000}"/>
    <cellStyle name="Normal 12 2 2 2 5 2 3" xfId="4239" xr:uid="{00000000-0005-0000-0000-00008C100000}"/>
    <cellStyle name="Normal 12 2 2 2 5 3" xfId="4240" xr:uid="{00000000-0005-0000-0000-00008D100000}"/>
    <cellStyle name="Normal 12 2 2 2 5 3 2" xfId="4241" xr:uid="{00000000-0005-0000-0000-00008E100000}"/>
    <cellStyle name="Normal 12 2 2 2 5 4" xfId="4242" xr:uid="{00000000-0005-0000-0000-00008F100000}"/>
    <cellStyle name="Normal 12 2 2 2 6" xfId="4243" xr:uid="{00000000-0005-0000-0000-000090100000}"/>
    <cellStyle name="Normal 12 2 2 2 6 2" xfId="4244" xr:uid="{00000000-0005-0000-0000-000091100000}"/>
    <cellStyle name="Normal 12 2 2 2 6 2 2" xfId="4245" xr:uid="{00000000-0005-0000-0000-000092100000}"/>
    <cellStyle name="Normal 12 2 2 2 6 3" xfId="4246" xr:uid="{00000000-0005-0000-0000-000093100000}"/>
    <cellStyle name="Normal 12 2 2 2 7" xfId="4247" xr:uid="{00000000-0005-0000-0000-000094100000}"/>
    <cellStyle name="Normal 12 2 2 2 7 2" xfId="4248" xr:uid="{00000000-0005-0000-0000-000095100000}"/>
    <cellStyle name="Normal 12 2 2 2 8" xfId="4249" xr:uid="{00000000-0005-0000-0000-000096100000}"/>
    <cellStyle name="Normal 12 2 2 3" xfId="4250" xr:uid="{00000000-0005-0000-0000-000097100000}"/>
    <cellStyle name="Normal 12 2 2 3 2" xfId="4251" xr:uid="{00000000-0005-0000-0000-000098100000}"/>
    <cellStyle name="Normal 12 2 2 3 2 2" xfId="4252" xr:uid="{00000000-0005-0000-0000-000099100000}"/>
    <cellStyle name="Normal 12 2 2 3 2 2 2" xfId="4253" xr:uid="{00000000-0005-0000-0000-00009A100000}"/>
    <cellStyle name="Normal 12 2 2 3 2 2 2 2" xfId="4254" xr:uid="{00000000-0005-0000-0000-00009B100000}"/>
    <cellStyle name="Normal 12 2 2 3 2 2 2 2 2" xfId="4255" xr:uid="{00000000-0005-0000-0000-00009C100000}"/>
    <cellStyle name="Normal 12 2 2 3 2 2 2 2 2 2" xfId="4256" xr:uid="{00000000-0005-0000-0000-00009D100000}"/>
    <cellStyle name="Normal 12 2 2 3 2 2 2 2 3" xfId="4257" xr:uid="{00000000-0005-0000-0000-00009E100000}"/>
    <cellStyle name="Normal 12 2 2 3 2 2 2 3" xfId="4258" xr:uid="{00000000-0005-0000-0000-00009F100000}"/>
    <cellStyle name="Normal 12 2 2 3 2 2 2 3 2" xfId="4259" xr:uid="{00000000-0005-0000-0000-0000A0100000}"/>
    <cellStyle name="Normal 12 2 2 3 2 2 2 4" xfId="4260" xr:uid="{00000000-0005-0000-0000-0000A1100000}"/>
    <cellStyle name="Normal 12 2 2 3 2 2 3" xfId="4261" xr:uid="{00000000-0005-0000-0000-0000A2100000}"/>
    <cellStyle name="Normal 12 2 2 3 2 2 3 2" xfId="4262" xr:uid="{00000000-0005-0000-0000-0000A3100000}"/>
    <cellStyle name="Normal 12 2 2 3 2 2 3 2 2" xfId="4263" xr:uid="{00000000-0005-0000-0000-0000A4100000}"/>
    <cellStyle name="Normal 12 2 2 3 2 2 3 3" xfId="4264" xr:uid="{00000000-0005-0000-0000-0000A5100000}"/>
    <cellStyle name="Normal 12 2 2 3 2 2 4" xfId="4265" xr:uid="{00000000-0005-0000-0000-0000A6100000}"/>
    <cellStyle name="Normal 12 2 2 3 2 2 4 2" xfId="4266" xr:uid="{00000000-0005-0000-0000-0000A7100000}"/>
    <cellStyle name="Normal 12 2 2 3 2 2 5" xfId="4267" xr:uid="{00000000-0005-0000-0000-0000A8100000}"/>
    <cellStyle name="Normal 12 2 2 3 2 3" xfId="4268" xr:uid="{00000000-0005-0000-0000-0000A9100000}"/>
    <cellStyle name="Normal 12 2 2 3 2 3 2" xfId="4269" xr:uid="{00000000-0005-0000-0000-0000AA100000}"/>
    <cellStyle name="Normal 12 2 2 3 2 3 2 2" xfId="4270" xr:uid="{00000000-0005-0000-0000-0000AB100000}"/>
    <cellStyle name="Normal 12 2 2 3 2 3 2 2 2" xfId="4271" xr:uid="{00000000-0005-0000-0000-0000AC100000}"/>
    <cellStyle name="Normal 12 2 2 3 2 3 2 3" xfId="4272" xr:uid="{00000000-0005-0000-0000-0000AD100000}"/>
    <cellStyle name="Normal 12 2 2 3 2 3 3" xfId="4273" xr:uid="{00000000-0005-0000-0000-0000AE100000}"/>
    <cellStyle name="Normal 12 2 2 3 2 3 3 2" xfId="4274" xr:uid="{00000000-0005-0000-0000-0000AF100000}"/>
    <cellStyle name="Normal 12 2 2 3 2 3 4" xfId="4275" xr:uid="{00000000-0005-0000-0000-0000B0100000}"/>
    <cellStyle name="Normal 12 2 2 3 2 4" xfId="4276" xr:uid="{00000000-0005-0000-0000-0000B1100000}"/>
    <cellStyle name="Normal 12 2 2 3 2 4 2" xfId="4277" xr:uid="{00000000-0005-0000-0000-0000B2100000}"/>
    <cellStyle name="Normal 12 2 2 3 2 4 2 2" xfId="4278" xr:uid="{00000000-0005-0000-0000-0000B3100000}"/>
    <cellStyle name="Normal 12 2 2 3 2 4 3" xfId="4279" xr:uid="{00000000-0005-0000-0000-0000B4100000}"/>
    <cellStyle name="Normal 12 2 2 3 2 5" xfId="4280" xr:uid="{00000000-0005-0000-0000-0000B5100000}"/>
    <cellStyle name="Normal 12 2 2 3 2 5 2" xfId="4281" xr:uid="{00000000-0005-0000-0000-0000B6100000}"/>
    <cellStyle name="Normal 12 2 2 3 2 6" xfId="4282" xr:uid="{00000000-0005-0000-0000-0000B7100000}"/>
    <cellStyle name="Normal 12 2 2 3 3" xfId="4283" xr:uid="{00000000-0005-0000-0000-0000B8100000}"/>
    <cellStyle name="Normal 12 2 2 3 3 2" xfId="4284" xr:uid="{00000000-0005-0000-0000-0000B9100000}"/>
    <cellStyle name="Normal 12 2 2 3 3 2 2" xfId="4285" xr:uid="{00000000-0005-0000-0000-0000BA100000}"/>
    <cellStyle name="Normal 12 2 2 3 3 2 2 2" xfId="4286" xr:uid="{00000000-0005-0000-0000-0000BB100000}"/>
    <cellStyle name="Normal 12 2 2 3 3 2 2 2 2" xfId="4287" xr:uid="{00000000-0005-0000-0000-0000BC100000}"/>
    <cellStyle name="Normal 12 2 2 3 3 2 2 3" xfId="4288" xr:uid="{00000000-0005-0000-0000-0000BD100000}"/>
    <cellStyle name="Normal 12 2 2 3 3 2 3" xfId="4289" xr:uid="{00000000-0005-0000-0000-0000BE100000}"/>
    <cellStyle name="Normal 12 2 2 3 3 2 3 2" xfId="4290" xr:uid="{00000000-0005-0000-0000-0000BF100000}"/>
    <cellStyle name="Normal 12 2 2 3 3 2 4" xfId="4291" xr:uid="{00000000-0005-0000-0000-0000C0100000}"/>
    <cellStyle name="Normal 12 2 2 3 3 3" xfId="4292" xr:uid="{00000000-0005-0000-0000-0000C1100000}"/>
    <cellStyle name="Normal 12 2 2 3 3 3 2" xfId="4293" xr:uid="{00000000-0005-0000-0000-0000C2100000}"/>
    <cellStyle name="Normal 12 2 2 3 3 3 2 2" xfId="4294" xr:uid="{00000000-0005-0000-0000-0000C3100000}"/>
    <cellStyle name="Normal 12 2 2 3 3 3 3" xfId="4295" xr:uid="{00000000-0005-0000-0000-0000C4100000}"/>
    <cellStyle name="Normal 12 2 2 3 3 4" xfId="4296" xr:uid="{00000000-0005-0000-0000-0000C5100000}"/>
    <cellStyle name="Normal 12 2 2 3 3 4 2" xfId="4297" xr:uid="{00000000-0005-0000-0000-0000C6100000}"/>
    <cellStyle name="Normal 12 2 2 3 3 5" xfId="4298" xr:uid="{00000000-0005-0000-0000-0000C7100000}"/>
    <cellStyle name="Normal 12 2 2 3 4" xfId="4299" xr:uid="{00000000-0005-0000-0000-0000C8100000}"/>
    <cellStyle name="Normal 12 2 2 3 4 2" xfId="4300" xr:uid="{00000000-0005-0000-0000-0000C9100000}"/>
    <cellStyle name="Normal 12 2 2 3 4 2 2" xfId="4301" xr:uid="{00000000-0005-0000-0000-0000CA100000}"/>
    <cellStyle name="Normal 12 2 2 3 4 2 2 2" xfId="4302" xr:uid="{00000000-0005-0000-0000-0000CB100000}"/>
    <cellStyle name="Normal 12 2 2 3 4 2 3" xfId="4303" xr:uid="{00000000-0005-0000-0000-0000CC100000}"/>
    <cellStyle name="Normal 12 2 2 3 4 3" xfId="4304" xr:uid="{00000000-0005-0000-0000-0000CD100000}"/>
    <cellStyle name="Normal 12 2 2 3 4 3 2" xfId="4305" xr:uid="{00000000-0005-0000-0000-0000CE100000}"/>
    <cellStyle name="Normal 12 2 2 3 4 4" xfId="4306" xr:uid="{00000000-0005-0000-0000-0000CF100000}"/>
    <cellStyle name="Normal 12 2 2 3 5" xfId="4307" xr:uid="{00000000-0005-0000-0000-0000D0100000}"/>
    <cellStyle name="Normal 12 2 2 3 5 2" xfId="4308" xr:uid="{00000000-0005-0000-0000-0000D1100000}"/>
    <cellStyle name="Normal 12 2 2 3 5 2 2" xfId="4309" xr:uid="{00000000-0005-0000-0000-0000D2100000}"/>
    <cellStyle name="Normal 12 2 2 3 5 3" xfId="4310" xr:uid="{00000000-0005-0000-0000-0000D3100000}"/>
    <cellStyle name="Normal 12 2 2 3 6" xfId="4311" xr:uid="{00000000-0005-0000-0000-0000D4100000}"/>
    <cellStyle name="Normal 12 2 2 3 6 2" xfId="4312" xr:uid="{00000000-0005-0000-0000-0000D5100000}"/>
    <cellStyle name="Normal 12 2 2 3 7" xfId="4313" xr:uid="{00000000-0005-0000-0000-0000D6100000}"/>
    <cellStyle name="Normal 12 2 2 4" xfId="4314" xr:uid="{00000000-0005-0000-0000-0000D7100000}"/>
    <cellStyle name="Normal 12 2 2 4 2" xfId="4315" xr:uid="{00000000-0005-0000-0000-0000D8100000}"/>
    <cellStyle name="Normal 12 2 2 4 2 2" xfId="4316" xr:uid="{00000000-0005-0000-0000-0000D9100000}"/>
    <cellStyle name="Normal 12 2 2 4 2 2 2" xfId="4317" xr:uid="{00000000-0005-0000-0000-0000DA100000}"/>
    <cellStyle name="Normal 12 2 2 4 2 2 2 2" xfId="4318" xr:uid="{00000000-0005-0000-0000-0000DB100000}"/>
    <cellStyle name="Normal 12 2 2 4 2 2 2 2 2" xfId="4319" xr:uid="{00000000-0005-0000-0000-0000DC100000}"/>
    <cellStyle name="Normal 12 2 2 4 2 2 2 3" xfId="4320" xr:uid="{00000000-0005-0000-0000-0000DD100000}"/>
    <cellStyle name="Normal 12 2 2 4 2 2 3" xfId="4321" xr:uid="{00000000-0005-0000-0000-0000DE100000}"/>
    <cellStyle name="Normal 12 2 2 4 2 2 3 2" xfId="4322" xr:uid="{00000000-0005-0000-0000-0000DF100000}"/>
    <cellStyle name="Normal 12 2 2 4 2 2 4" xfId="4323" xr:uid="{00000000-0005-0000-0000-0000E0100000}"/>
    <cellStyle name="Normal 12 2 2 4 2 3" xfId="4324" xr:uid="{00000000-0005-0000-0000-0000E1100000}"/>
    <cellStyle name="Normal 12 2 2 4 2 3 2" xfId="4325" xr:uid="{00000000-0005-0000-0000-0000E2100000}"/>
    <cellStyle name="Normal 12 2 2 4 2 3 2 2" xfId="4326" xr:uid="{00000000-0005-0000-0000-0000E3100000}"/>
    <cellStyle name="Normal 12 2 2 4 2 3 3" xfId="4327" xr:uid="{00000000-0005-0000-0000-0000E4100000}"/>
    <cellStyle name="Normal 12 2 2 4 2 4" xfId="4328" xr:uid="{00000000-0005-0000-0000-0000E5100000}"/>
    <cellStyle name="Normal 12 2 2 4 2 4 2" xfId="4329" xr:uid="{00000000-0005-0000-0000-0000E6100000}"/>
    <cellStyle name="Normal 12 2 2 4 2 5" xfId="4330" xr:uid="{00000000-0005-0000-0000-0000E7100000}"/>
    <cellStyle name="Normal 12 2 2 4 3" xfId="4331" xr:uid="{00000000-0005-0000-0000-0000E8100000}"/>
    <cellStyle name="Normal 12 2 2 4 3 2" xfId="4332" xr:uid="{00000000-0005-0000-0000-0000E9100000}"/>
    <cellStyle name="Normal 12 2 2 4 3 2 2" xfId="4333" xr:uid="{00000000-0005-0000-0000-0000EA100000}"/>
    <cellStyle name="Normal 12 2 2 4 3 2 2 2" xfId="4334" xr:uid="{00000000-0005-0000-0000-0000EB100000}"/>
    <cellStyle name="Normal 12 2 2 4 3 2 3" xfId="4335" xr:uid="{00000000-0005-0000-0000-0000EC100000}"/>
    <cellStyle name="Normal 12 2 2 4 3 3" xfId="4336" xr:uid="{00000000-0005-0000-0000-0000ED100000}"/>
    <cellStyle name="Normal 12 2 2 4 3 3 2" xfId="4337" xr:uid="{00000000-0005-0000-0000-0000EE100000}"/>
    <cellStyle name="Normal 12 2 2 4 3 4" xfId="4338" xr:uid="{00000000-0005-0000-0000-0000EF100000}"/>
    <cellStyle name="Normal 12 2 2 4 4" xfId="4339" xr:uid="{00000000-0005-0000-0000-0000F0100000}"/>
    <cellStyle name="Normal 12 2 2 4 4 2" xfId="4340" xr:uid="{00000000-0005-0000-0000-0000F1100000}"/>
    <cellStyle name="Normal 12 2 2 4 4 2 2" xfId="4341" xr:uid="{00000000-0005-0000-0000-0000F2100000}"/>
    <cellStyle name="Normal 12 2 2 4 4 3" xfId="4342" xr:uid="{00000000-0005-0000-0000-0000F3100000}"/>
    <cellStyle name="Normal 12 2 2 4 5" xfId="4343" xr:uid="{00000000-0005-0000-0000-0000F4100000}"/>
    <cellStyle name="Normal 12 2 2 4 5 2" xfId="4344" xr:uid="{00000000-0005-0000-0000-0000F5100000}"/>
    <cellStyle name="Normal 12 2 2 4 6" xfId="4345" xr:uid="{00000000-0005-0000-0000-0000F6100000}"/>
    <cellStyle name="Normal 12 2 2 5" xfId="4346" xr:uid="{00000000-0005-0000-0000-0000F7100000}"/>
    <cellStyle name="Normal 12 2 2 5 2" xfId="4347" xr:uid="{00000000-0005-0000-0000-0000F8100000}"/>
    <cellStyle name="Normal 12 2 2 5 2 2" xfId="4348" xr:uid="{00000000-0005-0000-0000-0000F9100000}"/>
    <cellStyle name="Normal 12 2 2 5 2 2 2" xfId="4349" xr:uid="{00000000-0005-0000-0000-0000FA100000}"/>
    <cellStyle name="Normal 12 2 2 5 2 2 2 2" xfId="4350" xr:uid="{00000000-0005-0000-0000-0000FB100000}"/>
    <cellStyle name="Normal 12 2 2 5 2 2 3" xfId="4351" xr:uid="{00000000-0005-0000-0000-0000FC100000}"/>
    <cellStyle name="Normal 12 2 2 5 2 3" xfId="4352" xr:uid="{00000000-0005-0000-0000-0000FD100000}"/>
    <cellStyle name="Normal 12 2 2 5 2 3 2" xfId="4353" xr:uid="{00000000-0005-0000-0000-0000FE100000}"/>
    <cellStyle name="Normal 12 2 2 5 2 4" xfId="4354" xr:uid="{00000000-0005-0000-0000-0000FF100000}"/>
    <cellStyle name="Normal 12 2 2 5 3" xfId="4355" xr:uid="{00000000-0005-0000-0000-000000110000}"/>
    <cellStyle name="Normal 12 2 2 5 3 2" xfId="4356" xr:uid="{00000000-0005-0000-0000-000001110000}"/>
    <cellStyle name="Normal 12 2 2 5 3 2 2" xfId="4357" xr:uid="{00000000-0005-0000-0000-000002110000}"/>
    <cellStyle name="Normal 12 2 2 5 3 3" xfId="4358" xr:uid="{00000000-0005-0000-0000-000003110000}"/>
    <cellStyle name="Normal 12 2 2 5 4" xfId="4359" xr:uid="{00000000-0005-0000-0000-000004110000}"/>
    <cellStyle name="Normal 12 2 2 5 4 2" xfId="4360" xr:uid="{00000000-0005-0000-0000-000005110000}"/>
    <cellStyle name="Normal 12 2 2 5 5" xfId="4361" xr:uid="{00000000-0005-0000-0000-000006110000}"/>
    <cellStyle name="Normal 12 2 2 6" xfId="4362" xr:uid="{00000000-0005-0000-0000-000007110000}"/>
    <cellStyle name="Normal 12 2 2 6 2" xfId="4363" xr:uid="{00000000-0005-0000-0000-000008110000}"/>
    <cellStyle name="Normal 12 2 2 6 2 2" xfId="4364" xr:uid="{00000000-0005-0000-0000-000009110000}"/>
    <cellStyle name="Normal 12 2 2 6 2 2 2" xfId="4365" xr:uid="{00000000-0005-0000-0000-00000A110000}"/>
    <cellStyle name="Normal 12 2 2 6 2 3" xfId="4366" xr:uid="{00000000-0005-0000-0000-00000B110000}"/>
    <cellStyle name="Normal 12 2 2 6 3" xfId="4367" xr:uid="{00000000-0005-0000-0000-00000C110000}"/>
    <cellStyle name="Normal 12 2 2 6 3 2" xfId="4368" xr:uid="{00000000-0005-0000-0000-00000D110000}"/>
    <cellStyle name="Normal 12 2 2 6 4" xfId="4369" xr:uid="{00000000-0005-0000-0000-00000E110000}"/>
    <cellStyle name="Normal 12 2 2 7" xfId="4370" xr:uid="{00000000-0005-0000-0000-00000F110000}"/>
    <cellStyle name="Normal 12 2 2 7 2" xfId="4371" xr:uid="{00000000-0005-0000-0000-000010110000}"/>
    <cellStyle name="Normal 12 2 2 7 2 2" xfId="4372" xr:uid="{00000000-0005-0000-0000-000011110000}"/>
    <cellStyle name="Normal 12 2 2 7 3" xfId="4373" xr:uid="{00000000-0005-0000-0000-000012110000}"/>
    <cellStyle name="Normal 12 2 2 8" xfId="4374" xr:uid="{00000000-0005-0000-0000-000013110000}"/>
    <cellStyle name="Normal 12 2 2 8 2" xfId="4375" xr:uid="{00000000-0005-0000-0000-000014110000}"/>
    <cellStyle name="Normal 12 2 2 9" xfId="4376" xr:uid="{00000000-0005-0000-0000-000015110000}"/>
    <cellStyle name="Normal 12 2 3" xfId="4377" xr:uid="{00000000-0005-0000-0000-000016110000}"/>
    <cellStyle name="Normal 12 2 3 2" xfId="4378" xr:uid="{00000000-0005-0000-0000-000017110000}"/>
    <cellStyle name="Normal 12 2 3 2 2" xfId="4379" xr:uid="{00000000-0005-0000-0000-000018110000}"/>
    <cellStyle name="Normal 12 2 3 2 2 2" xfId="4380" xr:uid="{00000000-0005-0000-0000-000019110000}"/>
    <cellStyle name="Normal 12 2 3 2 2 2 2" xfId="4381" xr:uid="{00000000-0005-0000-0000-00001A110000}"/>
    <cellStyle name="Normal 12 2 3 2 2 2 2 2" xfId="4382" xr:uid="{00000000-0005-0000-0000-00001B110000}"/>
    <cellStyle name="Normal 12 2 3 2 2 2 2 2 2" xfId="4383" xr:uid="{00000000-0005-0000-0000-00001C110000}"/>
    <cellStyle name="Normal 12 2 3 2 2 2 2 2 2 2" xfId="4384" xr:uid="{00000000-0005-0000-0000-00001D110000}"/>
    <cellStyle name="Normal 12 2 3 2 2 2 2 2 3" xfId="4385" xr:uid="{00000000-0005-0000-0000-00001E110000}"/>
    <cellStyle name="Normal 12 2 3 2 2 2 2 3" xfId="4386" xr:uid="{00000000-0005-0000-0000-00001F110000}"/>
    <cellStyle name="Normal 12 2 3 2 2 2 2 3 2" xfId="4387" xr:uid="{00000000-0005-0000-0000-000020110000}"/>
    <cellStyle name="Normal 12 2 3 2 2 2 2 4" xfId="4388" xr:uid="{00000000-0005-0000-0000-000021110000}"/>
    <cellStyle name="Normal 12 2 3 2 2 2 3" xfId="4389" xr:uid="{00000000-0005-0000-0000-000022110000}"/>
    <cellStyle name="Normal 12 2 3 2 2 2 3 2" xfId="4390" xr:uid="{00000000-0005-0000-0000-000023110000}"/>
    <cellStyle name="Normal 12 2 3 2 2 2 3 2 2" xfId="4391" xr:uid="{00000000-0005-0000-0000-000024110000}"/>
    <cellStyle name="Normal 12 2 3 2 2 2 3 3" xfId="4392" xr:uid="{00000000-0005-0000-0000-000025110000}"/>
    <cellStyle name="Normal 12 2 3 2 2 2 4" xfId="4393" xr:uid="{00000000-0005-0000-0000-000026110000}"/>
    <cellStyle name="Normal 12 2 3 2 2 2 4 2" xfId="4394" xr:uid="{00000000-0005-0000-0000-000027110000}"/>
    <cellStyle name="Normal 12 2 3 2 2 2 5" xfId="4395" xr:uid="{00000000-0005-0000-0000-000028110000}"/>
    <cellStyle name="Normal 12 2 3 2 2 3" xfId="4396" xr:uid="{00000000-0005-0000-0000-000029110000}"/>
    <cellStyle name="Normal 12 2 3 2 2 3 2" xfId="4397" xr:uid="{00000000-0005-0000-0000-00002A110000}"/>
    <cellStyle name="Normal 12 2 3 2 2 3 2 2" xfId="4398" xr:uid="{00000000-0005-0000-0000-00002B110000}"/>
    <cellStyle name="Normal 12 2 3 2 2 3 2 2 2" xfId="4399" xr:uid="{00000000-0005-0000-0000-00002C110000}"/>
    <cellStyle name="Normal 12 2 3 2 2 3 2 3" xfId="4400" xr:uid="{00000000-0005-0000-0000-00002D110000}"/>
    <cellStyle name="Normal 12 2 3 2 2 3 3" xfId="4401" xr:uid="{00000000-0005-0000-0000-00002E110000}"/>
    <cellStyle name="Normal 12 2 3 2 2 3 3 2" xfId="4402" xr:uid="{00000000-0005-0000-0000-00002F110000}"/>
    <cellStyle name="Normal 12 2 3 2 2 3 4" xfId="4403" xr:uid="{00000000-0005-0000-0000-000030110000}"/>
    <cellStyle name="Normal 12 2 3 2 2 4" xfId="4404" xr:uid="{00000000-0005-0000-0000-000031110000}"/>
    <cellStyle name="Normal 12 2 3 2 2 4 2" xfId="4405" xr:uid="{00000000-0005-0000-0000-000032110000}"/>
    <cellStyle name="Normal 12 2 3 2 2 4 2 2" xfId="4406" xr:uid="{00000000-0005-0000-0000-000033110000}"/>
    <cellStyle name="Normal 12 2 3 2 2 4 3" xfId="4407" xr:uid="{00000000-0005-0000-0000-000034110000}"/>
    <cellStyle name="Normal 12 2 3 2 2 5" xfId="4408" xr:uid="{00000000-0005-0000-0000-000035110000}"/>
    <cellStyle name="Normal 12 2 3 2 2 5 2" xfId="4409" xr:uid="{00000000-0005-0000-0000-000036110000}"/>
    <cellStyle name="Normal 12 2 3 2 2 6" xfId="4410" xr:uid="{00000000-0005-0000-0000-000037110000}"/>
    <cellStyle name="Normal 12 2 3 2 3" xfId="4411" xr:uid="{00000000-0005-0000-0000-000038110000}"/>
    <cellStyle name="Normal 12 2 3 2 3 2" xfId="4412" xr:uid="{00000000-0005-0000-0000-000039110000}"/>
    <cellStyle name="Normal 12 2 3 2 3 2 2" xfId="4413" xr:uid="{00000000-0005-0000-0000-00003A110000}"/>
    <cellStyle name="Normal 12 2 3 2 3 2 2 2" xfId="4414" xr:uid="{00000000-0005-0000-0000-00003B110000}"/>
    <cellStyle name="Normal 12 2 3 2 3 2 2 2 2" xfId="4415" xr:uid="{00000000-0005-0000-0000-00003C110000}"/>
    <cellStyle name="Normal 12 2 3 2 3 2 2 3" xfId="4416" xr:uid="{00000000-0005-0000-0000-00003D110000}"/>
    <cellStyle name="Normal 12 2 3 2 3 2 3" xfId="4417" xr:uid="{00000000-0005-0000-0000-00003E110000}"/>
    <cellStyle name="Normal 12 2 3 2 3 2 3 2" xfId="4418" xr:uid="{00000000-0005-0000-0000-00003F110000}"/>
    <cellStyle name="Normal 12 2 3 2 3 2 4" xfId="4419" xr:uid="{00000000-0005-0000-0000-000040110000}"/>
    <cellStyle name="Normal 12 2 3 2 3 3" xfId="4420" xr:uid="{00000000-0005-0000-0000-000041110000}"/>
    <cellStyle name="Normal 12 2 3 2 3 3 2" xfId="4421" xr:uid="{00000000-0005-0000-0000-000042110000}"/>
    <cellStyle name="Normal 12 2 3 2 3 3 2 2" xfId="4422" xr:uid="{00000000-0005-0000-0000-000043110000}"/>
    <cellStyle name="Normal 12 2 3 2 3 3 3" xfId="4423" xr:uid="{00000000-0005-0000-0000-000044110000}"/>
    <cellStyle name="Normal 12 2 3 2 3 4" xfId="4424" xr:uid="{00000000-0005-0000-0000-000045110000}"/>
    <cellStyle name="Normal 12 2 3 2 3 4 2" xfId="4425" xr:uid="{00000000-0005-0000-0000-000046110000}"/>
    <cellStyle name="Normal 12 2 3 2 3 5" xfId="4426" xr:uid="{00000000-0005-0000-0000-000047110000}"/>
    <cellStyle name="Normal 12 2 3 2 4" xfId="4427" xr:uid="{00000000-0005-0000-0000-000048110000}"/>
    <cellStyle name="Normal 12 2 3 2 4 2" xfId="4428" xr:uid="{00000000-0005-0000-0000-000049110000}"/>
    <cellStyle name="Normal 12 2 3 2 4 2 2" xfId="4429" xr:uid="{00000000-0005-0000-0000-00004A110000}"/>
    <cellStyle name="Normal 12 2 3 2 4 2 2 2" xfId="4430" xr:uid="{00000000-0005-0000-0000-00004B110000}"/>
    <cellStyle name="Normal 12 2 3 2 4 2 3" xfId="4431" xr:uid="{00000000-0005-0000-0000-00004C110000}"/>
    <cellStyle name="Normal 12 2 3 2 4 3" xfId="4432" xr:uid="{00000000-0005-0000-0000-00004D110000}"/>
    <cellStyle name="Normal 12 2 3 2 4 3 2" xfId="4433" xr:uid="{00000000-0005-0000-0000-00004E110000}"/>
    <cellStyle name="Normal 12 2 3 2 4 4" xfId="4434" xr:uid="{00000000-0005-0000-0000-00004F110000}"/>
    <cellStyle name="Normal 12 2 3 2 5" xfId="4435" xr:uid="{00000000-0005-0000-0000-000050110000}"/>
    <cellStyle name="Normal 12 2 3 2 5 2" xfId="4436" xr:uid="{00000000-0005-0000-0000-000051110000}"/>
    <cellStyle name="Normal 12 2 3 2 5 2 2" xfId="4437" xr:uid="{00000000-0005-0000-0000-000052110000}"/>
    <cellStyle name="Normal 12 2 3 2 5 3" xfId="4438" xr:uid="{00000000-0005-0000-0000-000053110000}"/>
    <cellStyle name="Normal 12 2 3 2 6" xfId="4439" xr:uid="{00000000-0005-0000-0000-000054110000}"/>
    <cellStyle name="Normal 12 2 3 2 6 2" xfId="4440" xr:uid="{00000000-0005-0000-0000-000055110000}"/>
    <cellStyle name="Normal 12 2 3 2 7" xfId="4441" xr:uid="{00000000-0005-0000-0000-000056110000}"/>
    <cellStyle name="Normal 12 2 3 3" xfId="4442" xr:uid="{00000000-0005-0000-0000-000057110000}"/>
    <cellStyle name="Normal 12 2 3 3 2" xfId="4443" xr:uid="{00000000-0005-0000-0000-000058110000}"/>
    <cellStyle name="Normal 12 2 3 3 2 2" xfId="4444" xr:uid="{00000000-0005-0000-0000-000059110000}"/>
    <cellStyle name="Normal 12 2 3 3 2 2 2" xfId="4445" xr:uid="{00000000-0005-0000-0000-00005A110000}"/>
    <cellStyle name="Normal 12 2 3 3 2 2 2 2" xfId="4446" xr:uid="{00000000-0005-0000-0000-00005B110000}"/>
    <cellStyle name="Normal 12 2 3 3 2 2 2 2 2" xfId="4447" xr:uid="{00000000-0005-0000-0000-00005C110000}"/>
    <cellStyle name="Normal 12 2 3 3 2 2 2 3" xfId="4448" xr:uid="{00000000-0005-0000-0000-00005D110000}"/>
    <cellStyle name="Normal 12 2 3 3 2 2 3" xfId="4449" xr:uid="{00000000-0005-0000-0000-00005E110000}"/>
    <cellStyle name="Normal 12 2 3 3 2 2 3 2" xfId="4450" xr:uid="{00000000-0005-0000-0000-00005F110000}"/>
    <cellStyle name="Normal 12 2 3 3 2 2 4" xfId="4451" xr:uid="{00000000-0005-0000-0000-000060110000}"/>
    <cellStyle name="Normal 12 2 3 3 2 3" xfId="4452" xr:uid="{00000000-0005-0000-0000-000061110000}"/>
    <cellStyle name="Normal 12 2 3 3 2 3 2" xfId="4453" xr:uid="{00000000-0005-0000-0000-000062110000}"/>
    <cellStyle name="Normal 12 2 3 3 2 3 2 2" xfId="4454" xr:uid="{00000000-0005-0000-0000-000063110000}"/>
    <cellStyle name="Normal 12 2 3 3 2 3 3" xfId="4455" xr:uid="{00000000-0005-0000-0000-000064110000}"/>
    <cellStyle name="Normal 12 2 3 3 2 4" xfId="4456" xr:uid="{00000000-0005-0000-0000-000065110000}"/>
    <cellStyle name="Normal 12 2 3 3 2 4 2" xfId="4457" xr:uid="{00000000-0005-0000-0000-000066110000}"/>
    <cellStyle name="Normal 12 2 3 3 2 5" xfId="4458" xr:uid="{00000000-0005-0000-0000-000067110000}"/>
    <cellStyle name="Normal 12 2 3 3 3" xfId="4459" xr:uid="{00000000-0005-0000-0000-000068110000}"/>
    <cellStyle name="Normal 12 2 3 3 3 2" xfId="4460" xr:uid="{00000000-0005-0000-0000-000069110000}"/>
    <cellStyle name="Normal 12 2 3 3 3 2 2" xfId="4461" xr:uid="{00000000-0005-0000-0000-00006A110000}"/>
    <cellStyle name="Normal 12 2 3 3 3 2 2 2" xfId="4462" xr:uid="{00000000-0005-0000-0000-00006B110000}"/>
    <cellStyle name="Normal 12 2 3 3 3 2 3" xfId="4463" xr:uid="{00000000-0005-0000-0000-00006C110000}"/>
    <cellStyle name="Normal 12 2 3 3 3 3" xfId="4464" xr:uid="{00000000-0005-0000-0000-00006D110000}"/>
    <cellStyle name="Normal 12 2 3 3 3 3 2" xfId="4465" xr:uid="{00000000-0005-0000-0000-00006E110000}"/>
    <cellStyle name="Normal 12 2 3 3 3 4" xfId="4466" xr:uid="{00000000-0005-0000-0000-00006F110000}"/>
    <cellStyle name="Normal 12 2 3 3 4" xfId="4467" xr:uid="{00000000-0005-0000-0000-000070110000}"/>
    <cellStyle name="Normal 12 2 3 3 4 2" xfId="4468" xr:uid="{00000000-0005-0000-0000-000071110000}"/>
    <cellStyle name="Normal 12 2 3 3 4 2 2" xfId="4469" xr:uid="{00000000-0005-0000-0000-000072110000}"/>
    <cellStyle name="Normal 12 2 3 3 4 3" xfId="4470" xr:uid="{00000000-0005-0000-0000-000073110000}"/>
    <cellStyle name="Normal 12 2 3 3 5" xfId="4471" xr:uid="{00000000-0005-0000-0000-000074110000}"/>
    <cellStyle name="Normal 12 2 3 3 5 2" xfId="4472" xr:uid="{00000000-0005-0000-0000-000075110000}"/>
    <cellStyle name="Normal 12 2 3 3 6" xfId="4473" xr:uid="{00000000-0005-0000-0000-000076110000}"/>
    <cellStyle name="Normal 12 2 3 4" xfId="4474" xr:uid="{00000000-0005-0000-0000-000077110000}"/>
    <cellStyle name="Normal 12 2 3 4 2" xfId="4475" xr:uid="{00000000-0005-0000-0000-000078110000}"/>
    <cellStyle name="Normal 12 2 3 4 2 2" xfId="4476" xr:uid="{00000000-0005-0000-0000-000079110000}"/>
    <cellStyle name="Normal 12 2 3 4 2 2 2" xfId="4477" xr:uid="{00000000-0005-0000-0000-00007A110000}"/>
    <cellStyle name="Normal 12 2 3 4 2 2 2 2" xfId="4478" xr:uid="{00000000-0005-0000-0000-00007B110000}"/>
    <cellStyle name="Normal 12 2 3 4 2 2 3" xfId="4479" xr:uid="{00000000-0005-0000-0000-00007C110000}"/>
    <cellStyle name="Normal 12 2 3 4 2 3" xfId="4480" xr:uid="{00000000-0005-0000-0000-00007D110000}"/>
    <cellStyle name="Normal 12 2 3 4 2 3 2" xfId="4481" xr:uid="{00000000-0005-0000-0000-00007E110000}"/>
    <cellStyle name="Normal 12 2 3 4 2 4" xfId="4482" xr:uid="{00000000-0005-0000-0000-00007F110000}"/>
    <cellStyle name="Normal 12 2 3 4 3" xfId="4483" xr:uid="{00000000-0005-0000-0000-000080110000}"/>
    <cellStyle name="Normal 12 2 3 4 3 2" xfId="4484" xr:uid="{00000000-0005-0000-0000-000081110000}"/>
    <cellStyle name="Normal 12 2 3 4 3 2 2" xfId="4485" xr:uid="{00000000-0005-0000-0000-000082110000}"/>
    <cellStyle name="Normal 12 2 3 4 3 3" xfId="4486" xr:uid="{00000000-0005-0000-0000-000083110000}"/>
    <cellStyle name="Normal 12 2 3 4 4" xfId="4487" xr:uid="{00000000-0005-0000-0000-000084110000}"/>
    <cellStyle name="Normal 12 2 3 4 4 2" xfId="4488" xr:uid="{00000000-0005-0000-0000-000085110000}"/>
    <cellStyle name="Normal 12 2 3 4 5" xfId="4489" xr:uid="{00000000-0005-0000-0000-000086110000}"/>
    <cellStyle name="Normal 12 2 3 5" xfId="4490" xr:uid="{00000000-0005-0000-0000-000087110000}"/>
    <cellStyle name="Normal 12 2 3 5 2" xfId="4491" xr:uid="{00000000-0005-0000-0000-000088110000}"/>
    <cellStyle name="Normal 12 2 3 5 2 2" xfId="4492" xr:uid="{00000000-0005-0000-0000-000089110000}"/>
    <cellStyle name="Normal 12 2 3 5 2 2 2" xfId="4493" xr:uid="{00000000-0005-0000-0000-00008A110000}"/>
    <cellStyle name="Normal 12 2 3 5 2 3" xfId="4494" xr:uid="{00000000-0005-0000-0000-00008B110000}"/>
    <cellStyle name="Normal 12 2 3 5 3" xfId="4495" xr:uid="{00000000-0005-0000-0000-00008C110000}"/>
    <cellStyle name="Normal 12 2 3 5 3 2" xfId="4496" xr:uid="{00000000-0005-0000-0000-00008D110000}"/>
    <cellStyle name="Normal 12 2 3 5 4" xfId="4497" xr:uid="{00000000-0005-0000-0000-00008E110000}"/>
    <cellStyle name="Normal 12 2 3 6" xfId="4498" xr:uid="{00000000-0005-0000-0000-00008F110000}"/>
    <cellStyle name="Normal 12 2 3 6 2" xfId="4499" xr:uid="{00000000-0005-0000-0000-000090110000}"/>
    <cellStyle name="Normal 12 2 3 6 2 2" xfId="4500" xr:uid="{00000000-0005-0000-0000-000091110000}"/>
    <cellStyle name="Normal 12 2 3 6 3" xfId="4501" xr:uid="{00000000-0005-0000-0000-000092110000}"/>
    <cellStyle name="Normal 12 2 3 7" xfId="4502" xr:uid="{00000000-0005-0000-0000-000093110000}"/>
    <cellStyle name="Normal 12 2 3 7 2" xfId="4503" xr:uid="{00000000-0005-0000-0000-000094110000}"/>
    <cellStyle name="Normal 12 2 3 8" xfId="4504" xr:uid="{00000000-0005-0000-0000-000095110000}"/>
    <cellStyle name="Normal 12 2 4" xfId="4505" xr:uid="{00000000-0005-0000-0000-000096110000}"/>
    <cellStyle name="Normal 12 2 4 2" xfId="4506" xr:uid="{00000000-0005-0000-0000-000097110000}"/>
    <cellStyle name="Normal 12 2 4 2 2" xfId="4507" xr:uid="{00000000-0005-0000-0000-000098110000}"/>
    <cellStyle name="Normal 12 2 4 2 2 2" xfId="4508" xr:uid="{00000000-0005-0000-0000-000099110000}"/>
    <cellStyle name="Normal 12 2 4 2 2 2 2" xfId="4509" xr:uid="{00000000-0005-0000-0000-00009A110000}"/>
    <cellStyle name="Normal 12 2 4 2 2 2 2 2" xfId="4510" xr:uid="{00000000-0005-0000-0000-00009B110000}"/>
    <cellStyle name="Normal 12 2 4 2 2 2 2 2 2" xfId="4511" xr:uid="{00000000-0005-0000-0000-00009C110000}"/>
    <cellStyle name="Normal 12 2 4 2 2 2 2 3" xfId="4512" xr:uid="{00000000-0005-0000-0000-00009D110000}"/>
    <cellStyle name="Normal 12 2 4 2 2 2 3" xfId="4513" xr:uid="{00000000-0005-0000-0000-00009E110000}"/>
    <cellStyle name="Normal 12 2 4 2 2 2 3 2" xfId="4514" xr:uid="{00000000-0005-0000-0000-00009F110000}"/>
    <cellStyle name="Normal 12 2 4 2 2 2 4" xfId="4515" xr:uid="{00000000-0005-0000-0000-0000A0110000}"/>
    <cellStyle name="Normal 12 2 4 2 2 3" xfId="4516" xr:uid="{00000000-0005-0000-0000-0000A1110000}"/>
    <cellStyle name="Normal 12 2 4 2 2 3 2" xfId="4517" xr:uid="{00000000-0005-0000-0000-0000A2110000}"/>
    <cellStyle name="Normal 12 2 4 2 2 3 2 2" xfId="4518" xr:uid="{00000000-0005-0000-0000-0000A3110000}"/>
    <cellStyle name="Normal 12 2 4 2 2 3 3" xfId="4519" xr:uid="{00000000-0005-0000-0000-0000A4110000}"/>
    <cellStyle name="Normal 12 2 4 2 2 4" xfId="4520" xr:uid="{00000000-0005-0000-0000-0000A5110000}"/>
    <cellStyle name="Normal 12 2 4 2 2 4 2" xfId="4521" xr:uid="{00000000-0005-0000-0000-0000A6110000}"/>
    <cellStyle name="Normal 12 2 4 2 2 5" xfId="4522" xr:uid="{00000000-0005-0000-0000-0000A7110000}"/>
    <cellStyle name="Normal 12 2 4 2 3" xfId="4523" xr:uid="{00000000-0005-0000-0000-0000A8110000}"/>
    <cellStyle name="Normal 12 2 4 2 3 2" xfId="4524" xr:uid="{00000000-0005-0000-0000-0000A9110000}"/>
    <cellStyle name="Normal 12 2 4 2 3 2 2" xfId="4525" xr:uid="{00000000-0005-0000-0000-0000AA110000}"/>
    <cellStyle name="Normal 12 2 4 2 3 2 2 2" xfId="4526" xr:uid="{00000000-0005-0000-0000-0000AB110000}"/>
    <cellStyle name="Normal 12 2 4 2 3 2 3" xfId="4527" xr:uid="{00000000-0005-0000-0000-0000AC110000}"/>
    <cellStyle name="Normal 12 2 4 2 3 3" xfId="4528" xr:uid="{00000000-0005-0000-0000-0000AD110000}"/>
    <cellStyle name="Normal 12 2 4 2 3 3 2" xfId="4529" xr:uid="{00000000-0005-0000-0000-0000AE110000}"/>
    <cellStyle name="Normal 12 2 4 2 3 4" xfId="4530" xr:uid="{00000000-0005-0000-0000-0000AF110000}"/>
    <cellStyle name="Normal 12 2 4 2 4" xfId="4531" xr:uid="{00000000-0005-0000-0000-0000B0110000}"/>
    <cellStyle name="Normal 12 2 4 2 4 2" xfId="4532" xr:uid="{00000000-0005-0000-0000-0000B1110000}"/>
    <cellStyle name="Normal 12 2 4 2 4 2 2" xfId="4533" xr:uid="{00000000-0005-0000-0000-0000B2110000}"/>
    <cellStyle name="Normal 12 2 4 2 4 3" xfId="4534" xr:uid="{00000000-0005-0000-0000-0000B3110000}"/>
    <cellStyle name="Normal 12 2 4 2 5" xfId="4535" xr:uid="{00000000-0005-0000-0000-0000B4110000}"/>
    <cellStyle name="Normal 12 2 4 2 5 2" xfId="4536" xr:uid="{00000000-0005-0000-0000-0000B5110000}"/>
    <cellStyle name="Normal 12 2 4 2 6" xfId="4537" xr:uid="{00000000-0005-0000-0000-0000B6110000}"/>
    <cellStyle name="Normal 12 2 4 3" xfId="4538" xr:uid="{00000000-0005-0000-0000-0000B7110000}"/>
    <cellStyle name="Normal 12 2 4 3 2" xfId="4539" xr:uid="{00000000-0005-0000-0000-0000B8110000}"/>
    <cellStyle name="Normal 12 2 4 3 2 2" xfId="4540" xr:uid="{00000000-0005-0000-0000-0000B9110000}"/>
    <cellStyle name="Normal 12 2 4 3 2 2 2" xfId="4541" xr:uid="{00000000-0005-0000-0000-0000BA110000}"/>
    <cellStyle name="Normal 12 2 4 3 2 2 2 2" xfId="4542" xr:uid="{00000000-0005-0000-0000-0000BB110000}"/>
    <cellStyle name="Normal 12 2 4 3 2 2 3" xfId="4543" xr:uid="{00000000-0005-0000-0000-0000BC110000}"/>
    <cellStyle name="Normal 12 2 4 3 2 3" xfId="4544" xr:uid="{00000000-0005-0000-0000-0000BD110000}"/>
    <cellStyle name="Normal 12 2 4 3 2 3 2" xfId="4545" xr:uid="{00000000-0005-0000-0000-0000BE110000}"/>
    <cellStyle name="Normal 12 2 4 3 2 4" xfId="4546" xr:uid="{00000000-0005-0000-0000-0000BF110000}"/>
    <cellStyle name="Normal 12 2 4 3 3" xfId="4547" xr:uid="{00000000-0005-0000-0000-0000C0110000}"/>
    <cellStyle name="Normal 12 2 4 3 3 2" xfId="4548" xr:uid="{00000000-0005-0000-0000-0000C1110000}"/>
    <cellStyle name="Normal 12 2 4 3 3 2 2" xfId="4549" xr:uid="{00000000-0005-0000-0000-0000C2110000}"/>
    <cellStyle name="Normal 12 2 4 3 3 3" xfId="4550" xr:uid="{00000000-0005-0000-0000-0000C3110000}"/>
    <cellStyle name="Normal 12 2 4 3 4" xfId="4551" xr:uid="{00000000-0005-0000-0000-0000C4110000}"/>
    <cellStyle name="Normal 12 2 4 3 4 2" xfId="4552" xr:uid="{00000000-0005-0000-0000-0000C5110000}"/>
    <cellStyle name="Normal 12 2 4 3 5" xfId="4553" xr:uid="{00000000-0005-0000-0000-0000C6110000}"/>
    <cellStyle name="Normal 12 2 4 4" xfId="4554" xr:uid="{00000000-0005-0000-0000-0000C7110000}"/>
    <cellStyle name="Normal 12 2 4 4 2" xfId="4555" xr:uid="{00000000-0005-0000-0000-0000C8110000}"/>
    <cellStyle name="Normal 12 2 4 4 2 2" xfId="4556" xr:uid="{00000000-0005-0000-0000-0000C9110000}"/>
    <cellStyle name="Normal 12 2 4 4 2 2 2" xfId="4557" xr:uid="{00000000-0005-0000-0000-0000CA110000}"/>
    <cellStyle name="Normal 12 2 4 4 2 3" xfId="4558" xr:uid="{00000000-0005-0000-0000-0000CB110000}"/>
    <cellStyle name="Normal 12 2 4 4 3" xfId="4559" xr:uid="{00000000-0005-0000-0000-0000CC110000}"/>
    <cellStyle name="Normal 12 2 4 4 3 2" xfId="4560" xr:uid="{00000000-0005-0000-0000-0000CD110000}"/>
    <cellStyle name="Normal 12 2 4 4 4" xfId="4561" xr:uid="{00000000-0005-0000-0000-0000CE110000}"/>
    <cellStyle name="Normal 12 2 4 5" xfId="4562" xr:uid="{00000000-0005-0000-0000-0000CF110000}"/>
    <cellStyle name="Normal 12 2 4 5 2" xfId="4563" xr:uid="{00000000-0005-0000-0000-0000D0110000}"/>
    <cellStyle name="Normal 12 2 4 5 2 2" xfId="4564" xr:uid="{00000000-0005-0000-0000-0000D1110000}"/>
    <cellStyle name="Normal 12 2 4 5 3" xfId="4565" xr:uid="{00000000-0005-0000-0000-0000D2110000}"/>
    <cellStyle name="Normal 12 2 4 6" xfId="4566" xr:uid="{00000000-0005-0000-0000-0000D3110000}"/>
    <cellStyle name="Normal 12 2 4 6 2" xfId="4567" xr:uid="{00000000-0005-0000-0000-0000D4110000}"/>
    <cellStyle name="Normal 12 2 4 7" xfId="4568" xr:uid="{00000000-0005-0000-0000-0000D5110000}"/>
    <cellStyle name="Normal 12 2 5" xfId="4569" xr:uid="{00000000-0005-0000-0000-0000D6110000}"/>
    <cellStyle name="Normal 12 2 5 2" xfId="4570" xr:uid="{00000000-0005-0000-0000-0000D7110000}"/>
    <cellStyle name="Normal 12 2 5 2 2" xfId="4571" xr:uid="{00000000-0005-0000-0000-0000D8110000}"/>
    <cellStyle name="Normal 12 2 5 2 2 2" xfId="4572" xr:uid="{00000000-0005-0000-0000-0000D9110000}"/>
    <cellStyle name="Normal 12 2 5 2 2 2 2" xfId="4573" xr:uid="{00000000-0005-0000-0000-0000DA110000}"/>
    <cellStyle name="Normal 12 2 5 2 2 2 2 2" xfId="4574" xr:uid="{00000000-0005-0000-0000-0000DB110000}"/>
    <cellStyle name="Normal 12 2 5 2 2 2 3" xfId="4575" xr:uid="{00000000-0005-0000-0000-0000DC110000}"/>
    <cellStyle name="Normal 12 2 5 2 2 3" xfId="4576" xr:uid="{00000000-0005-0000-0000-0000DD110000}"/>
    <cellStyle name="Normal 12 2 5 2 2 3 2" xfId="4577" xr:uid="{00000000-0005-0000-0000-0000DE110000}"/>
    <cellStyle name="Normal 12 2 5 2 2 4" xfId="4578" xr:uid="{00000000-0005-0000-0000-0000DF110000}"/>
    <cellStyle name="Normal 12 2 5 2 3" xfId="4579" xr:uid="{00000000-0005-0000-0000-0000E0110000}"/>
    <cellStyle name="Normal 12 2 5 2 3 2" xfId="4580" xr:uid="{00000000-0005-0000-0000-0000E1110000}"/>
    <cellStyle name="Normal 12 2 5 2 3 2 2" xfId="4581" xr:uid="{00000000-0005-0000-0000-0000E2110000}"/>
    <cellStyle name="Normal 12 2 5 2 3 3" xfId="4582" xr:uid="{00000000-0005-0000-0000-0000E3110000}"/>
    <cellStyle name="Normal 12 2 5 2 4" xfId="4583" xr:uid="{00000000-0005-0000-0000-0000E4110000}"/>
    <cellStyle name="Normal 12 2 5 2 4 2" xfId="4584" xr:uid="{00000000-0005-0000-0000-0000E5110000}"/>
    <cellStyle name="Normal 12 2 5 2 5" xfId="4585" xr:uid="{00000000-0005-0000-0000-0000E6110000}"/>
    <cellStyle name="Normal 12 2 5 3" xfId="4586" xr:uid="{00000000-0005-0000-0000-0000E7110000}"/>
    <cellStyle name="Normal 12 2 5 3 2" xfId="4587" xr:uid="{00000000-0005-0000-0000-0000E8110000}"/>
    <cellStyle name="Normal 12 2 5 3 2 2" xfId="4588" xr:uid="{00000000-0005-0000-0000-0000E9110000}"/>
    <cellStyle name="Normal 12 2 5 3 2 2 2" xfId="4589" xr:uid="{00000000-0005-0000-0000-0000EA110000}"/>
    <cellStyle name="Normal 12 2 5 3 2 3" xfId="4590" xr:uid="{00000000-0005-0000-0000-0000EB110000}"/>
    <cellStyle name="Normal 12 2 5 3 3" xfId="4591" xr:uid="{00000000-0005-0000-0000-0000EC110000}"/>
    <cellStyle name="Normal 12 2 5 3 3 2" xfId="4592" xr:uid="{00000000-0005-0000-0000-0000ED110000}"/>
    <cellStyle name="Normal 12 2 5 3 4" xfId="4593" xr:uid="{00000000-0005-0000-0000-0000EE110000}"/>
    <cellStyle name="Normal 12 2 5 4" xfId="4594" xr:uid="{00000000-0005-0000-0000-0000EF110000}"/>
    <cellStyle name="Normal 12 2 5 4 2" xfId="4595" xr:uid="{00000000-0005-0000-0000-0000F0110000}"/>
    <cellStyle name="Normal 12 2 5 4 2 2" xfId="4596" xr:uid="{00000000-0005-0000-0000-0000F1110000}"/>
    <cellStyle name="Normal 12 2 5 4 3" xfId="4597" xr:uid="{00000000-0005-0000-0000-0000F2110000}"/>
    <cellStyle name="Normal 12 2 5 5" xfId="4598" xr:uid="{00000000-0005-0000-0000-0000F3110000}"/>
    <cellStyle name="Normal 12 2 5 5 2" xfId="4599" xr:uid="{00000000-0005-0000-0000-0000F4110000}"/>
    <cellStyle name="Normal 12 2 5 6" xfId="4600" xr:uid="{00000000-0005-0000-0000-0000F5110000}"/>
    <cellStyle name="Normal 12 2 6" xfId="4601" xr:uid="{00000000-0005-0000-0000-0000F6110000}"/>
    <cellStyle name="Normal 12 2 6 2" xfId="4602" xr:uid="{00000000-0005-0000-0000-0000F7110000}"/>
    <cellStyle name="Normal 12 2 6 2 2" xfId="4603" xr:uid="{00000000-0005-0000-0000-0000F8110000}"/>
    <cellStyle name="Normal 12 2 6 2 2 2" xfId="4604" xr:uid="{00000000-0005-0000-0000-0000F9110000}"/>
    <cellStyle name="Normal 12 2 6 2 2 2 2" xfId="4605" xr:uid="{00000000-0005-0000-0000-0000FA110000}"/>
    <cellStyle name="Normal 12 2 6 2 2 3" xfId="4606" xr:uid="{00000000-0005-0000-0000-0000FB110000}"/>
    <cellStyle name="Normal 12 2 6 2 3" xfId="4607" xr:uid="{00000000-0005-0000-0000-0000FC110000}"/>
    <cellStyle name="Normal 12 2 6 2 3 2" xfId="4608" xr:uid="{00000000-0005-0000-0000-0000FD110000}"/>
    <cellStyle name="Normal 12 2 6 2 4" xfId="4609" xr:uid="{00000000-0005-0000-0000-0000FE110000}"/>
    <cellStyle name="Normal 12 2 6 3" xfId="4610" xr:uid="{00000000-0005-0000-0000-0000FF110000}"/>
    <cellStyle name="Normal 12 2 6 3 2" xfId="4611" xr:uid="{00000000-0005-0000-0000-000000120000}"/>
    <cellStyle name="Normal 12 2 6 3 2 2" xfId="4612" xr:uid="{00000000-0005-0000-0000-000001120000}"/>
    <cellStyle name="Normal 12 2 6 3 3" xfId="4613" xr:uid="{00000000-0005-0000-0000-000002120000}"/>
    <cellStyle name="Normal 12 2 6 4" xfId="4614" xr:uid="{00000000-0005-0000-0000-000003120000}"/>
    <cellStyle name="Normal 12 2 6 4 2" xfId="4615" xr:uid="{00000000-0005-0000-0000-000004120000}"/>
    <cellStyle name="Normal 12 2 6 5" xfId="4616" xr:uid="{00000000-0005-0000-0000-000005120000}"/>
    <cellStyle name="Normal 12 2 7" xfId="4617" xr:uid="{00000000-0005-0000-0000-000006120000}"/>
    <cellStyle name="Normal 12 2 7 2" xfId="4618" xr:uid="{00000000-0005-0000-0000-000007120000}"/>
    <cellStyle name="Normal 12 2 7 2 2" xfId="4619" xr:uid="{00000000-0005-0000-0000-000008120000}"/>
    <cellStyle name="Normal 12 2 7 2 2 2" xfId="4620" xr:uid="{00000000-0005-0000-0000-000009120000}"/>
    <cellStyle name="Normal 12 2 7 2 3" xfId="4621" xr:uid="{00000000-0005-0000-0000-00000A120000}"/>
    <cellStyle name="Normal 12 2 7 3" xfId="4622" xr:uid="{00000000-0005-0000-0000-00000B120000}"/>
    <cellStyle name="Normal 12 2 7 3 2" xfId="4623" xr:uid="{00000000-0005-0000-0000-00000C120000}"/>
    <cellStyle name="Normal 12 2 7 4" xfId="4624" xr:uid="{00000000-0005-0000-0000-00000D120000}"/>
    <cellStyle name="Normal 12 2 8" xfId="4625" xr:uid="{00000000-0005-0000-0000-00000E120000}"/>
    <cellStyle name="Normal 12 2 8 2" xfId="4626" xr:uid="{00000000-0005-0000-0000-00000F120000}"/>
    <cellStyle name="Normal 12 2 8 2 2" xfId="4627" xr:uid="{00000000-0005-0000-0000-000010120000}"/>
    <cellStyle name="Normal 12 2 8 3" xfId="4628" xr:uid="{00000000-0005-0000-0000-000011120000}"/>
    <cellStyle name="Normal 12 2 9" xfId="4629" xr:uid="{00000000-0005-0000-0000-000012120000}"/>
    <cellStyle name="Normal 12 2 9 2" xfId="4630" xr:uid="{00000000-0005-0000-0000-000013120000}"/>
    <cellStyle name="Normal 12 3" xfId="4631" xr:uid="{00000000-0005-0000-0000-000014120000}"/>
    <cellStyle name="Normal 12 3 2" xfId="4632" xr:uid="{00000000-0005-0000-0000-000015120000}"/>
    <cellStyle name="Normal 12 3 2 2" xfId="4633" xr:uid="{00000000-0005-0000-0000-000016120000}"/>
    <cellStyle name="Normal 12 3 2 2 2" xfId="4634" xr:uid="{00000000-0005-0000-0000-000017120000}"/>
    <cellStyle name="Normal 12 3 2 2 2 2" xfId="4635" xr:uid="{00000000-0005-0000-0000-000018120000}"/>
    <cellStyle name="Normal 12 3 2 2 2 2 2" xfId="4636" xr:uid="{00000000-0005-0000-0000-000019120000}"/>
    <cellStyle name="Normal 12 3 2 2 2 2 2 2" xfId="4637" xr:uid="{00000000-0005-0000-0000-00001A120000}"/>
    <cellStyle name="Normal 12 3 2 2 2 2 2 2 2" xfId="4638" xr:uid="{00000000-0005-0000-0000-00001B120000}"/>
    <cellStyle name="Normal 12 3 2 2 2 2 2 2 2 2" xfId="4639" xr:uid="{00000000-0005-0000-0000-00001C120000}"/>
    <cellStyle name="Normal 12 3 2 2 2 2 2 2 3" xfId="4640" xr:uid="{00000000-0005-0000-0000-00001D120000}"/>
    <cellStyle name="Normal 12 3 2 2 2 2 2 3" xfId="4641" xr:uid="{00000000-0005-0000-0000-00001E120000}"/>
    <cellStyle name="Normal 12 3 2 2 2 2 2 3 2" xfId="4642" xr:uid="{00000000-0005-0000-0000-00001F120000}"/>
    <cellStyle name="Normal 12 3 2 2 2 2 2 4" xfId="4643" xr:uid="{00000000-0005-0000-0000-000020120000}"/>
    <cellStyle name="Normal 12 3 2 2 2 2 3" xfId="4644" xr:uid="{00000000-0005-0000-0000-000021120000}"/>
    <cellStyle name="Normal 12 3 2 2 2 2 3 2" xfId="4645" xr:uid="{00000000-0005-0000-0000-000022120000}"/>
    <cellStyle name="Normal 12 3 2 2 2 2 3 2 2" xfId="4646" xr:uid="{00000000-0005-0000-0000-000023120000}"/>
    <cellStyle name="Normal 12 3 2 2 2 2 3 3" xfId="4647" xr:uid="{00000000-0005-0000-0000-000024120000}"/>
    <cellStyle name="Normal 12 3 2 2 2 2 4" xfId="4648" xr:uid="{00000000-0005-0000-0000-000025120000}"/>
    <cellStyle name="Normal 12 3 2 2 2 2 4 2" xfId="4649" xr:uid="{00000000-0005-0000-0000-000026120000}"/>
    <cellStyle name="Normal 12 3 2 2 2 2 5" xfId="4650" xr:uid="{00000000-0005-0000-0000-000027120000}"/>
    <cellStyle name="Normal 12 3 2 2 2 3" xfId="4651" xr:uid="{00000000-0005-0000-0000-000028120000}"/>
    <cellStyle name="Normal 12 3 2 2 2 3 2" xfId="4652" xr:uid="{00000000-0005-0000-0000-000029120000}"/>
    <cellStyle name="Normal 12 3 2 2 2 3 2 2" xfId="4653" xr:uid="{00000000-0005-0000-0000-00002A120000}"/>
    <cellStyle name="Normal 12 3 2 2 2 3 2 2 2" xfId="4654" xr:uid="{00000000-0005-0000-0000-00002B120000}"/>
    <cellStyle name="Normal 12 3 2 2 2 3 2 3" xfId="4655" xr:uid="{00000000-0005-0000-0000-00002C120000}"/>
    <cellStyle name="Normal 12 3 2 2 2 3 3" xfId="4656" xr:uid="{00000000-0005-0000-0000-00002D120000}"/>
    <cellStyle name="Normal 12 3 2 2 2 3 3 2" xfId="4657" xr:uid="{00000000-0005-0000-0000-00002E120000}"/>
    <cellStyle name="Normal 12 3 2 2 2 3 4" xfId="4658" xr:uid="{00000000-0005-0000-0000-00002F120000}"/>
    <cellStyle name="Normal 12 3 2 2 2 4" xfId="4659" xr:uid="{00000000-0005-0000-0000-000030120000}"/>
    <cellStyle name="Normal 12 3 2 2 2 4 2" xfId="4660" xr:uid="{00000000-0005-0000-0000-000031120000}"/>
    <cellStyle name="Normal 12 3 2 2 2 4 2 2" xfId="4661" xr:uid="{00000000-0005-0000-0000-000032120000}"/>
    <cellStyle name="Normal 12 3 2 2 2 4 3" xfId="4662" xr:uid="{00000000-0005-0000-0000-000033120000}"/>
    <cellStyle name="Normal 12 3 2 2 2 5" xfId="4663" xr:uid="{00000000-0005-0000-0000-000034120000}"/>
    <cellStyle name="Normal 12 3 2 2 2 5 2" xfId="4664" xr:uid="{00000000-0005-0000-0000-000035120000}"/>
    <cellStyle name="Normal 12 3 2 2 2 6" xfId="4665" xr:uid="{00000000-0005-0000-0000-000036120000}"/>
    <cellStyle name="Normal 12 3 2 2 3" xfId="4666" xr:uid="{00000000-0005-0000-0000-000037120000}"/>
    <cellStyle name="Normal 12 3 2 2 3 2" xfId="4667" xr:uid="{00000000-0005-0000-0000-000038120000}"/>
    <cellStyle name="Normal 12 3 2 2 3 2 2" xfId="4668" xr:uid="{00000000-0005-0000-0000-000039120000}"/>
    <cellStyle name="Normal 12 3 2 2 3 2 2 2" xfId="4669" xr:uid="{00000000-0005-0000-0000-00003A120000}"/>
    <cellStyle name="Normal 12 3 2 2 3 2 2 2 2" xfId="4670" xr:uid="{00000000-0005-0000-0000-00003B120000}"/>
    <cellStyle name="Normal 12 3 2 2 3 2 2 3" xfId="4671" xr:uid="{00000000-0005-0000-0000-00003C120000}"/>
    <cellStyle name="Normal 12 3 2 2 3 2 3" xfId="4672" xr:uid="{00000000-0005-0000-0000-00003D120000}"/>
    <cellStyle name="Normal 12 3 2 2 3 2 3 2" xfId="4673" xr:uid="{00000000-0005-0000-0000-00003E120000}"/>
    <cellStyle name="Normal 12 3 2 2 3 2 4" xfId="4674" xr:uid="{00000000-0005-0000-0000-00003F120000}"/>
    <cellStyle name="Normal 12 3 2 2 3 3" xfId="4675" xr:uid="{00000000-0005-0000-0000-000040120000}"/>
    <cellStyle name="Normal 12 3 2 2 3 3 2" xfId="4676" xr:uid="{00000000-0005-0000-0000-000041120000}"/>
    <cellStyle name="Normal 12 3 2 2 3 3 2 2" xfId="4677" xr:uid="{00000000-0005-0000-0000-000042120000}"/>
    <cellStyle name="Normal 12 3 2 2 3 3 3" xfId="4678" xr:uid="{00000000-0005-0000-0000-000043120000}"/>
    <cellStyle name="Normal 12 3 2 2 3 4" xfId="4679" xr:uid="{00000000-0005-0000-0000-000044120000}"/>
    <cellStyle name="Normal 12 3 2 2 3 4 2" xfId="4680" xr:uid="{00000000-0005-0000-0000-000045120000}"/>
    <cellStyle name="Normal 12 3 2 2 3 5" xfId="4681" xr:uid="{00000000-0005-0000-0000-000046120000}"/>
    <cellStyle name="Normal 12 3 2 2 4" xfId="4682" xr:uid="{00000000-0005-0000-0000-000047120000}"/>
    <cellStyle name="Normal 12 3 2 2 4 2" xfId="4683" xr:uid="{00000000-0005-0000-0000-000048120000}"/>
    <cellStyle name="Normal 12 3 2 2 4 2 2" xfId="4684" xr:uid="{00000000-0005-0000-0000-000049120000}"/>
    <cellStyle name="Normal 12 3 2 2 4 2 2 2" xfId="4685" xr:uid="{00000000-0005-0000-0000-00004A120000}"/>
    <cellStyle name="Normal 12 3 2 2 4 2 3" xfId="4686" xr:uid="{00000000-0005-0000-0000-00004B120000}"/>
    <cellStyle name="Normal 12 3 2 2 4 3" xfId="4687" xr:uid="{00000000-0005-0000-0000-00004C120000}"/>
    <cellStyle name="Normal 12 3 2 2 4 3 2" xfId="4688" xr:uid="{00000000-0005-0000-0000-00004D120000}"/>
    <cellStyle name="Normal 12 3 2 2 4 4" xfId="4689" xr:uid="{00000000-0005-0000-0000-00004E120000}"/>
    <cellStyle name="Normal 12 3 2 2 5" xfId="4690" xr:uid="{00000000-0005-0000-0000-00004F120000}"/>
    <cellStyle name="Normal 12 3 2 2 5 2" xfId="4691" xr:uid="{00000000-0005-0000-0000-000050120000}"/>
    <cellStyle name="Normal 12 3 2 2 5 2 2" xfId="4692" xr:uid="{00000000-0005-0000-0000-000051120000}"/>
    <cellStyle name="Normal 12 3 2 2 5 3" xfId="4693" xr:uid="{00000000-0005-0000-0000-000052120000}"/>
    <cellStyle name="Normal 12 3 2 2 6" xfId="4694" xr:uid="{00000000-0005-0000-0000-000053120000}"/>
    <cellStyle name="Normal 12 3 2 2 6 2" xfId="4695" xr:uid="{00000000-0005-0000-0000-000054120000}"/>
    <cellStyle name="Normal 12 3 2 2 7" xfId="4696" xr:uid="{00000000-0005-0000-0000-000055120000}"/>
    <cellStyle name="Normal 12 3 2 3" xfId="4697" xr:uid="{00000000-0005-0000-0000-000056120000}"/>
    <cellStyle name="Normal 12 3 2 3 2" xfId="4698" xr:uid="{00000000-0005-0000-0000-000057120000}"/>
    <cellStyle name="Normal 12 3 2 3 2 2" xfId="4699" xr:uid="{00000000-0005-0000-0000-000058120000}"/>
    <cellStyle name="Normal 12 3 2 3 2 2 2" xfId="4700" xr:uid="{00000000-0005-0000-0000-000059120000}"/>
    <cellStyle name="Normal 12 3 2 3 2 2 2 2" xfId="4701" xr:uid="{00000000-0005-0000-0000-00005A120000}"/>
    <cellStyle name="Normal 12 3 2 3 2 2 2 2 2" xfId="4702" xr:uid="{00000000-0005-0000-0000-00005B120000}"/>
    <cellStyle name="Normal 12 3 2 3 2 2 2 3" xfId="4703" xr:uid="{00000000-0005-0000-0000-00005C120000}"/>
    <cellStyle name="Normal 12 3 2 3 2 2 3" xfId="4704" xr:uid="{00000000-0005-0000-0000-00005D120000}"/>
    <cellStyle name="Normal 12 3 2 3 2 2 3 2" xfId="4705" xr:uid="{00000000-0005-0000-0000-00005E120000}"/>
    <cellStyle name="Normal 12 3 2 3 2 2 4" xfId="4706" xr:uid="{00000000-0005-0000-0000-00005F120000}"/>
    <cellStyle name="Normal 12 3 2 3 2 3" xfId="4707" xr:uid="{00000000-0005-0000-0000-000060120000}"/>
    <cellStyle name="Normal 12 3 2 3 2 3 2" xfId="4708" xr:uid="{00000000-0005-0000-0000-000061120000}"/>
    <cellStyle name="Normal 12 3 2 3 2 3 2 2" xfId="4709" xr:uid="{00000000-0005-0000-0000-000062120000}"/>
    <cellStyle name="Normal 12 3 2 3 2 3 3" xfId="4710" xr:uid="{00000000-0005-0000-0000-000063120000}"/>
    <cellStyle name="Normal 12 3 2 3 2 4" xfId="4711" xr:uid="{00000000-0005-0000-0000-000064120000}"/>
    <cellStyle name="Normal 12 3 2 3 2 4 2" xfId="4712" xr:uid="{00000000-0005-0000-0000-000065120000}"/>
    <cellStyle name="Normal 12 3 2 3 2 5" xfId="4713" xr:uid="{00000000-0005-0000-0000-000066120000}"/>
    <cellStyle name="Normal 12 3 2 3 3" xfId="4714" xr:uid="{00000000-0005-0000-0000-000067120000}"/>
    <cellStyle name="Normal 12 3 2 3 3 2" xfId="4715" xr:uid="{00000000-0005-0000-0000-000068120000}"/>
    <cellStyle name="Normal 12 3 2 3 3 2 2" xfId="4716" xr:uid="{00000000-0005-0000-0000-000069120000}"/>
    <cellStyle name="Normal 12 3 2 3 3 2 2 2" xfId="4717" xr:uid="{00000000-0005-0000-0000-00006A120000}"/>
    <cellStyle name="Normal 12 3 2 3 3 2 3" xfId="4718" xr:uid="{00000000-0005-0000-0000-00006B120000}"/>
    <cellStyle name="Normal 12 3 2 3 3 3" xfId="4719" xr:uid="{00000000-0005-0000-0000-00006C120000}"/>
    <cellStyle name="Normal 12 3 2 3 3 3 2" xfId="4720" xr:uid="{00000000-0005-0000-0000-00006D120000}"/>
    <cellStyle name="Normal 12 3 2 3 3 4" xfId="4721" xr:uid="{00000000-0005-0000-0000-00006E120000}"/>
    <cellStyle name="Normal 12 3 2 3 4" xfId="4722" xr:uid="{00000000-0005-0000-0000-00006F120000}"/>
    <cellStyle name="Normal 12 3 2 3 4 2" xfId="4723" xr:uid="{00000000-0005-0000-0000-000070120000}"/>
    <cellStyle name="Normal 12 3 2 3 4 2 2" xfId="4724" xr:uid="{00000000-0005-0000-0000-000071120000}"/>
    <cellStyle name="Normal 12 3 2 3 4 3" xfId="4725" xr:uid="{00000000-0005-0000-0000-000072120000}"/>
    <cellStyle name="Normal 12 3 2 3 5" xfId="4726" xr:uid="{00000000-0005-0000-0000-000073120000}"/>
    <cellStyle name="Normal 12 3 2 3 5 2" xfId="4727" xr:uid="{00000000-0005-0000-0000-000074120000}"/>
    <cellStyle name="Normal 12 3 2 3 6" xfId="4728" xr:uid="{00000000-0005-0000-0000-000075120000}"/>
    <cellStyle name="Normal 12 3 2 4" xfId="4729" xr:uid="{00000000-0005-0000-0000-000076120000}"/>
    <cellStyle name="Normal 12 3 2 4 2" xfId="4730" xr:uid="{00000000-0005-0000-0000-000077120000}"/>
    <cellStyle name="Normal 12 3 2 4 2 2" xfId="4731" xr:uid="{00000000-0005-0000-0000-000078120000}"/>
    <cellStyle name="Normal 12 3 2 4 2 2 2" xfId="4732" xr:uid="{00000000-0005-0000-0000-000079120000}"/>
    <cellStyle name="Normal 12 3 2 4 2 2 2 2" xfId="4733" xr:uid="{00000000-0005-0000-0000-00007A120000}"/>
    <cellStyle name="Normal 12 3 2 4 2 2 3" xfId="4734" xr:uid="{00000000-0005-0000-0000-00007B120000}"/>
    <cellStyle name="Normal 12 3 2 4 2 3" xfId="4735" xr:uid="{00000000-0005-0000-0000-00007C120000}"/>
    <cellStyle name="Normal 12 3 2 4 2 3 2" xfId="4736" xr:uid="{00000000-0005-0000-0000-00007D120000}"/>
    <cellStyle name="Normal 12 3 2 4 2 4" xfId="4737" xr:uid="{00000000-0005-0000-0000-00007E120000}"/>
    <cellStyle name="Normal 12 3 2 4 3" xfId="4738" xr:uid="{00000000-0005-0000-0000-00007F120000}"/>
    <cellStyle name="Normal 12 3 2 4 3 2" xfId="4739" xr:uid="{00000000-0005-0000-0000-000080120000}"/>
    <cellStyle name="Normal 12 3 2 4 3 2 2" xfId="4740" xr:uid="{00000000-0005-0000-0000-000081120000}"/>
    <cellStyle name="Normal 12 3 2 4 3 3" xfId="4741" xr:uid="{00000000-0005-0000-0000-000082120000}"/>
    <cellStyle name="Normal 12 3 2 4 4" xfId="4742" xr:uid="{00000000-0005-0000-0000-000083120000}"/>
    <cellStyle name="Normal 12 3 2 4 4 2" xfId="4743" xr:uid="{00000000-0005-0000-0000-000084120000}"/>
    <cellStyle name="Normal 12 3 2 4 5" xfId="4744" xr:uid="{00000000-0005-0000-0000-000085120000}"/>
    <cellStyle name="Normal 12 3 2 5" xfId="4745" xr:uid="{00000000-0005-0000-0000-000086120000}"/>
    <cellStyle name="Normal 12 3 2 5 2" xfId="4746" xr:uid="{00000000-0005-0000-0000-000087120000}"/>
    <cellStyle name="Normal 12 3 2 5 2 2" xfId="4747" xr:uid="{00000000-0005-0000-0000-000088120000}"/>
    <cellStyle name="Normal 12 3 2 5 2 2 2" xfId="4748" xr:uid="{00000000-0005-0000-0000-000089120000}"/>
    <cellStyle name="Normal 12 3 2 5 2 3" xfId="4749" xr:uid="{00000000-0005-0000-0000-00008A120000}"/>
    <cellStyle name="Normal 12 3 2 5 3" xfId="4750" xr:uid="{00000000-0005-0000-0000-00008B120000}"/>
    <cellStyle name="Normal 12 3 2 5 3 2" xfId="4751" xr:uid="{00000000-0005-0000-0000-00008C120000}"/>
    <cellStyle name="Normal 12 3 2 5 4" xfId="4752" xr:uid="{00000000-0005-0000-0000-00008D120000}"/>
    <cellStyle name="Normal 12 3 2 6" xfId="4753" xr:uid="{00000000-0005-0000-0000-00008E120000}"/>
    <cellStyle name="Normal 12 3 2 6 2" xfId="4754" xr:uid="{00000000-0005-0000-0000-00008F120000}"/>
    <cellStyle name="Normal 12 3 2 6 2 2" xfId="4755" xr:uid="{00000000-0005-0000-0000-000090120000}"/>
    <cellStyle name="Normal 12 3 2 6 3" xfId="4756" xr:uid="{00000000-0005-0000-0000-000091120000}"/>
    <cellStyle name="Normal 12 3 2 7" xfId="4757" xr:uid="{00000000-0005-0000-0000-000092120000}"/>
    <cellStyle name="Normal 12 3 2 7 2" xfId="4758" xr:uid="{00000000-0005-0000-0000-000093120000}"/>
    <cellStyle name="Normal 12 3 2 8" xfId="4759" xr:uid="{00000000-0005-0000-0000-000094120000}"/>
    <cellStyle name="Normal 12 3 3" xfId="4760" xr:uid="{00000000-0005-0000-0000-000095120000}"/>
    <cellStyle name="Normal 12 3 3 2" xfId="4761" xr:uid="{00000000-0005-0000-0000-000096120000}"/>
    <cellStyle name="Normal 12 3 3 2 2" xfId="4762" xr:uid="{00000000-0005-0000-0000-000097120000}"/>
    <cellStyle name="Normal 12 3 3 2 2 2" xfId="4763" xr:uid="{00000000-0005-0000-0000-000098120000}"/>
    <cellStyle name="Normal 12 3 3 2 2 2 2" xfId="4764" xr:uid="{00000000-0005-0000-0000-000099120000}"/>
    <cellStyle name="Normal 12 3 3 2 2 2 2 2" xfId="4765" xr:uid="{00000000-0005-0000-0000-00009A120000}"/>
    <cellStyle name="Normal 12 3 3 2 2 2 2 2 2" xfId="4766" xr:uid="{00000000-0005-0000-0000-00009B120000}"/>
    <cellStyle name="Normal 12 3 3 2 2 2 2 3" xfId="4767" xr:uid="{00000000-0005-0000-0000-00009C120000}"/>
    <cellStyle name="Normal 12 3 3 2 2 2 3" xfId="4768" xr:uid="{00000000-0005-0000-0000-00009D120000}"/>
    <cellStyle name="Normal 12 3 3 2 2 2 3 2" xfId="4769" xr:uid="{00000000-0005-0000-0000-00009E120000}"/>
    <cellStyle name="Normal 12 3 3 2 2 2 4" xfId="4770" xr:uid="{00000000-0005-0000-0000-00009F120000}"/>
    <cellStyle name="Normal 12 3 3 2 2 3" xfId="4771" xr:uid="{00000000-0005-0000-0000-0000A0120000}"/>
    <cellStyle name="Normal 12 3 3 2 2 3 2" xfId="4772" xr:uid="{00000000-0005-0000-0000-0000A1120000}"/>
    <cellStyle name="Normal 12 3 3 2 2 3 2 2" xfId="4773" xr:uid="{00000000-0005-0000-0000-0000A2120000}"/>
    <cellStyle name="Normal 12 3 3 2 2 3 3" xfId="4774" xr:uid="{00000000-0005-0000-0000-0000A3120000}"/>
    <cellStyle name="Normal 12 3 3 2 2 4" xfId="4775" xr:uid="{00000000-0005-0000-0000-0000A4120000}"/>
    <cellStyle name="Normal 12 3 3 2 2 4 2" xfId="4776" xr:uid="{00000000-0005-0000-0000-0000A5120000}"/>
    <cellStyle name="Normal 12 3 3 2 2 5" xfId="4777" xr:uid="{00000000-0005-0000-0000-0000A6120000}"/>
    <cellStyle name="Normal 12 3 3 2 3" xfId="4778" xr:uid="{00000000-0005-0000-0000-0000A7120000}"/>
    <cellStyle name="Normal 12 3 3 2 3 2" xfId="4779" xr:uid="{00000000-0005-0000-0000-0000A8120000}"/>
    <cellStyle name="Normal 12 3 3 2 3 2 2" xfId="4780" xr:uid="{00000000-0005-0000-0000-0000A9120000}"/>
    <cellStyle name="Normal 12 3 3 2 3 2 2 2" xfId="4781" xr:uid="{00000000-0005-0000-0000-0000AA120000}"/>
    <cellStyle name="Normal 12 3 3 2 3 2 3" xfId="4782" xr:uid="{00000000-0005-0000-0000-0000AB120000}"/>
    <cellStyle name="Normal 12 3 3 2 3 3" xfId="4783" xr:uid="{00000000-0005-0000-0000-0000AC120000}"/>
    <cellStyle name="Normal 12 3 3 2 3 3 2" xfId="4784" xr:uid="{00000000-0005-0000-0000-0000AD120000}"/>
    <cellStyle name="Normal 12 3 3 2 3 4" xfId="4785" xr:uid="{00000000-0005-0000-0000-0000AE120000}"/>
    <cellStyle name="Normal 12 3 3 2 4" xfId="4786" xr:uid="{00000000-0005-0000-0000-0000AF120000}"/>
    <cellStyle name="Normal 12 3 3 2 4 2" xfId="4787" xr:uid="{00000000-0005-0000-0000-0000B0120000}"/>
    <cellStyle name="Normal 12 3 3 2 4 2 2" xfId="4788" xr:uid="{00000000-0005-0000-0000-0000B1120000}"/>
    <cellStyle name="Normal 12 3 3 2 4 3" xfId="4789" xr:uid="{00000000-0005-0000-0000-0000B2120000}"/>
    <cellStyle name="Normal 12 3 3 2 5" xfId="4790" xr:uid="{00000000-0005-0000-0000-0000B3120000}"/>
    <cellStyle name="Normal 12 3 3 2 5 2" xfId="4791" xr:uid="{00000000-0005-0000-0000-0000B4120000}"/>
    <cellStyle name="Normal 12 3 3 2 6" xfId="4792" xr:uid="{00000000-0005-0000-0000-0000B5120000}"/>
    <cellStyle name="Normal 12 3 3 3" xfId="4793" xr:uid="{00000000-0005-0000-0000-0000B6120000}"/>
    <cellStyle name="Normal 12 3 3 3 2" xfId="4794" xr:uid="{00000000-0005-0000-0000-0000B7120000}"/>
    <cellStyle name="Normal 12 3 3 3 2 2" xfId="4795" xr:uid="{00000000-0005-0000-0000-0000B8120000}"/>
    <cellStyle name="Normal 12 3 3 3 2 2 2" xfId="4796" xr:uid="{00000000-0005-0000-0000-0000B9120000}"/>
    <cellStyle name="Normal 12 3 3 3 2 2 2 2" xfId="4797" xr:uid="{00000000-0005-0000-0000-0000BA120000}"/>
    <cellStyle name="Normal 12 3 3 3 2 2 3" xfId="4798" xr:uid="{00000000-0005-0000-0000-0000BB120000}"/>
    <cellStyle name="Normal 12 3 3 3 2 3" xfId="4799" xr:uid="{00000000-0005-0000-0000-0000BC120000}"/>
    <cellStyle name="Normal 12 3 3 3 2 3 2" xfId="4800" xr:uid="{00000000-0005-0000-0000-0000BD120000}"/>
    <cellStyle name="Normal 12 3 3 3 2 4" xfId="4801" xr:uid="{00000000-0005-0000-0000-0000BE120000}"/>
    <cellStyle name="Normal 12 3 3 3 3" xfId="4802" xr:uid="{00000000-0005-0000-0000-0000BF120000}"/>
    <cellStyle name="Normal 12 3 3 3 3 2" xfId="4803" xr:uid="{00000000-0005-0000-0000-0000C0120000}"/>
    <cellStyle name="Normal 12 3 3 3 3 2 2" xfId="4804" xr:uid="{00000000-0005-0000-0000-0000C1120000}"/>
    <cellStyle name="Normal 12 3 3 3 3 3" xfId="4805" xr:uid="{00000000-0005-0000-0000-0000C2120000}"/>
    <cellStyle name="Normal 12 3 3 3 4" xfId="4806" xr:uid="{00000000-0005-0000-0000-0000C3120000}"/>
    <cellStyle name="Normal 12 3 3 3 4 2" xfId="4807" xr:uid="{00000000-0005-0000-0000-0000C4120000}"/>
    <cellStyle name="Normal 12 3 3 3 5" xfId="4808" xr:uid="{00000000-0005-0000-0000-0000C5120000}"/>
    <cellStyle name="Normal 12 3 3 4" xfId="4809" xr:uid="{00000000-0005-0000-0000-0000C6120000}"/>
    <cellStyle name="Normal 12 3 3 4 2" xfId="4810" xr:uid="{00000000-0005-0000-0000-0000C7120000}"/>
    <cellStyle name="Normal 12 3 3 4 2 2" xfId="4811" xr:uid="{00000000-0005-0000-0000-0000C8120000}"/>
    <cellStyle name="Normal 12 3 3 4 2 2 2" xfId="4812" xr:uid="{00000000-0005-0000-0000-0000C9120000}"/>
    <cellStyle name="Normal 12 3 3 4 2 3" xfId="4813" xr:uid="{00000000-0005-0000-0000-0000CA120000}"/>
    <cellStyle name="Normal 12 3 3 4 3" xfId="4814" xr:uid="{00000000-0005-0000-0000-0000CB120000}"/>
    <cellStyle name="Normal 12 3 3 4 3 2" xfId="4815" xr:uid="{00000000-0005-0000-0000-0000CC120000}"/>
    <cellStyle name="Normal 12 3 3 4 4" xfId="4816" xr:uid="{00000000-0005-0000-0000-0000CD120000}"/>
    <cellStyle name="Normal 12 3 3 5" xfId="4817" xr:uid="{00000000-0005-0000-0000-0000CE120000}"/>
    <cellStyle name="Normal 12 3 3 5 2" xfId="4818" xr:uid="{00000000-0005-0000-0000-0000CF120000}"/>
    <cellStyle name="Normal 12 3 3 5 2 2" xfId="4819" xr:uid="{00000000-0005-0000-0000-0000D0120000}"/>
    <cellStyle name="Normal 12 3 3 5 3" xfId="4820" xr:uid="{00000000-0005-0000-0000-0000D1120000}"/>
    <cellStyle name="Normal 12 3 3 6" xfId="4821" xr:uid="{00000000-0005-0000-0000-0000D2120000}"/>
    <cellStyle name="Normal 12 3 3 6 2" xfId="4822" xr:uid="{00000000-0005-0000-0000-0000D3120000}"/>
    <cellStyle name="Normal 12 3 3 7" xfId="4823" xr:uid="{00000000-0005-0000-0000-0000D4120000}"/>
    <cellStyle name="Normal 12 3 4" xfId="4824" xr:uid="{00000000-0005-0000-0000-0000D5120000}"/>
    <cellStyle name="Normal 12 3 4 2" xfId="4825" xr:uid="{00000000-0005-0000-0000-0000D6120000}"/>
    <cellStyle name="Normal 12 3 4 2 2" xfId="4826" xr:uid="{00000000-0005-0000-0000-0000D7120000}"/>
    <cellStyle name="Normal 12 3 4 2 2 2" xfId="4827" xr:uid="{00000000-0005-0000-0000-0000D8120000}"/>
    <cellStyle name="Normal 12 3 4 2 2 2 2" xfId="4828" xr:uid="{00000000-0005-0000-0000-0000D9120000}"/>
    <cellStyle name="Normal 12 3 4 2 2 2 2 2" xfId="4829" xr:uid="{00000000-0005-0000-0000-0000DA120000}"/>
    <cellStyle name="Normal 12 3 4 2 2 2 3" xfId="4830" xr:uid="{00000000-0005-0000-0000-0000DB120000}"/>
    <cellStyle name="Normal 12 3 4 2 2 3" xfId="4831" xr:uid="{00000000-0005-0000-0000-0000DC120000}"/>
    <cellStyle name="Normal 12 3 4 2 2 3 2" xfId="4832" xr:uid="{00000000-0005-0000-0000-0000DD120000}"/>
    <cellStyle name="Normal 12 3 4 2 2 4" xfId="4833" xr:uid="{00000000-0005-0000-0000-0000DE120000}"/>
    <cellStyle name="Normal 12 3 4 2 3" xfId="4834" xr:uid="{00000000-0005-0000-0000-0000DF120000}"/>
    <cellStyle name="Normal 12 3 4 2 3 2" xfId="4835" xr:uid="{00000000-0005-0000-0000-0000E0120000}"/>
    <cellStyle name="Normal 12 3 4 2 3 2 2" xfId="4836" xr:uid="{00000000-0005-0000-0000-0000E1120000}"/>
    <cellStyle name="Normal 12 3 4 2 3 3" xfId="4837" xr:uid="{00000000-0005-0000-0000-0000E2120000}"/>
    <cellStyle name="Normal 12 3 4 2 4" xfId="4838" xr:uid="{00000000-0005-0000-0000-0000E3120000}"/>
    <cellStyle name="Normal 12 3 4 2 4 2" xfId="4839" xr:uid="{00000000-0005-0000-0000-0000E4120000}"/>
    <cellStyle name="Normal 12 3 4 2 5" xfId="4840" xr:uid="{00000000-0005-0000-0000-0000E5120000}"/>
    <cellStyle name="Normal 12 3 4 3" xfId="4841" xr:uid="{00000000-0005-0000-0000-0000E6120000}"/>
    <cellStyle name="Normal 12 3 4 3 2" xfId="4842" xr:uid="{00000000-0005-0000-0000-0000E7120000}"/>
    <cellStyle name="Normal 12 3 4 3 2 2" xfId="4843" xr:uid="{00000000-0005-0000-0000-0000E8120000}"/>
    <cellStyle name="Normal 12 3 4 3 2 2 2" xfId="4844" xr:uid="{00000000-0005-0000-0000-0000E9120000}"/>
    <cellStyle name="Normal 12 3 4 3 2 3" xfId="4845" xr:uid="{00000000-0005-0000-0000-0000EA120000}"/>
    <cellStyle name="Normal 12 3 4 3 3" xfId="4846" xr:uid="{00000000-0005-0000-0000-0000EB120000}"/>
    <cellStyle name="Normal 12 3 4 3 3 2" xfId="4847" xr:uid="{00000000-0005-0000-0000-0000EC120000}"/>
    <cellStyle name="Normal 12 3 4 3 4" xfId="4848" xr:uid="{00000000-0005-0000-0000-0000ED120000}"/>
    <cellStyle name="Normal 12 3 4 4" xfId="4849" xr:uid="{00000000-0005-0000-0000-0000EE120000}"/>
    <cellStyle name="Normal 12 3 4 4 2" xfId="4850" xr:uid="{00000000-0005-0000-0000-0000EF120000}"/>
    <cellStyle name="Normal 12 3 4 4 2 2" xfId="4851" xr:uid="{00000000-0005-0000-0000-0000F0120000}"/>
    <cellStyle name="Normal 12 3 4 4 3" xfId="4852" xr:uid="{00000000-0005-0000-0000-0000F1120000}"/>
    <cellStyle name="Normal 12 3 4 5" xfId="4853" xr:uid="{00000000-0005-0000-0000-0000F2120000}"/>
    <cellStyle name="Normal 12 3 4 5 2" xfId="4854" xr:uid="{00000000-0005-0000-0000-0000F3120000}"/>
    <cellStyle name="Normal 12 3 4 6" xfId="4855" xr:uid="{00000000-0005-0000-0000-0000F4120000}"/>
    <cellStyle name="Normal 12 3 5" xfId="4856" xr:uid="{00000000-0005-0000-0000-0000F5120000}"/>
    <cellStyle name="Normal 12 3 5 2" xfId="4857" xr:uid="{00000000-0005-0000-0000-0000F6120000}"/>
    <cellStyle name="Normal 12 3 5 2 2" xfId="4858" xr:uid="{00000000-0005-0000-0000-0000F7120000}"/>
    <cellStyle name="Normal 12 3 5 2 2 2" xfId="4859" xr:uid="{00000000-0005-0000-0000-0000F8120000}"/>
    <cellStyle name="Normal 12 3 5 2 2 2 2" xfId="4860" xr:uid="{00000000-0005-0000-0000-0000F9120000}"/>
    <cellStyle name="Normal 12 3 5 2 2 3" xfId="4861" xr:uid="{00000000-0005-0000-0000-0000FA120000}"/>
    <cellStyle name="Normal 12 3 5 2 3" xfId="4862" xr:uid="{00000000-0005-0000-0000-0000FB120000}"/>
    <cellStyle name="Normal 12 3 5 2 3 2" xfId="4863" xr:uid="{00000000-0005-0000-0000-0000FC120000}"/>
    <cellStyle name="Normal 12 3 5 2 4" xfId="4864" xr:uid="{00000000-0005-0000-0000-0000FD120000}"/>
    <cellStyle name="Normal 12 3 5 3" xfId="4865" xr:uid="{00000000-0005-0000-0000-0000FE120000}"/>
    <cellStyle name="Normal 12 3 5 3 2" xfId="4866" xr:uid="{00000000-0005-0000-0000-0000FF120000}"/>
    <cellStyle name="Normal 12 3 5 3 2 2" xfId="4867" xr:uid="{00000000-0005-0000-0000-000000130000}"/>
    <cellStyle name="Normal 12 3 5 3 3" xfId="4868" xr:uid="{00000000-0005-0000-0000-000001130000}"/>
    <cellStyle name="Normal 12 3 5 4" xfId="4869" xr:uid="{00000000-0005-0000-0000-000002130000}"/>
    <cellStyle name="Normal 12 3 5 4 2" xfId="4870" xr:uid="{00000000-0005-0000-0000-000003130000}"/>
    <cellStyle name="Normal 12 3 5 5" xfId="4871" xr:uid="{00000000-0005-0000-0000-000004130000}"/>
    <cellStyle name="Normal 12 3 6" xfId="4872" xr:uid="{00000000-0005-0000-0000-000005130000}"/>
    <cellStyle name="Normal 12 3 6 2" xfId="4873" xr:uid="{00000000-0005-0000-0000-000006130000}"/>
    <cellStyle name="Normal 12 3 6 2 2" xfId="4874" xr:uid="{00000000-0005-0000-0000-000007130000}"/>
    <cellStyle name="Normal 12 3 6 2 2 2" xfId="4875" xr:uid="{00000000-0005-0000-0000-000008130000}"/>
    <cellStyle name="Normal 12 3 6 2 3" xfId="4876" xr:uid="{00000000-0005-0000-0000-000009130000}"/>
    <cellStyle name="Normal 12 3 6 3" xfId="4877" xr:uid="{00000000-0005-0000-0000-00000A130000}"/>
    <cellStyle name="Normal 12 3 6 3 2" xfId="4878" xr:uid="{00000000-0005-0000-0000-00000B130000}"/>
    <cellStyle name="Normal 12 3 6 4" xfId="4879" xr:uid="{00000000-0005-0000-0000-00000C130000}"/>
    <cellStyle name="Normal 12 3 7" xfId="4880" xr:uid="{00000000-0005-0000-0000-00000D130000}"/>
    <cellStyle name="Normal 12 3 7 2" xfId="4881" xr:uid="{00000000-0005-0000-0000-00000E130000}"/>
    <cellStyle name="Normal 12 3 7 2 2" xfId="4882" xr:uid="{00000000-0005-0000-0000-00000F130000}"/>
    <cellStyle name="Normal 12 3 7 3" xfId="4883" xr:uid="{00000000-0005-0000-0000-000010130000}"/>
    <cellStyle name="Normal 12 3 8" xfId="4884" xr:uid="{00000000-0005-0000-0000-000011130000}"/>
    <cellStyle name="Normal 12 3 8 2" xfId="4885" xr:uid="{00000000-0005-0000-0000-000012130000}"/>
    <cellStyle name="Normal 12 3 9" xfId="4886" xr:uid="{00000000-0005-0000-0000-000013130000}"/>
    <cellStyle name="Normal 12 4" xfId="4887" xr:uid="{00000000-0005-0000-0000-000014130000}"/>
    <cellStyle name="Normal 12 4 2" xfId="4888" xr:uid="{00000000-0005-0000-0000-000015130000}"/>
    <cellStyle name="Normal 12 4 2 2" xfId="4889" xr:uid="{00000000-0005-0000-0000-000016130000}"/>
    <cellStyle name="Normal 12 4 2 2 2" xfId="4890" xr:uid="{00000000-0005-0000-0000-000017130000}"/>
    <cellStyle name="Normal 12 4 2 2 2 2" xfId="4891" xr:uid="{00000000-0005-0000-0000-000018130000}"/>
    <cellStyle name="Normal 12 4 2 2 2 2 2" xfId="4892" xr:uid="{00000000-0005-0000-0000-000019130000}"/>
    <cellStyle name="Normal 12 4 2 2 2 2 2 2" xfId="4893" xr:uid="{00000000-0005-0000-0000-00001A130000}"/>
    <cellStyle name="Normal 12 4 2 2 2 2 2 2 2" xfId="4894" xr:uid="{00000000-0005-0000-0000-00001B130000}"/>
    <cellStyle name="Normal 12 4 2 2 2 2 2 3" xfId="4895" xr:uid="{00000000-0005-0000-0000-00001C130000}"/>
    <cellStyle name="Normal 12 4 2 2 2 2 3" xfId="4896" xr:uid="{00000000-0005-0000-0000-00001D130000}"/>
    <cellStyle name="Normal 12 4 2 2 2 2 3 2" xfId="4897" xr:uid="{00000000-0005-0000-0000-00001E130000}"/>
    <cellStyle name="Normal 12 4 2 2 2 2 4" xfId="4898" xr:uid="{00000000-0005-0000-0000-00001F130000}"/>
    <cellStyle name="Normal 12 4 2 2 2 3" xfId="4899" xr:uid="{00000000-0005-0000-0000-000020130000}"/>
    <cellStyle name="Normal 12 4 2 2 2 3 2" xfId="4900" xr:uid="{00000000-0005-0000-0000-000021130000}"/>
    <cellStyle name="Normal 12 4 2 2 2 3 2 2" xfId="4901" xr:uid="{00000000-0005-0000-0000-000022130000}"/>
    <cellStyle name="Normal 12 4 2 2 2 3 3" xfId="4902" xr:uid="{00000000-0005-0000-0000-000023130000}"/>
    <cellStyle name="Normal 12 4 2 2 2 4" xfId="4903" xr:uid="{00000000-0005-0000-0000-000024130000}"/>
    <cellStyle name="Normal 12 4 2 2 2 4 2" xfId="4904" xr:uid="{00000000-0005-0000-0000-000025130000}"/>
    <cellStyle name="Normal 12 4 2 2 2 5" xfId="4905" xr:uid="{00000000-0005-0000-0000-000026130000}"/>
    <cellStyle name="Normal 12 4 2 2 3" xfId="4906" xr:uid="{00000000-0005-0000-0000-000027130000}"/>
    <cellStyle name="Normal 12 4 2 2 3 2" xfId="4907" xr:uid="{00000000-0005-0000-0000-000028130000}"/>
    <cellStyle name="Normal 12 4 2 2 3 2 2" xfId="4908" xr:uid="{00000000-0005-0000-0000-000029130000}"/>
    <cellStyle name="Normal 12 4 2 2 3 2 2 2" xfId="4909" xr:uid="{00000000-0005-0000-0000-00002A130000}"/>
    <cellStyle name="Normal 12 4 2 2 3 2 3" xfId="4910" xr:uid="{00000000-0005-0000-0000-00002B130000}"/>
    <cellStyle name="Normal 12 4 2 2 3 3" xfId="4911" xr:uid="{00000000-0005-0000-0000-00002C130000}"/>
    <cellStyle name="Normal 12 4 2 2 3 3 2" xfId="4912" xr:uid="{00000000-0005-0000-0000-00002D130000}"/>
    <cellStyle name="Normal 12 4 2 2 3 4" xfId="4913" xr:uid="{00000000-0005-0000-0000-00002E130000}"/>
    <cellStyle name="Normal 12 4 2 2 4" xfId="4914" xr:uid="{00000000-0005-0000-0000-00002F130000}"/>
    <cellStyle name="Normal 12 4 2 2 4 2" xfId="4915" xr:uid="{00000000-0005-0000-0000-000030130000}"/>
    <cellStyle name="Normal 12 4 2 2 4 2 2" xfId="4916" xr:uid="{00000000-0005-0000-0000-000031130000}"/>
    <cellStyle name="Normal 12 4 2 2 4 3" xfId="4917" xr:uid="{00000000-0005-0000-0000-000032130000}"/>
    <cellStyle name="Normal 12 4 2 2 5" xfId="4918" xr:uid="{00000000-0005-0000-0000-000033130000}"/>
    <cellStyle name="Normal 12 4 2 2 5 2" xfId="4919" xr:uid="{00000000-0005-0000-0000-000034130000}"/>
    <cellStyle name="Normal 12 4 2 2 6" xfId="4920" xr:uid="{00000000-0005-0000-0000-000035130000}"/>
    <cellStyle name="Normal 12 4 2 3" xfId="4921" xr:uid="{00000000-0005-0000-0000-000036130000}"/>
    <cellStyle name="Normal 12 4 2 3 2" xfId="4922" xr:uid="{00000000-0005-0000-0000-000037130000}"/>
    <cellStyle name="Normal 12 4 2 3 2 2" xfId="4923" xr:uid="{00000000-0005-0000-0000-000038130000}"/>
    <cellStyle name="Normal 12 4 2 3 2 2 2" xfId="4924" xr:uid="{00000000-0005-0000-0000-000039130000}"/>
    <cellStyle name="Normal 12 4 2 3 2 2 2 2" xfId="4925" xr:uid="{00000000-0005-0000-0000-00003A130000}"/>
    <cellStyle name="Normal 12 4 2 3 2 2 3" xfId="4926" xr:uid="{00000000-0005-0000-0000-00003B130000}"/>
    <cellStyle name="Normal 12 4 2 3 2 3" xfId="4927" xr:uid="{00000000-0005-0000-0000-00003C130000}"/>
    <cellStyle name="Normal 12 4 2 3 2 3 2" xfId="4928" xr:uid="{00000000-0005-0000-0000-00003D130000}"/>
    <cellStyle name="Normal 12 4 2 3 2 4" xfId="4929" xr:uid="{00000000-0005-0000-0000-00003E130000}"/>
    <cellStyle name="Normal 12 4 2 3 3" xfId="4930" xr:uid="{00000000-0005-0000-0000-00003F130000}"/>
    <cellStyle name="Normal 12 4 2 3 3 2" xfId="4931" xr:uid="{00000000-0005-0000-0000-000040130000}"/>
    <cellStyle name="Normal 12 4 2 3 3 2 2" xfId="4932" xr:uid="{00000000-0005-0000-0000-000041130000}"/>
    <cellStyle name="Normal 12 4 2 3 3 3" xfId="4933" xr:uid="{00000000-0005-0000-0000-000042130000}"/>
    <cellStyle name="Normal 12 4 2 3 4" xfId="4934" xr:uid="{00000000-0005-0000-0000-000043130000}"/>
    <cellStyle name="Normal 12 4 2 3 4 2" xfId="4935" xr:uid="{00000000-0005-0000-0000-000044130000}"/>
    <cellStyle name="Normal 12 4 2 3 5" xfId="4936" xr:uid="{00000000-0005-0000-0000-000045130000}"/>
    <cellStyle name="Normal 12 4 2 4" xfId="4937" xr:uid="{00000000-0005-0000-0000-000046130000}"/>
    <cellStyle name="Normal 12 4 2 4 2" xfId="4938" xr:uid="{00000000-0005-0000-0000-000047130000}"/>
    <cellStyle name="Normal 12 4 2 4 2 2" xfId="4939" xr:uid="{00000000-0005-0000-0000-000048130000}"/>
    <cellStyle name="Normal 12 4 2 4 2 2 2" xfId="4940" xr:uid="{00000000-0005-0000-0000-000049130000}"/>
    <cellStyle name="Normal 12 4 2 4 2 3" xfId="4941" xr:uid="{00000000-0005-0000-0000-00004A130000}"/>
    <cellStyle name="Normal 12 4 2 4 3" xfId="4942" xr:uid="{00000000-0005-0000-0000-00004B130000}"/>
    <cellStyle name="Normal 12 4 2 4 3 2" xfId="4943" xr:uid="{00000000-0005-0000-0000-00004C130000}"/>
    <cellStyle name="Normal 12 4 2 4 4" xfId="4944" xr:uid="{00000000-0005-0000-0000-00004D130000}"/>
    <cellStyle name="Normal 12 4 2 5" xfId="4945" xr:uid="{00000000-0005-0000-0000-00004E130000}"/>
    <cellStyle name="Normal 12 4 2 5 2" xfId="4946" xr:uid="{00000000-0005-0000-0000-00004F130000}"/>
    <cellStyle name="Normal 12 4 2 5 2 2" xfId="4947" xr:uid="{00000000-0005-0000-0000-000050130000}"/>
    <cellStyle name="Normal 12 4 2 5 3" xfId="4948" xr:uid="{00000000-0005-0000-0000-000051130000}"/>
    <cellStyle name="Normal 12 4 2 6" xfId="4949" xr:uid="{00000000-0005-0000-0000-000052130000}"/>
    <cellStyle name="Normal 12 4 2 6 2" xfId="4950" xr:uid="{00000000-0005-0000-0000-000053130000}"/>
    <cellStyle name="Normal 12 4 2 7" xfId="4951" xr:uid="{00000000-0005-0000-0000-000054130000}"/>
    <cellStyle name="Normal 12 4 3" xfId="4952" xr:uid="{00000000-0005-0000-0000-000055130000}"/>
    <cellStyle name="Normal 12 4 3 2" xfId="4953" xr:uid="{00000000-0005-0000-0000-000056130000}"/>
    <cellStyle name="Normal 12 4 3 2 2" xfId="4954" xr:uid="{00000000-0005-0000-0000-000057130000}"/>
    <cellStyle name="Normal 12 4 3 2 2 2" xfId="4955" xr:uid="{00000000-0005-0000-0000-000058130000}"/>
    <cellStyle name="Normal 12 4 3 2 2 2 2" xfId="4956" xr:uid="{00000000-0005-0000-0000-000059130000}"/>
    <cellStyle name="Normal 12 4 3 2 2 2 2 2" xfId="4957" xr:uid="{00000000-0005-0000-0000-00005A130000}"/>
    <cellStyle name="Normal 12 4 3 2 2 2 3" xfId="4958" xr:uid="{00000000-0005-0000-0000-00005B130000}"/>
    <cellStyle name="Normal 12 4 3 2 2 3" xfId="4959" xr:uid="{00000000-0005-0000-0000-00005C130000}"/>
    <cellStyle name="Normal 12 4 3 2 2 3 2" xfId="4960" xr:uid="{00000000-0005-0000-0000-00005D130000}"/>
    <cellStyle name="Normal 12 4 3 2 2 4" xfId="4961" xr:uid="{00000000-0005-0000-0000-00005E130000}"/>
    <cellStyle name="Normal 12 4 3 2 3" xfId="4962" xr:uid="{00000000-0005-0000-0000-00005F130000}"/>
    <cellStyle name="Normal 12 4 3 2 3 2" xfId="4963" xr:uid="{00000000-0005-0000-0000-000060130000}"/>
    <cellStyle name="Normal 12 4 3 2 3 2 2" xfId="4964" xr:uid="{00000000-0005-0000-0000-000061130000}"/>
    <cellStyle name="Normal 12 4 3 2 3 3" xfId="4965" xr:uid="{00000000-0005-0000-0000-000062130000}"/>
    <cellStyle name="Normal 12 4 3 2 4" xfId="4966" xr:uid="{00000000-0005-0000-0000-000063130000}"/>
    <cellStyle name="Normal 12 4 3 2 4 2" xfId="4967" xr:uid="{00000000-0005-0000-0000-000064130000}"/>
    <cellStyle name="Normal 12 4 3 2 5" xfId="4968" xr:uid="{00000000-0005-0000-0000-000065130000}"/>
    <cellStyle name="Normal 12 4 3 3" xfId="4969" xr:uid="{00000000-0005-0000-0000-000066130000}"/>
    <cellStyle name="Normal 12 4 3 3 2" xfId="4970" xr:uid="{00000000-0005-0000-0000-000067130000}"/>
    <cellStyle name="Normal 12 4 3 3 2 2" xfId="4971" xr:uid="{00000000-0005-0000-0000-000068130000}"/>
    <cellStyle name="Normal 12 4 3 3 2 2 2" xfId="4972" xr:uid="{00000000-0005-0000-0000-000069130000}"/>
    <cellStyle name="Normal 12 4 3 3 2 3" xfId="4973" xr:uid="{00000000-0005-0000-0000-00006A130000}"/>
    <cellStyle name="Normal 12 4 3 3 3" xfId="4974" xr:uid="{00000000-0005-0000-0000-00006B130000}"/>
    <cellStyle name="Normal 12 4 3 3 3 2" xfId="4975" xr:uid="{00000000-0005-0000-0000-00006C130000}"/>
    <cellStyle name="Normal 12 4 3 3 4" xfId="4976" xr:uid="{00000000-0005-0000-0000-00006D130000}"/>
    <cellStyle name="Normal 12 4 3 4" xfId="4977" xr:uid="{00000000-0005-0000-0000-00006E130000}"/>
    <cellStyle name="Normal 12 4 3 4 2" xfId="4978" xr:uid="{00000000-0005-0000-0000-00006F130000}"/>
    <cellStyle name="Normal 12 4 3 4 2 2" xfId="4979" xr:uid="{00000000-0005-0000-0000-000070130000}"/>
    <cellStyle name="Normal 12 4 3 4 3" xfId="4980" xr:uid="{00000000-0005-0000-0000-000071130000}"/>
    <cellStyle name="Normal 12 4 3 5" xfId="4981" xr:uid="{00000000-0005-0000-0000-000072130000}"/>
    <cellStyle name="Normal 12 4 3 5 2" xfId="4982" xr:uid="{00000000-0005-0000-0000-000073130000}"/>
    <cellStyle name="Normal 12 4 3 6" xfId="4983" xr:uid="{00000000-0005-0000-0000-000074130000}"/>
    <cellStyle name="Normal 12 4 4" xfId="4984" xr:uid="{00000000-0005-0000-0000-000075130000}"/>
    <cellStyle name="Normal 12 4 4 2" xfId="4985" xr:uid="{00000000-0005-0000-0000-000076130000}"/>
    <cellStyle name="Normal 12 4 4 2 2" xfId="4986" xr:uid="{00000000-0005-0000-0000-000077130000}"/>
    <cellStyle name="Normal 12 4 4 2 2 2" xfId="4987" xr:uid="{00000000-0005-0000-0000-000078130000}"/>
    <cellStyle name="Normal 12 4 4 2 2 2 2" xfId="4988" xr:uid="{00000000-0005-0000-0000-000079130000}"/>
    <cellStyle name="Normal 12 4 4 2 2 3" xfId="4989" xr:uid="{00000000-0005-0000-0000-00007A130000}"/>
    <cellStyle name="Normal 12 4 4 2 3" xfId="4990" xr:uid="{00000000-0005-0000-0000-00007B130000}"/>
    <cellStyle name="Normal 12 4 4 2 3 2" xfId="4991" xr:uid="{00000000-0005-0000-0000-00007C130000}"/>
    <cellStyle name="Normal 12 4 4 2 4" xfId="4992" xr:uid="{00000000-0005-0000-0000-00007D130000}"/>
    <cellStyle name="Normal 12 4 4 3" xfId="4993" xr:uid="{00000000-0005-0000-0000-00007E130000}"/>
    <cellStyle name="Normal 12 4 4 3 2" xfId="4994" xr:uid="{00000000-0005-0000-0000-00007F130000}"/>
    <cellStyle name="Normal 12 4 4 3 2 2" xfId="4995" xr:uid="{00000000-0005-0000-0000-000080130000}"/>
    <cellStyle name="Normal 12 4 4 3 3" xfId="4996" xr:uid="{00000000-0005-0000-0000-000081130000}"/>
    <cellStyle name="Normal 12 4 4 4" xfId="4997" xr:uid="{00000000-0005-0000-0000-000082130000}"/>
    <cellStyle name="Normal 12 4 4 4 2" xfId="4998" xr:uid="{00000000-0005-0000-0000-000083130000}"/>
    <cellStyle name="Normal 12 4 4 5" xfId="4999" xr:uid="{00000000-0005-0000-0000-000084130000}"/>
    <cellStyle name="Normal 12 4 5" xfId="5000" xr:uid="{00000000-0005-0000-0000-000085130000}"/>
    <cellStyle name="Normal 12 4 5 2" xfId="5001" xr:uid="{00000000-0005-0000-0000-000086130000}"/>
    <cellStyle name="Normal 12 4 5 2 2" xfId="5002" xr:uid="{00000000-0005-0000-0000-000087130000}"/>
    <cellStyle name="Normal 12 4 5 2 2 2" xfId="5003" xr:uid="{00000000-0005-0000-0000-000088130000}"/>
    <cellStyle name="Normal 12 4 5 2 3" xfId="5004" xr:uid="{00000000-0005-0000-0000-000089130000}"/>
    <cellStyle name="Normal 12 4 5 3" xfId="5005" xr:uid="{00000000-0005-0000-0000-00008A130000}"/>
    <cellStyle name="Normal 12 4 5 3 2" xfId="5006" xr:uid="{00000000-0005-0000-0000-00008B130000}"/>
    <cellStyle name="Normal 12 4 5 4" xfId="5007" xr:uid="{00000000-0005-0000-0000-00008C130000}"/>
    <cellStyle name="Normal 12 4 6" xfId="5008" xr:uid="{00000000-0005-0000-0000-00008D130000}"/>
    <cellStyle name="Normal 12 4 6 2" xfId="5009" xr:uid="{00000000-0005-0000-0000-00008E130000}"/>
    <cellStyle name="Normal 12 4 6 2 2" xfId="5010" xr:uid="{00000000-0005-0000-0000-00008F130000}"/>
    <cellStyle name="Normal 12 4 6 3" xfId="5011" xr:uid="{00000000-0005-0000-0000-000090130000}"/>
    <cellStyle name="Normal 12 4 7" xfId="5012" xr:uid="{00000000-0005-0000-0000-000091130000}"/>
    <cellStyle name="Normal 12 4 7 2" xfId="5013" xr:uid="{00000000-0005-0000-0000-000092130000}"/>
    <cellStyle name="Normal 12 4 8" xfId="5014" xr:uid="{00000000-0005-0000-0000-000093130000}"/>
    <cellStyle name="Normal 12 5" xfId="5015" xr:uid="{00000000-0005-0000-0000-000094130000}"/>
    <cellStyle name="Normal 12 5 2" xfId="5016" xr:uid="{00000000-0005-0000-0000-000095130000}"/>
    <cellStyle name="Normal 12 5 2 2" xfId="5017" xr:uid="{00000000-0005-0000-0000-000096130000}"/>
    <cellStyle name="Normal 12 5 2 2 2" xfId="5018" xr:uid="{00000000-0005-0000-0000-000097130000}"/>
    <cellStyle name="Normal 12 5 2 2 2 2" xfId="5019" xr:uid="{00000000-0005-0000-0000-000098130000}"/>
    <cellStyle name="Normal 12 5 2 2 2 2 2" xfId="5020" xr:uid="{00000000-0005-0000-0000-000099130000}"/>
    <cellStyle name="Normal 12 5 2 2 2 2 2 2" xfId="5021" xr:uid="{00000000-0005-0000-0000-00009A130000}"/>
    <cellStyle name="Normal 12 5 2 2 2 2 3" xfId="5022" xr:uid="{00000000-0005-0000-0000-00009B130000}"/>
    <cellStyle name="Normal 12 5 2 2 2 3" xfId="5023" xr:uid="{00000000-0005-0000-0000-00009C130000}"/>
    <cellStyle name="Normal 12 5 2 2 2 3 2" xfId="5024" xr:uid="{00000000-0005-0000-0000-00009D130000}"/>
    <cellStyle name="Normal 12 5 2 2 2 4" xfId="5025" xr:uid="{00000000-0005-0000-0000-00009E130000}"/>
    <cellStyle name="Normal 12 5 2 2 3" xfId="5026" xr:uid="{00000000-0005-0000-0000-00009F130000}"/>
    <cellStyle name="Normal 12 5 2 2 3 2" xfId="5027" xr:uid="{00000000-0005-0000-0000-0000A0130000}"/>
    <cellStyle name="Normal 12 5 2 2 3 2 2" xfId="5028" xr:uid="{00000000-0005-0000-0000-0000A1130000}"/>
    <cellStyle name="Normal 12 5 2 2 3 3" xfId="5029" xr:uid="{00000000-0005-0000-0000-0000A2130000}"/>
    <cellStyle name="Normal 12 5 2 2 4" xfId="5030" xr:uid="{00000000-0005-0000-0000-0000A3130000}"/>
    <cellStyle name="Normal 12 5 2 2 4 2" xfId="5031" xr:uid="{00000000-0005-0000-0000-0000A4130000}"/>
    <cellStyle name="Normal 12 5 2 2 5" xfId="5032" xr:uid="{00000000-0005-0000-0000-0000A5130000}"/>
    <cellStyle name="Normal 12 5 2 3" xfId="5033" xr:uid="{00000000-0005-0000-0000-0000A6130000}"/>
    <cellStyle name="Normal 12 5 2 3 2" xfId="5034" xr:uid="{00000000-0005-0000-0000-0000A7130000}"/>
    <cellStyle name="Normal 12 5 2 3 2 2" xfId="5035" xr:uid="{00000000-0005-0000-0000-0000A8130000}"/>
    <cellStyle name="Normal 12 5 2 3 2 2 2" xfId="5036" xr:uid="{00000000-0005-0000-0000-0000A9130000}"/>
    <cellStyle name="Normal 12 5 2 3 2 3" xfId="5037" xr:uid="{00000000-0005-0000-0000-0000AA130000}"/>
    <cellStyle name="Normal 12 5 2 3 3" xfId="5038" xr:uid="{00000000-0005-0000-0000-0000AB130000}"/>
    <cellStyle name="Normal 12 5 2 3 3 2" xfId="5039" xr:uid="{00000000-0005-0000-0000-0000AC130000}"/>
    <cellStyle name="Normal 12 5 2 3 4" xfId="5040" xr:uid="{00000000-0005-0000-0000-0000AD130000}"/>
    <cellStyle name="Normal 12 5 2 4" xfId="5041" xr:uid="{00000000-0005-0000-0000-0000AE130000}"/>
    <cellStyle name="Normal 12 5 2 4 2" xfId="5042" xr:uid="{00000000-0005-0000-0000-0000AF130000}"/>
    <cellStyle name="Normal 12 5 2 4 2 2" xfId="5043" xr:uid="{00000000-0005-0000-0000-0000B0130000}"/>
    <cellStyle name="Normal 12 5 2 4 3" xfId="5044" xr:uid="{00000000-0005-0000-0000-0000B1130000}"/>
    <cellStyle name="Normal 12 5 2 5" xfId="5045" xr:uid="{00000000-0005-0000-0000-0000B2130000}"/>
    <cellStyle name="Normal 12 5 2 5 2" xfId="5046" xr:uid="{00000000-0005-0000-0000-0000B3130000}"/>
    <cellStyle name="Normal 12 5 2 6" xfId="5047" xr:uid="{00000000-0005-0000-0000-0000B4130000}"/>
    <cellStyle name="Normal 12 5 3" xfId="5048" xr:uid="{00000000-0005-0000-0000-0000B5130000}"/>
    <cellStyle name="Normal 12 5 3 2" xfId="5049" xr:uid="{00000000-0005-0000-0000-0000B6130000}"/>
    <cellStyle name="Normal 12 5 3 2 2" xfId="5050" xr:uid="{00000000-0005-0000-0000-0000B7130000}"/>
    <cellStyle name="Normal 12 5 3 2 2 2" xfId="5051" xr:uid="{00000000-0005-0000-0000-0000B8130000}"/>
    <cellStyle name="Normal 12 5 3 2 2 2 2" xfId="5052" xr:uid="{00000000-0005-0000-0000-0000B9130000}"/>
    <cellStyle name="Normal 12 5 3 2 2 3" xfId="5053" xr:uid="{00000000-0005-0000-0000-0000BA130000}"/>
    <cellStyle name="Normal 12 5 3 2 3" xfId="5054" xr:uid="{00000000-0005-0000-0000-0000BB130000}"/>
    <cellStyle name="Normal 12 5 3 2 3 2" xfId="5055" xr:uid="{00000000-0005-0000-0000-0000BC130000}"/>
    <cellStyle name="Normal 12 5 3 2 4" xfId="5056" xr:uid="{00000000-0005-0000-0000-0000BD130000}"/>
    <cellStyle name="Normal 12 5 3 3" xfId="5057" xr:uid="{00000000-0005-0000-0000-0000BE130000}"/>
    <cellStyle name="Normal 12 5 3 3 2" xfId="5058" xr:uid="{00000000-0005-0000-0000-0000BF130000}"/>
    <cellStyle name="Normal 12 5 3 3 2 2" xfId="5059" xr:uid="{00000000-0005-0000-0000-0000C0130000}"/>
    <cellStyle name="Normal 12 5 3 3 3" xfId="5060" xr:uid="{00000000-0005-0000-0000-0000C1130000}"/>
    <cellStyle name="Normal 12 5 3 4" xfId="5061" xr:uid="{00000000-0005-0000-0000-0000C2130000}"/>
    <cellStyle name="Normal 12 5 3 4 2" xfId="5062" xr:uid="{00000000-0005-0000-0000-0000C3130000}"/>
    <cellStyle name="Normal 12 5 3 5" xfId="5063" xr:uid="{00000000-0005-0000-0000-0000C4130000}"/>
    <cellStyle name="Normal 12 5 4" xfId="5064" xr:uid="{00000000-0005-0000-0000-0000C5130000}"/>
    <cellStyle name="Normal 12 5 4 2" xfId="5065" xr:uid="{00000000-0005-0000-0000-0000C6130000}"/>
    <cellStyle name="Normal 12 5 4 2 2" xfId="5066" xr:uid="{00000000-0005-0000-0000-0000C7130000}"/>
    <cellStyle name="Normal 12 5 4 2 2 2" xfId="5067" xr:uid="{00000000-0005-0000-0000-0000C8130000}"/>
    <cellStyle name="Normal 12 5 4 2 3" xfId="5068" xr:uid="{00000000-0005-0000-0000-0000C9130000}"/>
    <cellStyle name="Normal 12 5 4 3" xfId="5069" xr:uid="{00000000-0005-0000-0000-0000CA130000}"/>
    <cellStyle name="Normal 12 5 4 3 2" xfId="5070" xr:uid="{00000000-0005-0000-0000-0000CB130000}"/>
    <cellStyle name="Normal 12 5 4 4" xfId="5071" xr:uid="{00000000-0005-0000-0000-0000CC130000}"/>
    <cellStyle name="Normal 12 5 5" xfId="5072" xr:uid="{00000000-0005-0000-0000-0000CD130000}"/>
    <cellStyle name="Normal 12 5 5 2" xfId="5073" xr:uid="{00000000-0005-0000-0000-0000CE130000}"/>
    <cellStyle name="Normal 12 5 5 2 2" xfId="5074" xr:uid="{00000000-0005-0000-0000-0000CF130000}"/>
    <cellStyle name="Normal 12 5 5 3" xfId="5075" xr:uid="{00000000-0005-0000-0000-0000D0130000}"/>
    <cellStyle name="Normal 12 5 6" xfId="5076" xr:uid="{00000000-0005-0000-0000-0000D1130000}"/>
    <cellStyle name="Normal 12 5 6 2" xfId="5077" xr:uid="{00000000-0005-0000-0000-0000D2130000}"/>
    <cellStyle name="Normal 12 5 7" xfId="5078" xr:uid="{00000000-0005-0000-0000-0000D3130000}"/>
    <cellStyle name="Normal 12 6" xfId="5079" xr:uid="{00000000-0005-0000-0000-0000D4130000}"/>
    <cellStyle name="Normal 12 6 2" xfId="5080" xr:uid="{00000000-0005-0000-0000-0000D5130000}"/>
    <cellStyle name="Normal 12 6 2 2" xfId="5081" xr:uid="{00000000-0005-0000-0000-0000D6130000}"/>
    <cellStyle name="Normal 12 6 2 2 2" xfId="5082" xr:uid="{00000000-0005-0000-0000-0000D7130000}"/>
    <cellStyle name="Normal 12 6 2 2 2 2" xfId="5083" xr:uid="{00000000-0005-0000-0000-0000D8130000}"/>
    <cellStyle name="Normal 12 6 2 2 2 2 2" xfId="5084" xr:uid="{00000000-0005-0000-0000-0000D9130000}"/>
    <cellStyle name="Normal 12 6 2 2 2 3" xfId="5085" xr:uid="{00000000-0005-0000-0000-0000DA130000}"/>
    <cellStyle name="Normal 12 6 2 2 3" xfId="5086" xr:uid="{00000000-0005-0000-0000-0000DB130000}"/>
    <cellStyle name="Normal 12 6 2 2 3 2" xfId="5087" xr:uid="{00000000-0005-0000-0000-0000DC130000}"/>
    <cellStyle name="Normal 12 6 2 2 4" xfId="5088" xr:uid="{00000000-0005-0000-0000-0000DD130000}"/>
    <cellStyle name="Normal 12 6 2 3" xfId="5089" xr:uid="{00000000-0005-0000-0000-0000DE130000}"/>
    <cellStyle name="Normal 12 6 2 3 2" xfId="5090" xr:uid="{00000000-0005-0000-0000-0000DF130000}"/>
    <cellStyle name="Normal 12 6 2 3 2 2" xfId="5091" xr:uid="{00000000-0005-0000-0000-0000E0130000}"/>
    <cellStyle name="Normal 12 6 2 3 3" xfId="5092" xr:uid="{00000000-0005-0000-0000-0000E1130000}"/>
    <cellStyle name="Normal 12 6 2 4" xfId="5093" xr:uid="{00000000-0005-0000-0000-0000E2130000}"/>
    <cellStyle name="Normal 12 6 2 4 2" xfId="5094" xr:uid="{00000000-0005-0000-0000-0000E3130000}"/>
    <cellStyle name="Normal 12 6 2 5" xfId="5095" xr:uid="{00000000-0005-0000-0000-0000E4130000}"/>
    <cellStyle name="Normal 12 6 3" xfId="5096" xr:uid="{00000000-0005-0000-0000-0000E5130000}"/>
    <cellStyle name="Normal 12 6 3 2" xfId="5097" xr:uid="{00000000-0005-0000-0000-0000E6130000}"/>
    <cellStyle name="Normal 12 6 3 2 2" xfId="5098" xr:uid="{00000000-0005-0000-0000-0000E7130000}"/>
    <cellStyle name="Normal 12 6 3 2 2 2" xfId="5099" xr:uid="{00000000-0005-0000-0000-0000E8130000}"/>
    <cellStyle name="Normal 12 6 3 2 3" xfId="5100" xr:uid="{00000000-0005-0000-0000-0000E9130000}"/>
    <cellStyle name="Normal 12 6 3 3" xfId="5101" xr:uid="{00000000-0005-0000-0000-0000EA130000}"/>
    <cellStyle name="Normal 12 6 3 3 2" xfId="5102" xr:uid="{00000000-0005-0000-0000-0000EB130000}"/>
    <cellStyle name="Normal 12 6 3 4" xfId="5103" xr:uid="{00000000-0005-0000-0000-0000EC130000}"/>
    <cellStyle name="Normal 12 6 4" xfId="5104" xr:uid="{00000000-0005-0000-0000-0000ED130000}"/>
    <cellStyle name="Normal 12 6 4 2" xfId="5105" xr:uid="{00000000-0005-0000-0000-0000EE130000}"/>
    <cellStyle name="Normal 12 6 4 2 2" xfId="5106" xr:uid="{00000000-0005-0000-0000-0000EF130000}"/>
    <cellStyle name="Normal 12 6 4 3" xfId="5107" xr:uid="{00000000-0005-0000-0000-0000F0130000}"/>
    <cellStyle name="Normal 12 6 5" xfId="5108" xr:uid="{00000000-0005-0000-0000-0000F1130000}"/>
    <cellStyle name="Normal 12 6 5 2" xfId="5109" xr:uid="{00000000-0005-0000-0000-0000F2130000}"/>
    <cellStyle name="Normal 12 6 6" xfId="5110" xr:uid="{00000000-0005-0000-0000-0000F3130000}"/>
    <cellStyle name="Normal 12 7" xfId="5111" xr:uid="{00000000-0005-0000-0000-0000F4130000}"/>
    <cellStyle name="Normal 12 7 2" xfId="5112" xr:uid="{00000000-0005-0000-0000-0000F5130000}"/>
    <cellStyle name="Normal 12 7 2 2" xfId="5113" xr:uid="{00000000-0005-0000-0000-0000F6130000}"/>
    <cellStyle name="Normal 12 7 2 2 2" xfId="5114" xr:uid="{00000000-0005-0000-0000-0000F7130000}"/>
    <cellStyle name="Normal 12 7 2 2 2 2" xfId="5115" xr:uid="{00000000-0005-0000-0000-0000F8130000}"/>
    <cellStyle name="Normal 12 7 2 2 3" xfId="5116" xr:uid="{00000000-0005-0000-0000-0000F9130000}"/>
    <cellStyle name="Normal 12 7 2 3" xfId="5117" xr:uid="{00000000-0005-0000-0000-0000FA130000}"/>
    <cellStyle name="Normal 12 7 2 3 2" xfId="5118" xr:uid="{00000000-0005-0000-0000-0000FB130000}"/>
    <cellStyle name="Normal 12 7 2 4" xfId="5119" xr:uid="{00000000-0005-0000-0000-0000FC130000}"/>
    <cellStyle name="Normal 12 7 3" xfId="5120" xr:uid="{00000000-0005-0000-0000-0000FD130000}"/>
    <cellStyle name="Normal 12 7 3 2" xfId="5121" xr:uid="{00000000-0005-0000-0000-0000FE130000}"/>
    <cellStyle name="Normal 12 7 3 2 2" xfId="5122" xr:uid="{00000000-0005-0000-0000-0000FF130000}"/>
    <cellStyle name="Normal 12 7 3 3" xfId="5123" xr:uid="{00000000-0005-0000-0000-000000140000}"/>
    <cellStyle name="Normal 12 7 4" xfId="5124" xr:uid="{00000000-0005-0000-0000-000001140000}"/>
    <cellStyle name="Normal 12 7 4 2" xfId="5125" xr:uid="{00000000-0005-0000-0000-000002140000}"/>
    <cellStyle name="Normal 12 7 5" xfId="5126" xr:uid="{00000000-0005-0000-0000-000003140000}"/>
    <cellStyle name="Normal 12 8" xfId="5127" xr:uid="{00000000-0005-0000-0000-000004140000}"/>
    <cellStyle name="Normal 12 8 2" xfId="5128" xr:uid="{00000000-0005-0000-0000-000005140000}"/>
    <cellStyle name="Normal 12 8 2 2" xfId="5129" xr:uid="{00000000-0005-0000-0000-000006140000}"/>
    <cellStyle name="Normal 12 8 2 2 2" xfId="5130" xr:uid="{00000000-0005-0000-0000-000007140000}"/>
    <cellStyle name="Normal 12 8 2 3" xfId="5131" xr:uid="{00000000-0005-0000-0000-000008140000}"/>
    <cellStyle name="Normal 12 8 3" xfId="5132" xr:uid="{00000000-0005-0000-0000-000009140000}"/>
    <cellStyle name="Normal 12 8 3 2" xfId="5133" xr:uid="{00000000-0005-0000-0000-00000A140000}"/>
    <cellStyle name="Normal 12 8 4" xfId="5134" xr:uid="{00000000-0005-0000-0000-00000B140000}"/>
    <cellStyle name="Normal 12 9" xfId="5135" xr:uid="{00000000-0005-0000-0000-00000C140000}"/>
    <cellStyle name="Normal 12 9 2" xfId="5136" xr:uid="{00000000-0005-0000-0000-00000D140000}"/>
    <cellStyle name="Normal 12 9 2 2" xfId="5137" xr:uid="{00000000-0005-0000-0000-00000E140000}"/>
    <cellStyle name="Normal 12 9 3" xfId="5138" xr:uid="{00000000-0005-0000-0000-00000F140000}"/>
    <cellStyle name="Normal 13" xfId="5139" xr:uid="{00000000-0005-0000-0000-000010140000}"/>
    <cellStyle name="Normal 13 10" xfId="5140" xr:uid="{00000000-0005-0000-0000-000011140000}"/>
    <cellStyle name="Normal 13 10 2" xfId="5141" xr:uid="{00000000-0005-0000-0000-000012140000}"/>
    <cellStyle name="Normal 13 11" xfId="5142" xr:uid="{00000000-0005-0000-0000-000013140000}"/>
    <cellStyle name="Normal 13 2" xfId="5143" xr:uid="{00000000-0005-0000-0000-000014140000}"/>
    <cellStyle name="Normal 13 2 2" xfId="5144" xr:uid="{00000000-0005-0000-0000-000015140000}"/>
    <cellStyle name="Normal 13 2 2 2" xfId="5145" xr:uid="{00000000-0005-0000-0000-000016140000}"/>
    <cellStyle name="Normal 13 2 2 2 2" xfId="5146" xr:uid="{00000000-0005-0000-0000-000017140000}"/>
    <cellStyle name="Normal 13 2 2 2 2 2" xfId="5147" xr:uid="{00000000-0005-0000-0000-000018140000}"/>
    <cellStyle name="Normal 13 2 2 2 2 2 2" xfId="5148" xr:uid="{00000000-0005-0000-0000-000019140000}"/>
    <cellStyle name="Normal 13 2 2 2 2 2 2 2" xfId="5149" xr:uid="{00000000-0005-0000-0000-00001A140000}"/>
    <cellStyle name="Normal 13 2 2 2 2 2 2 2 2" xfId="5150" xr:uid="{00000000-0005-0000-0000-00001B140000}"/>
    <cellStyle name="Normal 13 2 2 2 2 2 2 2 2 2" xfId="5151" xr:uid="{00000000-0005-0000-0000-00001C140000}"/>
    <cellStyle name="Normal 13 2 2 2 2 2 2 2 3" xfId="5152" xr:uid="{00000000-0005-0000-0000-00001D140000}"/>
    <cellStyle name="Normal 13 2 2 2 2 2 2 3" xfId="5153" xr:uid="{00000000-0005-0000-0000-00001E140000}"/>
    <cellStyle name="Normal 13 2 2 2 2 2 2 3 2" xfId="5154" xr:uid="{00000000-0005-0000-0000-00001F140000}"/>
    <cellStyle name="Normal 13 2 2 2 2 2 2 4" xfId="5155" xr:uid="{00000000-0005-0000-0000-000020140000}"/>
    <cellStyle name="Normal 13 2 2 2 2 2 3" xfId="5156" xr:uid="{00000000-0005-0000-0000-000021140000}"/>
    <cellStyle name="Normal 13 2 2 2 2 2 3 2" xfId="5157" xr:uid="{00000000-0005-0000-0000-000022140000}"/>
    <cellStyle name="Normal 13 2 2 2 2 2 3 2 2" xfId="5158" xr:uid="{00000000-0005-0000-0000-000023140000}"/>
    <cellStyle name="Normal 13 2 2 2 2 2 3 3" xfId="5159" xr:uid="{00000000-0005-0000-0000-000024140000}"/>
    <cellStyle name="Normal 13 2 2 2 2 2 4" xfId="5160" xr:uid="{00000000-0005-0000-0000-000025140000}"/>
    <cellStyle name="Normal 13 2 2 2 2 2 4 2" xfId="5161" xr:uid="{00000000-0005-0000-0000-000026140000}"/>
    <cellStyle name="Normal 13 2 2 2 2 2 5" xfId="5162" xr:uid="{00000000-0005-0000-0000-000027140000}"/>
    <cellStyle name="Normal 13 2 2 2 2 3" xfId="5163" xr:uid="{00000000-0005-0000-0000-000028140000}"/>
    <cellStyle name="Normal 13 2 2 2 2 3 2" xfId="5164" xr:uid="{00000000-0005-0000-0000-000029140000}"/>
    <cellStyle name="Normal 13 2 2 2 2 3 2 2" xfId="5165" xr:uid="{00000000-0005-0000-0000-00002A140000}"/>
    <cellStyle name="Normal 13 2 2 2 2 3 2 2 2" xfId="5166" xr:uid="{00000000-0005-0000-0000-00002B140000}"/>
    <cellStyle name="Normal 13 2 2 2 2 3 2 3" xfId="5167" xr:uid="{00000000-0005-0000-0000-00002C140000}"/>
    <cellStyle name="Normal 13 2 2 2 2 3 3" xfId="5168" xr:uid="{00000000-0005-0000-0000-00002D140000}"/>
    <cellStyle name="Normal 13 2 2 2 2 3 3 2" xfId="5169" xr:uid="{00000000-0005-0000-0000-00002E140000}"/>
    <cellStyle name="Normal 13 2 2 2 2 3 4" xfId="5170" xr:uid="{00000000-0005-0000-0000-00002F140000}"/>
    <cellStyle name="Normal 13 2 2 2 2 4" xfId="5171" xr:uid="{00000000-0005-0000-0000-000030140000}"/>
    <cellStyle name="Normal 13 2 2 2 2 4 2" xfId="5172" xr:uid="{00000000-0005-0000-0000-000031140000}"/>
    <cellStyle name="Normal 13 2 2 2 2 4 2 2" xfId="5173" xr:uid="{00000000-0005-0000-0000-000032140000}"/>
    <cellStyle name="Normal 13 2 2 2 2 4 3" xfId="5174" xr:uid="{00000000-0005-0000-0000-000033140000}"/>
    <cellStyle name="Normal 13 2 2 2 2 5" xfId="5175" xr:uid="{00000000-0005-0000-0000-000034140000}"/>
    <cellStyle name="Normal 13 2 2 2 2 5 2" xfId="5176" xr:uid="{00000000-0005-0000-0000-000035140000}"/>
    <cellStyle name="Normal 13 2 2 2 2 6" xfId="5177" xr:uid="{00000000-0005-0000-0000-000036140000}"/>
    <cellStyle name="Normal 13 2 2 2 3" xfId="5178" xr:uid="{00000000-0005-0000-0000-000037140000}"/>
    <cellStyle name="Normal 13 2 2 2 3 2" xfId="5179" xr:uid="{00000000-0005-0000-0000-000038140000}"/>
    <cellStyle name="Normal 13 2 2 2 3 2 2" xfId="5180" xr:uid="{00000000-0005-0000-0000-000039140000}"/>
    <cellStyle name="Normal 13 2 2 2 3 2 2 2" xfId="5181" xr:uid="{00000000-0005-0000-0000-00003A140000}"/>
    <cellStyle name="Normal 13 2 2 2 3 2 2 2 2" xfId="5182" xr:uid="{00000000-0005-0000-0000-00003B140000}"/>
    <cellStyle name="Normal 13 2 2 2 3 2 2 3" xfId="5183" xr:uid="{00000000-0005-0000-0000-00003C140000}"/>
    <cellStyle name="Normal 13 2 2 2 3 2 3" xfId="5184" xr:uid="{00000000-0005-0000-0000-00003D140000}"/>
    <cellStyle name="Normal 13 2 2 2 3 2 3 2" xfId="5185" xr:uid="{00000000-0005-0000-0000-00003E140000}"/>
    <cellStyle name="Normal 13 2 2 2 3 2 4" xfId="5186" xr:uid="{00000000-0005-0000-0000-00003F140000}"/>
    <cellStyle name="Normal 13 2 2 2 3 3" xfId="5187" xr:uid="{00000000-0005-0000-0000-000040140000}"/>
    <cellStyle name="Normal 13 2 2 2 3 3 2" xfId="5188" xr:uid="{00000000-0005-0000-0000-000041140000}"/>
    <cellStyle name="Normal 13 2 2 2 3 3 2 2" xfId="5189" xr:uid="{00000000-0005-0000-0000-000042140000}"/>
    <cellStyle name="Normal 13 2 2 2 3 3 3" xfId="5190" xr:uid="{00000000-0005-0000-0000-000043140000}"/>
    <cellStyle name="Normal 13 2 2 2 3 4" xfId="5191" xr:uid="{00000000-0005-0000-0000-000044140000}"/>
    <cellStyle name="Normal 13 2 2 2 3 4 2" xfId="5192" xr:uid="{00000000-0005-0000-0000-000045140000}"/>
    <cellStyle name="Normal 13 2 2 2 3 5" xfId="5193" xr:uid="{00000000-0005-0000-0000-000046140000}"/>
    <cellStyle name="Normal 13 2 2 2 4" xfId="5194" xr:uid="{00000000-0005-0000-0000-000047140000}"/>
    <cellStyle name="Normal 13 2 2 2 4 2" xfId="5195" xr:uid="{00000000-0005-0000-0000-000048140000}"/>
    <cellStyle name="Normal 13 2 2 2 4 2 2" xfId="5196" xr:uid="{00000000-0005-0000-0000-000049140000}"/>
    <cellStyle name="Normal 13 2 2 2 4 2 2 2" xfId="5197" xr:uid="{00000000-0005-0000-0000-00004A140000}"/>
    <cellStyle name="Normal 13 2 2 2 4 2 3" xfId="5198" xr:uid="{00000000-0005-0000-0000-00004B140000}"/>
    <cellStyle name="Normal 13 2 2 2 4 3" xfId="5199" xr:uid="{00000000-0005-0000-0000-00004C140000}"/>
    <cellStyle name="Normal 13 2 2 2 4 3 2" xfId="5200" xr:uid="{00000000-0005-0000-0000-00004D140000}"/>
    <cellStyle name="Normal 13 2 2 2 4 4" xfId="5201" xr:uid="{00000000-0005-0000-0000-00004E140000}"/>
    <cellStyle name="Normal 13 2 2 2 5" xfId="5202" xr:uid="{00000000-0005-0000-0000-00004F140000}"/>
    <cellStyle name="Normal 13 2 2 2 5 2" xfId="5203" xr:uid="{00000000-0005-0000-0000-000050140000}"/>
    <cellStyle name="Normal 13 2 2 2 5 2 2" xfId="5204" xr:uid="{00000000-0005-0000-0000-000051140000}"/>
    <cellStyle name="Normal 13 2 2 2 5 3" xfId="5205" xr:uid="{00000000-0005-0000-0000-000052140000}"/>
    <cellStyle name="Normal 13 2 2 2 6" xfId="5206" xr:uid="{00000000-0005-0000-0000-000053140000}"/>
    <cellStyle name="Normal 13 2 2 2 6 2" xfId="5207" xr:uid="{00000000-0005-0000-0000-000054140000}"/>
    <cellStyle name="Normal 13 2 2 2 7" xfId="5208" xr:uid="{00000000-0005-0000-0000-000055140000}"/>
    <cellStyle name="Normal 13 2 2 3" xfId="5209" xr:uid="{00000000-0005-0000-0000-000056140000}"/>
    <cellStyle name="Normal 13 2 2 3 2" xfId="5210" xr:uid="{00000000-0005-0000-0000-000057140000}"/>
    <cellStyle name="Normal 13 2 2 3 2 2" xfId="5211" xr:uid="{00000000-0005-0000-0000-000058140000}"/>
    <cellStyle name="Normal 13 2 2 3 2 2 2" xfId="5212" xr:uid="{00000000-0005-0000-0000-000059140000}"/>
    <cellStyle name="Normal 13 2 2 3 2 2 2 2" xfId="5213" xr:uid="{00000000-0005-0000-0000-00005A140000}"/>
    <cellStyle name="Normal 13 2 2 3 2 2 2 2 2" xfId="5214" xr:uid="{00000000-0005-0000-0000-00005B140000}"/>
    <cellStyle name="Normal 13 2 2 3 2 2 2 3" xfId="5215" xr:uid="{00000000-0005-0000-0000-00005C140000}"/>
    <cellStyle name="Normal 13 2 2 3 2 2 3" xfId="5216" xr:uid="{00000000-0005-0000-0000-00005D140000}"/>
    <cellStyle name="Normal 13 2 2 3 2 2 3 2" xfId="5217" xr:uid="{00000000-0005-0000-0000-00005E140000}"/>
    <cellStyle name="Normal 13 2 2 3 2 2 4" xfId="5218" xr:uid="{00000000-0005-0000-0000-00005F140000}"/>
    <cellStyle name="Normal 13 2 2 3 2 3" xfId="5219" xr:uid="{00000000-0005-0000-0000-000060140000}"/>
    <cellStyle name="Normal 13 2 2 3 2 3 2" xfId="5220" xr:uid="{00000000-0005-0000-0000-000061140000}"/>
    <cellStyle name="Normal 13 2 2 3 2 3 2 2" xfId="5221" xr:uid="{00000000-0005-0000-0000-000062140000}"/>
    <cellStyle name="Normal 13 2 2 3 2 3 3" xfId="5222" xr:uid="{00000000-0005-0000-0000-000063140000}"/>
    <cellStyle name="Normal 13 2 2 3 2 4" xfId="5223" xr:uid="{00000000-0005-0000-0000-000064140000}"/>
    <cellStyle name="Normal 13 2 2 3 2 4 2" xfId="5224" xr:uid="{00000000-0005-0000-0000-000065140000}"/>
    <cellStyle name="Normal 13 2 2 3 2 5" xfId="5225" xr:uid="{00000000-0005-0000-0000-000066140000}"/>
    <cellStyle name="Normal 13 2 2 3 3" xfId="5226" xr:uid="{00000000-0005-0000-0000-000067140000}"/>
    <cellStyle name="Normal 13 2 2 3 3 2" xfId="5227" xr:uid="{00000000-0005-0000-0000-000068140000}"/>
    <cellStyle name="Normal 13 2 2 3 3 2 2" xfId="5228" xr:uid="{00000000-0005-0000-0000-000069140000}"/>
    <cellStyle name="Normal 13 2 2 3 3 2 2 2" xfId="5229" xr:uid="{00000000-0005-0000-0000-00006A140000}"/>
    <cellStyle name="Normal 13 2 2 3 3 2 3" xfId="5230" xr:uid="{00000000-0005-0000-0000-00006B140000}"/>
    <cellStyle name="Normal 13 2 2 3 3 3" xfId="5231" xr:uid="{00000000-0005-0000-0000-00006C140000}"/>
    <cellStyle name="Normal 13 2 2 3 3 3 2" xfId="5232" xr:uid="{00000000-0005-0000-0000-00006D140000}"/>
    <cellStyle name="Normal 13 2 2 3 3 4" xfId="5233" xr:uid="{00000000-0005-0000-0000-00006E140000}"/>
    <cellStyle name="Normal 13 2 2 3 4" xfId="5234" xr:uid="{00000000-0005-0000-0000-00006F140000}"/>
    <cellStyle name="Normal 13 2 2 3 4 2" xfId="5235" xr:uid="{00000000-0005-0000-0000-000070140000}"/>
    <cellStyle name="Normal 13 2 2 3 4 2 2" xfId="5236" xr:uid="{00000000-0005-0000-0000-000071140000}"/>
    <cellStyle name="Normal 13 2 2 3 4 3" xfId="5237" xr:uid="{00000000-0005-0000-0000-000072140000}"/>
    <cellStyle name="Normal 13 2 2 3 5" xfId="5238" xr:uid="{00000000-0005-0000-0000-000073140000}"/>
    <cellStyle name="Normal 13 2 2 3 5 2" xfId="5239" xr:uid="{00000000-0005-0000-0000-000074140000}"/>
    <cellStyle name="Normal 13 2 2 3 6" xfId="5240" xr:uid="{00000000-0005-0000-0000-000075140000}"/>
    <cellStyle name="Normal 13 2 2 4" xfId="5241" xr:uid="{00000000-0005-0000-0000-000076140000}"/>
    <cellStyle name="Normal 13 2 2 4 2" xfId="5242" xr:uid="{00000000-0005-0000-0000-000077140000}"/>
    <cellStyle name="Normal 13 2 2 4 2 2" xfId="5243" xr:uid="{00000000-0005-0000-0000-000078140000}"/>
    <cellStyle name="Normal 13 2 2 4 2 2 2" xfId="5244" xr:uid="{00000000-0005-0000-0000-000079140000}"/>
    <cellStyle name="Normal 13 2 2 4 2 2 2 2" xfId="5245" xr:uid="{00000000-0005-0000-0000-00007A140000}"/>
    <cellStyle name="Normal 13 2 2 4 2 2 3" xfId="5246" xr:uid="{00000000-0005-0000-0000-00007B140000}"/>
    <cellStyle name="Normal 13 2 2 4 2 3" xfId="5247" xr:uid="{00000000-0005-0000-0000-00007C140000}"/>
    <cellStyle name="Normal 13 2 2 4 2 3 2" xfId="5248" xr:uid="{00000000-0005-0000-0000-00007D140000}"/>
    <cellStyle name="Normal 13 2 2 4 2 4" xfId="5249" xr:uid="{00000000-0005-0000-0000-00007E140000}"/>
    <cellStyle name="Normal 13 2 2 4 3" xfId="5250" xr:uid="{00000000-0005-0000-0000-00007F140000}"/>
    <cellStyle name="Normal 13 2 2 4 3 2" xfId="5251" xr:uid="{00000000-0005-0000-0000-000080140000}"/>
    <cellStyle name="Normal 13 2 2 4 3 2 2" xfId="5252" xr:uid="{00000000-0005-0000-0000-000081140000}"/>
    <cellStyle name="Normal 13 2 2 4 3 3" xfId="5253" xr:uid="{00000000-0005-0000-0000-000082140000}"/>
    <cellStyle name="Normal 13 2 2 4 4" xfId="5254" xr:uid="{00000000-0005-0000-0000-000083140000}"/>
    <cellStyle name="Normal 13 2 2 4 4 2" xfId="5255" xr:uid="{00000000-0005-0000-0000-000084140000}"/>
    <cellStyle name="Normal 13 2 2 4 5" xfId="5256" xr:uid="{00000000-0005-0000-0000-000085140000}"/>
    <cellStyle name="Normal 13 2 2 5" xfId="5257" xr:uid="{00000000-0005-0000-0000-000086140000}"/>
    <cellStyle name="Normal 13 2 2 5 2" xfId="5258" xr:uid="{00000000-0005-0000-0000-000087140000}"/>
    <cellStyle name="Normal 13 2 2 5 2 2" xfId="5259" xr:uid="{00000000-0005-0000-0000-000088140000}"/>
    <cellStyle name="Normal 13 2 2 5 2 2 2" xfId="5260" xr:uid="{00000000-0005-0000-0000-000089140000}"/>
    <cellStyle name="Normal 13 2 2 5 2 3" xfId="5261" xr:uid="{00000000-0005-0000-0000-00008A140000}"/>
    <cellStyle name="Normal 13 2 2 5 3" xfId="5262" xr:uid="{00000000-0005-0000-0000-00008B140000}"/>
    <cellStyle name="Normal 13 2 2 5 3 2" xfId="5263" xr:uid="{00000000-0005-0000-0000-00008C140000}"/>
    <cellStyle name="Normal 13 2 2 5 4" xfId="5264" xr:uid="{00000000-0005-0000-0000-00008D140000}"/>
    <cellStyle name="Normal 13 2 2 6" xfId="5265" xr:uid="{00000000-0005-0000-0000-00008E140000}"/>
    <cellStyle name="Normal 13 2 2 6 2" xfId="5266" xr:uid="{00000000-0005-0000-0000-00008F140000}"/>
    <cellStyle name="Normal 13 2 2 6 2 2" xfId="5267" xr:uid="{00000000-0005-0000-0000-000090140000}"/>
    <cellStyle name="Normal 13 2 2 6 3" xfId="5268" xr:uid="{00000000-0005-0000-0000-000091140000}"/>
    <cellStyle name="Normal 13 2 2 7" xfId="5269" xr:uid="{00000000-0005-0000-0000-000092140000}"/>
    <cellStyle name="Normal 13 2 2 7 2" xfId="5270" xr:uid="{00000000-0005-0000-0000-000093140000}"/>
    <cellStyle name="Normal 13 2 2 8" xfId="5271" xr:uid="{00000000-0005-0000-0000-000094140000}"/>
    <cellStyle name="Normal 13 2 3" xfId="5272" xr:uid="{00000000-0005-0000-0000-000095140000}"/>
    <cellStyle name="Normal 13 2 3 2" xfId="5273" xr:uid="{00000000-0005-0000-0000-000096140000}"/>
    <cellStyle name="Normal 13 2 3 2 2" xfId="5274" xr:uid="{00000000-0005-0000-0000-000097140000}"/>
    <cellStyle name="Normal 13 2 3 2 2 2" xfId="5275" xr:uid="{00000000-0005-0000-0000-000098140000}"/>
    <cellStyle name="Normal 13 2 3 2 2 2 2" xfId="5276" xr:uid="{00000000-0005-0000-0000-000099140000}"/>
    <cellStyle name="Normal 13 2 3 2 2 2 2 2" xfId="5277" xr:uid="{00000000-0005-0000-0000-00009A140000}"/>
    <cellStyle name="Normal 13 2 3 2 2 2 2 2 2" xfId="5278" xr:uid="{00000000-0005-0000-0000-00009B140000}"/>
    <cellStyle name="Normal 13 2 3 2 2 2 2 3" xfId="5279" xr:uid="{00000000-0005-0000-0000-00009C140000}"/>
    <cellStyle name="Normal 13 2 3 2 2 2 3" xfId="5280" xr:uid="{00000000-0005-0000-0000-00009D140000}"/>
    <cellStyle name="Normal 13 2 3 2 2 2 3 2" xfId="5281" xr:uid="{00000000-0005-0000-0000-00009E140000}"/>
    <cellStyle name="Normal 13 2 3 2 2 2 4" xfId="5282" xr:uid="{00000000-0005-0000-0000-00009F140000}"/>
    <cellStyle name="Normal 13 2 3 2 2 3" xfId="5283" xr:uid="{00000000-0005-0000-0000-0000A0140000}"/>
    <cellStyle name="Normal 13 2 3 2 2 3 2" xfId="5284" xr:uid="{00000000-0005-0000-0000-0000A1140000}"/>
    <cellStyle name="Normal 13 2 3 2 2 3 2 2" xfId="5285" xr:uid="{00000000-0005-0000-0000-0000A2140000}"/>
    <cellStyle name="Normal 13 2 3 2 2 3 3" xfId="5286" xr:uid="{00000000-0005-0000-0000-0000A3140000}"/>
    <cellStyle name="Normal 13 2 3 2 2 4" xfId="5287" xr:uid="{00000000-0005-0000-0000-0000A4140000}"/>
    <cellStyle name="Normal 13 2 3 2 2 4 2" xfId="5288" xr:uid="{00000000-0005-0000-0000-0000A5140000}"/>
    <cellStyle name="Normal 13 2 3 2 2 5" xfId="5289" xr:uid="{00000000-0005-0000-0000-0000A6140000}"/>
    <cellStyle name="Normal 13 2 3 2 3" xfId="5290" xr:uid="{00000000-0005-0000-0000-0000A7140000}"/>
    <cellStyle name="Normal 13 2 3 2 3 2" xfId="5291" xr:uid="{00000000-0005-0000-0000-0000A8140000}"/>
    <cellStyle name="Normal 13 2 3 2 3 2 2" xfId="5292" xr:uid="{00000000-0005-0000-0000-0000A9140000}"/>
    <cellStyle name="Normal 13 2 3 2 3 2 2 2" xfId="5293" xr:uid="{00000000-0005-0000-0000-0000AA140000}"/>
    <cellStyle name="Normal 13 2 3 2 3 2 3" xfId="5294" xr:uid="{00000000-0005-0000-0000-0000AB140000}"/>
    <cellStyle name="Normal 13 2 3 2 3 3" xfId="5295" xr:uid="{00000000-0005-0000-0000-0000AC140000}"/>
    <cellStyle name="Normal 13 2 3 2 3 3 2" xfId="5296" xr:uid="{00000000-0005-0000-0000-0000AD140000}"/>
    <cellStyle name="Normal 13 2 3 2 3 4" xfId="5297" xr:uid="{00000000-0005-0000-0000-0000AE140000}"/>
    <cellStyle name="Normal 13 2 3 2 4" xfId="5298" xr:uid="{00000000-0005-0000-0000-0000AF140000}"/>
    <cellStyle name="Normal 13 2 3 2 4 2" xfId="5299" xr:uid="{00000000-0005-0000-0000-0000B0140000}"/>
    <cellStyle name="Normal 13 2 3 2 4 2 2" xfId="5300" xr:uid="{00000000-0005-0000-0000-0000B1140000}"/>
    <cellStyle name="Normal 13 2 3 2 4 3" xfId="5301" xr:uid="{00000000-0005-0000-0000-0000B2140000}"/>
    <cellStyle name="Normal 13 2 3 2 5" xfId="5302" xr:uid="{00000000-0005-0000-0000-0000B3140000}"/>
    <cellStyle name="Normal 13 2 3 2 5 2" xfId="5303" xr:uid="{00000000-0005-0000-0000-0000B4140000}"/>
    <cellStyle name="Normal 13 2 3 2 6" xfId="5304" xr:uid="{00000000-0005-0000-0000-0000B5140000}"/>
    <cellStyle name="Normal 13 2 3 3" xfId="5305" xr:uid="{00000000-0005-0000-0000-0000B6140000}"/>
    <cellStyle name="Normal 13 2 3 3 2" xfId="5306" xr:uid="{00000000-0005-0000-0000-0000B7140000}"/>
    <cellStyle name="Normal 13 2 3 3 2 2" xfId="5307" xr:uid="{00000000-0005-0000-0000-0000B8140000}"/>
    <cellStyle name="Normal 13 2 3 3 2 2 2" xfId="5308" xr:uid="{00000000-0005-0000-0000-0000B9140000}"/>
    <cellStyle name="Normal 13 2 3 3 2 2 2 2" xfId="5309" xr:uid="{00000000-0005-0000-0000-0000BA140000}"/>
    <cellStyle name="Normal 13 2 3 3 2 2 3" xfId="5310" xr:uid="{00000000-0005-0000-0000-0000BB140000}"/>
    <cellStyle name="Normal 13 2 3 3 2 3" xfId="5311" xr:uid="{00000000-0005-0000-0000-0000BC140000}"/>
    <cellStyle name="Normal 13 2 3 3 2 3 2" xfId="5312" xr:uid="{00000000-0005-0000-0000-0000BD140000}"/>
    <cellStyle name="Normal 13 2 3 3 2 4" xfId="5313" xr:uid="{00000000-0005-0000-0000-0000BE140000}"/>
    <cellStyle name="Normal 13 2 3 3 3" xfId="5314" xr:uid="{00000000-0005-0000-0000-0000BF140000}"/>
    <cellStyle name="Normal 13 2 3 3 3 2" xfId="5315" xr:uid="{00000000-0005-0000-0000-0000C0140000}"/>
    <cellStyle name="Normal 13 2 3 3 3 2 2" xfId="5316" xr:uid="{00000000-0005-0000-0000-0000C1140000}"/>
    <cellStyle name="Normal 13 2 3 3 3 3" xfId="5317" xr:uid="{00000000-0005-0000-0000-0000C2140000}"/>
    <cellStyle name="Normal 13 2 3 3 4" xfId="5318" xr:uid="{00000000-0005-0000-0000-0000C3140000}"/>
    <cellStyle name="Normal 13 2 3 3 4 2" xfId="5319" xr:uid="{00000000-0005-0000-0000-0000C4140000}"/>
    <cellStyle name="Normal 13 2 3 3 5" xfId="5320" xr:uid="{00000000-0005-0000-0000-0000C5140000}"/>
    <cellStyle name="Normal 13 2 3 4" xfId="5321" xr:uid="{00000000-0005-0000-0000-0000C6140000}"/>
    <cellStyle name="Normal 13 2 3 4 2" xfId="5322" xr:uid="{00000000-0005-0000-0000-0000C7140000}"/>
    <cellStyle name="Normal 13 2 3 4 2 2" xfId="5323" xr:uid="{00000000-0005-0000-0000-0000C8140000}"/>
    <cellStyle name="Normal 13 2 3 4 2 2 2" xfId="5324" xr:uid="{00000000-0005-0000-0000-0000C9140000}"/>
    <cellStyle name="Normal 13 2 3 4 2 3" xfId="5325" xr:uid="{00000000-0005-0000-0000-0000CA140000}"/>
    <cellStyle name="Normal 13 2 3 4 3" xfId="5326" xr:uid="{00000000-0005-0000-0000-0000CB140000}"/>
    <cellStyle name="Normal 13 2 3 4 3 2" xfId="5327" xr:uid="{00000000-0005-0000-0000-0000CC140000}"/>
    <cellStyle name="Normal 13 2 3 4 4" xfId="5328" xr:uid="{00000000-0005-0000-0000-0000CD140000}"/>
    <cellStyle name="Normal 13 2 3 5" xfId="5329" xr:uid="{00000000-0005-0000-0000-0000CE140000}"/>
    <cellStyle name="Normal 13 2 3 5 2" xfId="5330" xr:uid="{00000000-0005-0000-0000-0000CF140000}"/>
    <cellStyle name="Normal 13 2 3 5 2 2" xfId="5331" xr:uid="{00000000-0005-0000-0000-0000D0140000}"/>
    <cellStyle name="Normal 13 2 3 5 3" xfId="5332" xr:uid="{00000000-0005-0000-0000-0000D1140000}"/>
    <cellStyle name="Normal 13 2 3 6" xfId="5333" xr:uid="{00000000-0005-0000-0000-0000D2140000}"/>
    <cellStyle name="Normal 13 2 3 6 2" xfId="5334" xr:uid="{00000000-0005-0000-0000-0000D3140000}"/>
    <cellStyle name="Normal 13 2 3 7" xfId="5335" xr:uid="{00000000-0005-0000-0000-0000D4140000}"/>
    <cellStyle name="Normal 13 2 4" xfId="5336" xr:uid="{00000000-0005-0000-0000-0000D5140000}"/>
    <cellStyle name="Normal 13 2 4 2" xfId="5337" xr:uid="{00000000-0005-0000-0000-0000D6140000}"/>
    <cellStyle name="Normal 13 2 4 2 2" xfId="5338" xr:uid="{00000000-0005-0000-0000-0000D7140000}"/>
    <cellStyle name="Normal 13 2 4 2 2 2" xfId="5339" xr:uid="{00000000-0005-0000-0000-0000D8140000}"/>
    <cellStyle name="Normal 13 2 4 2 2 2 2" xfId="5340" xr:uid="{00000000-0005-0000-0000-0000D9140000}"/>
    <cellStyle name="Normal 13 2 4 2 2 2 2 2" xfId="5341" xr:uid="{00000000-0005-0000-0000-0000DA140000}"/>
    <cellStyle name="Normal 13 2 4 2 2 2 3" xfId="5342" xr:uid="{00000000-0005-0000-0000-0000DB140000}"/>
    <cellStyle name="Normal 13 2 4 2 2 3" xfId="5343" xr:uid="{00000000-0005-0000-0000-0000DC140000}"/>
    <cellStyle name="Normal 13 2 4 2 2 3 2" xfId="5344" xr:uid="{00000000-0005-0000-0000-0000DD140000}"/>
    <cellStyle name="Normal 13 2 4 2 2 4" xfId="5345" xr:uid="{00000000-0005-0000-0000-0000DE140000}"/>
    <cellStyle name="Normal 13 2 4 2 3" xfId="5346" xr:uid="{00000000-0005-0000-0000-0000DF140000}"/>
    <cellStyle name="Normal 13 2 4 2 3 2" xfId="5347" xr:uid="{00000000-0005-0000-0000-0000E0140000}"/>
    <cellStyle name="Normal 13 2 4 2 3 2 2" xfId="5348" xr:uid="{00000000-0005-0000-0000-0000E1140000}"/>
    <cellStyle name="Normal 13 2 4 2 3 3" xfId="5349" xr:uid="{00000000-0005-0000-0000-0000E2140000}"/>
    <cellStyle name="Normal 13 2 4 2 4" xfId="5350" xr:uid="{00000000-0005-0000-0000-0000E3140000}"/>
    <cellStyle name="Normal 13 2 4 2 4 2" xfId="5351" xr:uid="{00000000-0005-0000-0000-0000E4140000}"/>
    <cellStyle name="Normal 13 2 4 2 5" xfId="5352" xr:uid="{00000000-0005-0000-0000-0000E5140000}"/>
    <cellStyle name="Normal 13 2 4 3" xfId="5353" xr:uid="{00000000-0005-0000-0000-0000E6140000}"/>
    <cellStyle name="Normal 13 2 4 3 2" xfId="5354" xr:uid="{00000000-0005-0000-0000-0000E7140000}"/>
    <cellStyle name="Normal 13 2 4 3 2 2" xfId="5355" xr:uid="{00000000-0005-0000-0000-0000E8140000}"/>
    <cellStyle name="Normal 13 2 4 3 2 2 2" xfId="5356" xr:uid="{00000000-0005-0000-0000-0000E9140000}"/>
    <cellStyle name="Normal 13 2 4 3 2 3" xfId="5357" xr:uid="{00000000-0005-0000-0000-0000EA140000}"/>
    <cellStyle name="Normal 13 2 4 3 3" xfId="5358" xr:uid="{00000000-0005-0000-0000-0000EB140000}"/>
    <cellStyle name="Normal 13 2 4 3 3 2" xfId="5359" xr:uid="{00000000-0005-0000-0000-0000EC140000}"/>
    <cellStyle name="Normal 13 2 4 3 4" xfId="5360" xr:uid="{00000000-0005-0000-0000-0000ED140000}"/>
    <cellStyle name="Normal 13 2 4 4" xfId="5361" xr:uid="{00000000-0005-0000-0000-0000EE140000}"/>
    <cellStyle name="Normal 13 2 4 4 2" xfId="5362" xr:uid="{00000000-0005-0000-0000-0000EF140000}"/>
    <cellStyle name="Normal 13 2 4 4 2 2" xfId="5363" xr:uid="{00000000-0005-0000-0000-0000F0140000}"/>
    <cellStyle name="Normal 13 2 4 4 3" xfId="5364" xr:uid="{00000000-0005-0000-0000-0000F1140000}"/>
    <cellStyle name="Normal 13 2 4 5" xfId="5365" xr:uid="{00000000-0005-0000-0000-0000F2140000}"/>
    <cellStyle name="Normal 13 2 4 5 2" xfId="5366" xr:uid="{00000000-0005-0000-0000-0000F3140000}"/>
    <cellStyle name="Normal 13 2 4 6" xfId="5367" xr:uid="{00000000-0005-0000-0000-0000F4140000}"/>
    <cellStyle name="Normal 13 2 5" xfId="5368" xr:uid="{00000000-0005-0000-0000-0000F5140000}"/>
    <cellStyle name="Normal 13 2 5 2" xfId="5369" xr:uid="{00000000-0005-0000-0000-0000F6140000}"/>
    <cellStyle name="Normal 13 2 5 2 2" xfId="5370" xr:uid="{00000000-0005-0000-0000-0000F7140000}"/>
    <cellStyle name="Normal 13 2 5 2 2 2" xfId="5371" xr:uid="{00000000-0005-0000-0000-0000F8140000}"/>
    <cellStyle name="Normal 13 2 5 2 2 2 2" xfId="5372" xr:uid="{00000000-0005-0000-0000-0000F9140000}"/>
    <cellStyle name="Normal 13 2 5 2 2 3" xfId="5373" xr:uid="{00000000-0005-0000-0000-0000FA140000}"/>
    <cellStyle name="Normal 13 2 5 2 3" xfId="5374" xr:uid="{00000000-0005-0000-0000-0000FB140000}"/>
    <cellStyle name="Normal 13 2 5 2 3 2" xfId="5375" xr:uid="{00000000-0005-0000-0000-0000FC140000}"/>
    <cellStyle name="Normal 13 2 5 2 4" xfId="5376" xr:uid="{00000000-0005-0000-0000-0000FD140000}"/>
    <cellStyle name="Normal 13 2 5 3" xfId="5377" xr:uid="{00000000-0005-0000-0000-0000FE140000}"/>
    <cellStyle name="Normal 13 2 5 3 2" xfId="5378" xr:uid="{00000000-0005-0000-0000-0000FF140000}"/>
    <cellStyle name="Normal 13 2 5 3 2 2" xfId="5379" xr:uid="{00000000-0005-0000-0000-000000150000}"/>
    <cellStyle name="Normal 13 2 5 3 3" xfId="5380" xr:uid="{00000000-0005-0000-0000-000001150000}"/>
    <cellStyle name="Normal 13 2 5 4" xfId="5381" xr:uid="{00000000-0005-0000-0000-000002150000}"/>
    <cellStyle name="Normal 13 2 5 4 2" xfId="5382" xr:uid="{00000000-0005-0000-0000-000003150000}"/>
    <cellStyle name="Normal 13 2 5 5" xfId="5383" xr:uid="{00000000-0005-0000-0000-000004150000}"/>
    <cellStyle name="Normal 13 2 6" xfId="5384" xr:uid="{00000000-0005-0000-0000-000005150000}"/>
    <cellStyle name="Normal 13 2 6 2" xfId="5385" xr:uid="{00000000-0005-0000-0000-000006150000}"/>
    <cellStyle name="Normal 13 2 6 2 2" xfId="5386" xr:uid="{00000000-0005-0000-0000-000007150000}"/>
    <cellStyle name="Normal 13 2 6 2 2 2" xfId="5387" xr:uid="{00000000-0005-0000-0000-000008150000}"/>
    <cellStyle name="Normal 13 2 6 2 3" xfId="5388" xr:uid="{00000000-0005-0000-0000-000009150000}"/>
    <cellStyle name="Normal 13 2 6 3" xfId="5389" xr:uid="{00000000-0005-0000-0000-00000A150000}"/>
    <cellStyle name="Normal 13 2 6 3 2" xfId="5390" xr:uid="{00000000-0005-0000-0000-00000B150000}"/>
    <cellStyle name="Normal 13 2 6 4" xfId="5391" xr:uid="{00000000-0005-0000-0000-00000C150000}"/>
    <cellStyle name="Normal 13 2 7" xfId="5392" xr:uid="{00000000-0005-0000-0000-00000D150000}"/>
    <cellStyle name="Normal 13 2 7 2" xfId="5393" xr:uid="{00000000-0005-0000-0000-00000E150000}"/>
    <cellStyle name="Normal 13 2 7 2 2" xfId="5394" xr:uid="{00000000-0005-0000-0000-00000F150000}"/>
    <cellStyle name="Normal 13 2 7 3" xfId="5395" xr:uid="{00000000-0005-0000-0000-000010150000}"/>
    <cellStyle name="Normal 13 2 8" xfId="5396" xr:uid="{00000000-0005-0000-0000-000011150000}"/>
    <cellStyle name="Normal 13 2 8 2" xfId="5397" xr:uid="{00000000-0005-0000-0000-000012150000}"/>
    <cellStyle name="Normal 13 2 9" xfId="5398" xr:uid="{00000000-0005-0000-0000-000013150000}"/>
    <cellStyle name="Normal 13 3" xfId="5399" xr:uid="{00000000-0005-0000-0000-000014150000}"/>
    <cellStyle name="Normal 13 3 2" xfId="5400" xr:uid="{00000000-0005-0000-0000-000015150000}"/>
    <cellStyle name="Normal 13 3 2 2" xfId="5401" xr:uid="{00000000-0005-0000-0000-000016150000}"/>
    <cellStyle name="Normal 13 3 2 2 2" xfId="5402" xr:uid="{00000000-0005-0000-0000-000017150000}"/>
    <cellStyle name="Normal 13 3 2 2 2 2" xfId="5403" xr:uid="{00000000-0005-0000-0000-000018150000}"/>
    <cellStyle name="Normal 13 3 2 2 2 2 2" xfId="5404" xr:uid="{00000000-0005-0000-0000-000019150000}"/>
    <cellStyle name="Normal 13 3 2 2 2 2 2 2" xfId="5405" xr:uid="{00000000-0005-0000-0000-00001A150000}"/>
    <cellStyle name="Normal 13 3 2 2 2 2 2 2 2" xfId="5406" xr:uid="{00000000-0005-0000-0000-00001B150000}"/>
    <cellStyle name="Normal 13 3 2 2 2 2 2 3" xfId="5407" xr:uid="{00000000-0005-0000-0000-00001C150000}"/>
    <cellStyle name="Normal 13 3 2 2 2 2 3" xfId="5408" xr:uid="{00000000-0005-0000-0000-00001D150000}"/>
    <cellStyle name="Normal 13 3 2 2 2 2 3 2" xfId="5409" xr:uid="{00000000-0005-0000-0000-00001E150000}"/>
    <cellStyle name="Normal 13 3 2 2 2 2 4" xfId="5410" xr:uid="{00000000-0005-0000-0000-00001F150000}"/>
    <cellStyle name="Normal 13 3 2 2 2 3" xfId="5411" xr:uid="{00000000-0005-0000-0000-000020150000}"/>
    <cellStyle name="Normal 13 3 2 2 2 3 2" xfId="5412" xr:uid="{00000000-0005-0000-0000-000021150000}"/>
    <cellStyle name="Normal 13 3 2 2 2 3 2 2" xfId="5413" xr:uid="{00000000-0005-0000-0000-000022150000}"/>
    <cellStyle name="Normal 13 3 2 2 2 3 3" xfId="5414" xr:uid="{00000000-0005-0000-0000-000023150000}"/>
    <cellStyle name="Normal 13 3 2 2 2 4" xfId="5415" xr:uid="{00000000-0005-0000-0000-000024150000}"/>
    <cellStyle name="Normal 13 3 2 2 2 4 2" xfId="5416" xr:uid="{00000000-0005-0000-0000-000025150000}"/>
    <cellStyle name="Normal 13 3 2 2 2 5" xfId="5417" xr:uid="{00000000-0005-0000-0000-000026150000}"/>
    <cellStyle name="Normal 13 3 2 2 3" xfId="5418" xr:uid="{00000000-0005-0000-0000-000027150000}"/>
    <cellStyle name="Normal 13 3 2 2 3 2" xfId="5419" xr:uid="{00000000-0005-0000-0000-000028150000}"/>
    <cellStyle name="Normal 13 3 2 2 3 2 2" xfId="5420" xr:uid="{00000000-0005-0000-0000-000029150000}"/>
    <cellStyle name="Normal 13 3 2 2 3 2 2 2" xfId="5421" xr:uid="{00000000-0005-0000-0000-00002A150000}"/>
    <cellStyle name="Normal 13 3 2 2 3 2 3" xfId="5422" xr:uid="{00000000-0005-0000-0000-00002B150000}"/>
    <cellStyle name="Normal 13 3 2 2 3 3" xfId="5423" xr:uid="{00000000-0005-0000-0000-00002C150000}"/>
    <cellStyle name="Normal 13 3 2 2 3 3 2" xfId="5424" xr:uid="{00000000-0005-0000-0000-00002D150000}"/>
    <cellStyle name="Normal 13 3 2 2 3 4" xfId="5425" xr:uid="{00000000-0005-0000-0000-00002E150000}"/>
    <cellStyle name="Normal 13 3 2 2 4" xfId="5426" xr:uid="{00000000-0005-0000-0000-00002F150000}"/>
    <cellStyle name="Normal 13 3 2 2 4 2" xfId="5427" xr:uid="{00000000-0005-0000-0000-000030150000}"/>
    <cellStyle name="Normal 13 3 2 2 4 2 2" xfId="5428" xr:uid="{00000000-0005-0000-0000-000031150000}"/>
    <cellStyle name="Normal 13 3 2 2 4 3" xfId="5429" xr:uid="{00000000-0005-0000-0000-000032150000}"/>
    <cellStyle name="Normal 13 3 2 2 5" xfId="5430" xr:uid="{00000000-0005-0000-0000-000033150000}"/>
    <cellStyle name="Normal 13 3 2 2 5 2" xfId="5431" xr:uid="{00000000-0005-0000-0000-000034150000}"/>
    <cellStyle name="Normal 13 3 2 2 6" xfId="5432" xr:uid="{00000000-0005-0000-0000-000035150000}"/>
    <cellStyle name="Normal 13 3 2 3" xfId="5433" xr:uid="{00000000-0005-0000-0000-000036150000}"/>
    <cellStyle name="Normal 13 3 2 3 2" xfId="5434" xr:uid="{00000000-0005-0000-0000-000037150000}"/>
    <cellStyle name="Normal 13 3 2 3 2 2" xfId="5435" xr:uid="{00000000-0005-0000-0000-000038150000}"/>
    <cellStyle name="Normal 13 3 2 3 2 2 2" xfId="5436" xr:uid="{00000000-0005-0000-0000-000039150000}"/>
    <cellStyle name="Normal 13 3 2 3 2 2 2 2" xfId="5437" xr:uid="{00000000-0005-0000-0000-00003A150000}"/>
    <cellStyle name="Normal 13 3 2 3 2 2 3" xfId="5438" xr:uid="{00000000-0005-0000-0000-00003B150000}"/>
    <cellStyle name="Normal 13 3 2 3 2 3" xfId="5439" xr:uid="{00000000-0005-0000-0000-00003C150000}"/>
    <cellStyle name="Normal 13 3 2 3 2 3 2" xfId="5440" xr:uid="{00000000-0005-0000-0000-00003D150000}"/>
    <cellStyle name="Normal 13 3 2 3 2 4" xfId="5441" xr:uid="{00000000-0005-0000-0000-00003E150000}"/>
    <cellStyle name="Normal 13 3 2 3 3" xfId="5442" xr:uid="{00000000-0005-0000-0000-00003F150000}"/>
    <cellStyle name="Normal 13 3 2 3 3 2" xfId="5443" xr:uid="{00000000-0005-0000-0000-000040150000}"/>
    <cellStyle name="Normal 13 3 2 3 3 2 2" xfId="5444" xr:uid="{00000000-0005-0000-0000-000041150000}"/>
    <cellStyle name="Normal 13 3 2 3 3 3" xfId="5445" xr:uid="{00000000-0005-0000-0000-000042150000}"/>
    <cellStyle name="Normal 13 3 2 3 4" xfId="5446" xr:uid="{00000000-0005-0000-0000-000043150000}"/>
    <cellStyle name="Normal 13 3 2 3 4 2" xfId="5447" xr:uid="{00000000-0005-0000-0000-000044150000}"/>
    <cellStyle name="Normal 13 3 2 3 5" xfId="5448" xr:uid="{00000000-0005-0000-0000-000045150000}"/>
    <cellStyle name="Normal 13 3 2 4" xfId="5449" xr:uid="{00000000-0005-0000-0000-000046150000}"/>
    <cellStyle name="Normal 13 3 2 4 2" xfId="5450" xr:uid="{00000000-0005-0000-0000-000047150000}"/>
    <cellStyle name="Normal 13 3 2 4 2 2" xfId="5451" xr:uid="{00000000-0005-0000-0000-000048150000}"/>
    <cellStyle name="Normal 13 3 2 4 2 2 2" xfId="5452" xr:uid="{00000000-0005-0000-0000-000049150000}"/>
    <cellStyle name="Normal 13 3 2 4 2 3" xfId="5453" xr:uid="{00000000-0005-0000-0000-00004A150000}"/>
    <cellStyle name="Normal 13 3 2 4 3" xfId="5454" xr:uid="{00000000-0005-0000-0000-00004B150000}"/>
    <cellStyle name="Normal 13 3 2 4 3 2" xfId="5455" xr:uid="{00000000-0005-0000-0000-00004C150000}"/>
    <cellStyle name="Normal 13 3 2 4 4" xfId="5456" xr:uid="{00000000-0005-0000-0000-00004D150000}"/>
    <cellStyle name="Normal 13 3 2 5" xfId="5457" xr:uid="{00000000-0005-0000-0000-00004E150000}"/>
    <cellStyle name="Normal 13 3 2 5 2" xfId="5458" xr:uid="{00000000-0005-0000-0000-00004F150000}"/>
    <cellStyle name="Normal 13 3 2 5 2 2" xfId="5459" xr:uid="{00000000-0005-0000-0000-000050150000}"/>
    <cellStyle name="Normal 13 3 2 5 3" xfId="5460" xr:uid="{00000000-0005-0000-0000-000051150000}"/>
    <cellStyle name="Normal 13 3 2 6" xfId="5461" xr:uid="{00000000-0005-0000-0000-000052150000}"/>
    <cellStyle name="Normal 13 3 2 6 2" xfId="5462" xr:uid="{00000000-0005-0000-0000-000053150000}"/>
    <cellStyle name="Normal 13 3 2 7" xfId="5463" xr:uid="{00000000-0005-0000-0000-000054150000}"/>
    <cellStyle name="Normal 13 3 3" xfId="5464" xr:uid="{00000000-0005-0000-0000-000055150000}"/>
    <cellStyle name="Normal 13 3 4" xfId="5465" xr:uid="{00000000-0005-0000-0000-000056150000}"/>
    <cellStyle name="Normal 13 3 4 2" xfId="5466" xr:uid="{00000000-0005-0000-0000-000057150000}"/>
    <cellStyle name="Normal 13 3 5" xfId="5467" xr:uid="{00000000-0005-0000-0000-000058150000}"/>
    <cellStyle name="Normal 13 4" xfId="5468" xr:uid="{00000000-0005-0000-0000-000059150000}"/>
    <cellStyle name="Normal 13 4 2" xfId="5469" xr:uid="{00000000-0005-0000-0000-00005A150000}"/>
    <cellStyle name="Normal 13 4 2 2" xfId="5470" xr:uid="{00000000-0005-0000-0000-00005B150000}"/>
    <cellStyle name="Normal 13 4 2 2 2" xfId="5471" xr:uid="{00000000-0005-0000-0000-00005C150000}"/>
    <cellStyle name="Normal 13 4 2 2 2 2" xfId="5472" xr:uid="{00000000-0005-0000-0000-00005D150000}"/>
    <cellStyle name="Normal 13 4 2 2 2 2 2" xfId="5473" xr:uid="{00000000-0005-0000-0000-00005E150000}"/>
    <cellStyle name="Normal 13 4 2 2 2 2 2 2" xfId="5474" xr:uid="{00000000-0005-0000-0000-00005F150000}"/>
    <cellStyle name="Normal 13 4 2 2 2 2 3" xfId="5475" xr:uid="{00000000-0005-0000-0000-000060150000}"/>
    <cellStyle name="Normal 13 4 2 2 2 3" xfId="5476" xr:uid="{00000000-0005-0000-0000-000061150000}"/>
    <cellStyle name="Normal 13 4 2 2 2 3 2" xfId="5477" xr:uid="{00000000-0005-0000-0000-000062150000}"/>
    <cellStyle name="Normal 13 4 2 2 2 4" xfId="5478" xr:uid="{00000000-0005-0000-0000-000063150000}"/>
    <cellStyle name="Normal 13 4 2 2 3" xfId="5479" xr:uid="{00000000-0005-0000-0000-000064150000}"/>
    <cellStyle name="Normal 13 4 2 2 3 2" xfId="5480" xr:uid="{00000000-0005-0000-0000-000065150000}"/>
    <cellStyle name="Normal 13 4 2 2 3 2 2" xfId="5481" xr:uid="{00000000-0005-0000-0000-000066150000}"/>
    <cellStyle name="Normal 13 4 2 2 3 3" xfId="5482" xr:uid="{00000000-0005-0000-0000-000067150000}"/>
    <cellStyle name="Normal 13 4 2 2 4" xfId="5483" xr:uid="{00000000-0005-0000-0000-000068150000}"/>
    <cellStyle name="Normal 13 4 2 2 4 2" xfId="5484" xr:uid="{00000000-0005-0000-0000-000069150000}"/>
    <cellStyle name="Normal 13 4 2 2 5" xfId="5485" xr:uid="{00000000-0005-0000-0000-00006A150000}"/>
    <cellStyle name="Normal 13 4 2 3" xfId="5486" xr:uid="{00000000-0005-0000-0000-00006B150000}"/>
    <cellStyle name="Normal 13 4 2 3 2" xfId="5487" xr:uid="{00000000-0005-0000-0000-00006C150000}"/>
    <cellStyle name="Normal 13 4 2 3 2 2" xfId="5488" xr:uid="{00000000-0005-0000-0000-00006D150000}"/>
    <cellStyle name="Normal 13 4 2 3 2 2 2" xfId="5489" xr:uid="{00000000-0005-0000-0000-00006E150000}"/>
    <cellStyle name="Normal 13 4 2 3 2 3" xfId="5490" xr:uid="{00000000-0005-0000-0000-00006F150000}"/>
    <cellStyle name="Normal 13 4 2 3 3" xfId="5491" xr:uid="{00000000-0005-0000-0000-000070150000}"/>
    <cellStyle name="Normal 13 4 2 3 3 2" xfId="5492" xr:uid="{00000000-0005-0000-0000-000071150000}"/>
    <cellStyle name="Normal 13 4 2 3 4" xfId="5493" xr:uid="{00000000-0005-0000-0000-000072150000}"/>
    <cellStyle name="Normal 13 4 2 4" xfId="5494" xr:uid="{00000000-0005-0000-0000-000073150000}"/>
    <cellStyle name="Normal 13 4 2 4 2" xfId="5495" xr:uid="{00000000-0005-0000-0000-000074150000}"/>
    <cellStyle name="Normal 13 4 2 4 2 2" xfId="5496" xr:uid="{00000000-0005-0000-0000-000075150000}"/>
    <cellStyle name="Normal 13 4 2 4 3" xfId="5497" xr:uid="{00000000-0005-0000-0000-000076150000}"/>
    <cellStyle name="Normal 13 4 2 5" xfId="5498" xr:uid="{00000000-0005-0000-0000-000077150000}"/>
    <cellStyle name="Normal 13 4 2 5 2" xfId="5499" xr:uid="{00000000-0005-0000-0000-000078150000}"/>
    <cellStyle name="Normal 13 4 2 6" xfId="5500" xr:uid="{00000000-0005-0000-0000-000079150000}"/>
    <cellStyle name="Normal 13 4 3" xfId="5501" xr:uid="{00000000-0005-0000-0000-00007A150000}"/>
    <cellStyle name="Normal 13 4 3 2" xfId="5502" xr:uid="{00000000-0005-0000-0000-00007B150000}"/>
    <cellStyle name="Normal 13 4 3 2 2" xfId="5503" xr:uid="{00000000-0005-0000-0000-00007C150000}"/>
    <cellStyle name="Normal 13 4 3 2 2 2" xfId="5504" xr:uid="{00000000-0005-0000-0000-00007D150000}"/>
    <cellStyle name="Normal 13 4 3 2 2 2 2" xfId="5505" xr:uid="{00000000-0005-0000-0000-00007E150000}"/>
    <cellStyle name="Normal 13 4 3 2 2 3" xfId="5506" xr:uid="{00000000-0005-0000-0000-00007F150000}"/>
    <cellStyle name="Normal 13 4 3 2 3" xfId="5507" xr:uid="{00000000-0005-0000-0000-000080150000}"/>
    <cellStyle name="Normal 13 4 3 2 3 2" xfId="5508" xr:uid="{00000000-0005-0000-0000-000081150000}"/>
    <cellStyle name="Normal 13 4 3 2 4" xfId="5509" xr:uid="{00000000-0005-0000-0000-000082150000}"/>
    <cellStyle name="Normal 13 4 3 3" xfId="5510" xr:uid="{00000000-0005-0000-0000-000083150000}"/>
    <cellStyle name="Normal 13 4 3 3 2" xfId="5511" xr:uid="{00000000-0005-0000-0000-000084150000}"/>
    <cellStyle name="Normal 13 4 3 3 2 2" xfId="5512" xr:uid="{00000000-0005-0000-0000-000085150000}"/>
    <cellStyle name="Normal 13 4 3 3 3" xfId="5513" xr:uid="{00000000-0005-0000-0000-000086150000}"/>
    <cellStyle name="Normal 13 4 3 4" xfId="5514" xr:uid="{00000000-0005-0000-0000-000087150000}"/>
    <cellStyle name="Normal 13 4 3 4 2" xfId="5515" xr:uid="{00000000-0005-0000-0000-000088150000}"/>
    <cellStyle name="Normal 13 4 3 5" xfId="5516" xr:uid="{00000000-0005-0000-0000-000089150000}"/>
    <cellStyle name="Normal 13 4 4" xfId="5517" xr:uid="{00000000-0005-0000-0000-00008A150000}"/>
    <cellStyle name="Normal 13 4 4 2" xfId="5518" xr:uid="{00000000-0005-0000-0000-00008B150000}"/>
    <cellStyle name="Normal 13 4 4 2 2" xfId="5519" xr:uid="{00000000-0005-0000-0000-00008C150000}"/>
    <cellStyle name="Normal 13 4 4 2 2 2" xfId="5520" xr:uid="{00000000-0005-0000-0000-00008D150000}"/>
    <cellStyle name="Normal 13 4 4 2 3" xfId="5521" xr:uid="{00000000-0005-0000-0000-00008E150000}"/>
    <cellStyle name="Normal 13 4 4 3" xfId="5522" xr:uid="{00000000-0005-0000-0000-00008F150000}"/>
    <cellStyle name="Normal 13 4 4 3 2" xfId="5523" xr:uid="{00000000-0005-0000-0000-000090150000}"/>
    <cellStyle name="Normal 13 4 4 4" xfId="5524" xr:uid="{00000000-0005-0000-0000-000091150000}"/>
    <cellStyle name="Normal 13 4 5" xfId="5525" xr:uid="{00000000-0005-0000-0000-000092150000}"/>
    <cellStyle name="Normal 13 4 5 2" xfId="5526" xr:uid="{00000000-0005-0000-0000-000093150000}"/>
    <cellStyle name="Normal 13 4 5 2 2" xfId="5527" xr:uid="{00000000-0005-0000-0000-000094150000}"/>
    <cellStyle name="Normal 13 4 5 3" xfId="5528" xr:uid="{00000000-0005-0000-0000-000095150000}"/>
    <cellStyle name="Normal 13 4 6" xfId="5529" xr:uid="{00000000-0005-0000-0000-000096150000}"/>
    <cellStyle name="Normal 13 4 6 2" xfId="5530" xr:uid="{00000000-0005-0000-0000-000097150000}"/>
    <cellStyle name="Normal 13 4 7" xfId="5531" xr:uid="{00000000-0005-0000-0000-000098150000}"/>
    <cellStyle name="Normal 13 5" xfId="5532" xr:uid="{00000000-0005-0000-0000-000099150000}"/>
    <cellStyle name="Normal 13 5 2" xfId="5533" xr:uid="{00000000-0005-0000-0000-00009A150000}"/>
    <cellStyle name="Normal 13 5 2 2" xfId="5534" xr:uid="{00000000-0005-0000-0000-00009B150000}"/>
    <cellStyle name="Normal 13 5 2 2 2" xfId="5535" xr:uid="{00000000-0005-0000-0000-00009C150000}"/>
    <cellStyle name="Normal 13 5 2 2 2 2" xfId="5536" xr:uid="{00000000-0005-0000-0000-00009D150000}"/>
    <cellStyle name="Normal 13 5 2 2 2 2 2" xfId="5537" xr:uid="{00000000-0005-0000-0000-00009E150000}"/>
    <cellStyle name="Normal 13 5 2 2 2 2 2 2" xfId="5538" xr:uid="{00000000-0005-0000-0000-00009F150000}"/>
    <cellStyle name="Normal 13 5 2 2 2 2 3" xfId="5539" xr:uid="{00000000-0005-0000-0000-0000A0150000}"/>
    <cellStyle name="Normal 13 5 2 2 2 3" xfId="5540" xr:uid="{00000000-0005-0000-0000-0000A1150000}"/>
    <cellStyle name="Normal 13 5 2 2 2 3 2" xfId="5541" xr:uid="{00000000-0005-0000-0000-0000A2150000}"/>
    <cellStyle name="Normal 13 5 2 2 2 4" xfId="5542" xr:uid="{00000000-0005-0000-0000-0000A3150000}"/>
    <cellStyle name="Normal 13 5 2 2 3" xfId="5543" xr:uid="{00000000-0005-0000-0000-0000A4150000}"/>
    <cellStyle name="Normal 13 5 2 2 3 2" xfId="5544" xr:uid="{00000000-0005-0000-0000-0000A5150000}"/>
    <cellStyle name="Normal 13 5 2 2 3 2 2" xfId="5545" xr:uid="{00000000-0005-0000-0000-0000A6150000}"/>
    <cellStyle name="Normal 13 5 2 2 3 3" xfId="5546" xr:uid="{00000000-0005-0000-0000-0000A7150000}"/>
    <cellStyle name="Normal 13 5 2 2 4" xfId="5547" xr:uid="{00000000-0005-0000-0000-0000A8150000}"/>
    <cellStyle name="Normal 13 5 2 2 4 2" xfId="5548" xr:uid="{00000000-0005-0000-0000-0000A9150000}"/>
    <cellStyle name="Normal 13 5 2 2 5" xfId="5549" xr:uid="{00000000-0005-0000-0000-0000AA150000}"/>
    <cellStyle name="Normal 13 5 2 3" xfId="5550" xr:uid="{00000000-0005-0000-0000-0000AB150000}"/>
    <cellStyle name="Normal 13 5 2 3 2" xfId="5551" xr:uid="{00000000-0005-0000-0000-0000AC150000}"/>
    <cellStyle name="Normal 13 5 2 3 2 2" xfId="5552" xr:uid="{00000000-0005-0000-0000-0000AD150000}"/>
    <cellStyle name="Normal 13 5 2 3 2 2 2" xfId="5553" xr:uid="{00000000-0005-0000-0000-0000AE150000}"/>
    <cellStyle name="Normal 13 5 2 3 2 3" xfId="5554" xr:uid="{00000000-0005-0000-0000-0000AF150000}"/>
    <cellStyle name="Normal 13 5 2 3 3" xfId="5555" xr:uid="{00000000-0005-0000-0000-0000B0150000}"/>
    <cellStyle name="Normal 13 5 2 3 3 2" xfId="5556" xr:uid="{00000000-0005-0000-0000-0000B1150000}"/>
    <cellStyle name="Normal 13 5 2 3 4" xfId="5557" xr:uid="{00000000-0005-0000-0000-0000B2150000}"/>
    <cellStyle name="Normal 13 5 2 4" xfId="5558" xr:uid="{00000000-0005-0000-0000-0000B3150000}"/>
    <cellStyle name="Normal 13 5 2 4 2" xfId="5559" xr:uid="{00000000-0005-0000-0000-0000B4150000}"/>
    <cellStyle name="Normal 13 5 2 4 2 2" xfId="5560" xr:uid="{00000000-0005-0000-0000-0000B5150000}"/>
    <cellStyle name="Normal 13 5 2 4 3" xfId="5561" xr:uid="{00000000-0005-0000-0000-0000B6150000}"/>
    <cellStyle name="Normal 13 5 2 5" xfId="5562" xr:uid="{00000000-0005-0000-0000-0000B7150000}"/>
    <cellStyle name="Normal 13 5 2 5 2" xfId="5563" xr:uid="{00000000-0005-0000-0000-0000B8150000}"/>
    <cellStyle name="Normal 13 5 2 6" xfId="5564" xr:uid="{00000000-0005-0000-0000-0000B9150000}"/>
    <cellStyle name="Normal 13 5 3" xfId="5565" xr:uid="{00000000-0005-0000-0000-0000BA150000}"/>
    <cellStyle name="Normal 13 5 3 2" xfId="5566" xr:uid="{00000000-0005-0000-0000-0000BB150000}"/>
    <cellStyle name="Normal 13 5 3 2 2" xfId="5567" xr:uid="{00000000-0005-0000-0000-0000BC150000}"/>
    <cellStyle name="Normal 13 5 3 2 2 2" xfId="5568" xr:uid="{00000000-0005-0000-0000-0000BD150000}"/>
    <cellStyle name="Normal 13 5 3 2 2 2 2" xfId="5569" xr:uid="{00000000-0005-0000-0000-0000BE150000}"/>
    <cellStyle name="Normal 13 5 3 2 2 3" xfId="5570" xr:uid="{00000000-0005-0000-0000-0000BF150000}"/>
    <cellStyle name="Normal 13 5 3 2 3" xfId="5571" xr:uid="{00000000-0005-0000-0000-0000C0150000}"/>
    <cellStyle name="Normal 13 5 3 2 3 2" xfId="5572" xr:uid="{00000000-0005-0000-0000-0000C1150000}"/>
    <cellStyle name="Normal 13 5 3 2 4" xfId="5573" xr:uid="{00000000-0005-0000-0000-0000C2150000}"/>
    <cellStyle name="Normal 13 5 3 3" xfId="5574" xr:uid="{00000000-0005-0000-0000-0000C3150000}"/>
    <cellStyle name="Normal 13 5 3 3 2" xfId="5575" xr:uid="{00000000-0005-0000-0000-0000C4150000}"/>
    <cellStyle name="Normal 13 5 3 3 2 2" xfId="5576" xr:uid="{00000000-0005-0000-0000-0000C5150000}"/>
    <cellStyle name="Normal 13 5 3 3 3" xfId="5577" xr:uid="{00000000-0005-0000-0000-0000C6150000}"/>
    <cellStyle name="Normal 13 5 3 4" xfId="5578" xr:uid="{00000000-0005-0000-0000-0000C7150000}"/>
    <cellStyle name="Normal 13 5 3 4 2" xfId="5579" xr:uid="{00000000-0005-0000-0000-0000C8150000}"/>
    <cellStyle name="Normal 13 5 3 5" xfId="5580" xr:uid="{00000000-0005-0000-0000-0000C9150000}"/>
    <cellStyle name="Normal 13 5 4" xfId="5581" xr:uid="{00000000-0005-0000-0000-0000CA150000}"/>
    <cellStyle name="Normal 13 5 4 2" xfId="5582" xr:uid="{00000000-0005-0000-0000-0000CB150000}"/>
    <cellStyle name="Normal 13 5 4 2 2" xfId="5583" xr:uid="{00000000-0005-0000-0000-0000CC150000}"/>
    <cellStyle name="Normal 13 5 4 2 2 2" xfId="5584" xr:uid="{00000000-0005-0000-0000-0000CD150000}"/>
    <cellStyle name="Normal 13 5 4 2 3" xfId="5585" xr:uid="{00000000-0005-0000-0000-0000CE150000}"/>
    <cellStyle name="Normal 13 5 4 3" xfId="5586" xr:uid="{00000000-0005-0000-0000-0000CF150000}"/>
    <cellStyle name="Normal 13 5 4 3 2" xfId="5587" xr:uid="{00000000-0005-0000-0000-0000D0150000}"/>
    <cellStyle name="Normal 13 5 4 4" xfId="5588" xr:uid="{00000000-0005-0000-0000-0000D1150000}"/>
    <cellStyle name="Normal 13 5 5" xfId="5589" xr:uid="{00000000-0005-0000-0000-0000D2150000}"/>
    <cellStyle name="Normal 13 5 5 2" xfId="5590" xr:uid="{00000000-0005-0000-0000-0000D3150000}"/>
    <cellStyle name="Normal 13 5 5 2 2" xfId="5591" xr:uid="{00000000-0005-0000-0000-0000D4150000}"/>
    <cellStyle name="Normal 13 5 5 3" xfId="5592" xr:uid="{00000000-0005-0000-0000-0000D5150000}"/>
    <cellStyle name="Normal 13 5 6" xfId="5593" xr:uid="{00000000-0005-0000-0000-0000D6150000}"/>
    <cellStyle name="Normal 13 5 6 2" xfId="5594" xr:uid="{00000000-0005-0000-0000-0000D7150000}"/>
    <cellStyle name="Normal 13 5 7" xfId="5595" xr:uid="{00000000-0005-0000-0000-0000D8150000}"/>
    <cellStyle name="Normal 13 6" xfId="5596" xr:uid="{00000000-0005-0000-0000-0000D9150000}"/>
    <cellStyle name="Normal 13 6 2" xfId="5597" xr:uid="{00000000-0005-0000-0000-0000DA150000}"/>
    <cellStyle name="Normal 13 6 2 2" xfId="5598" xr:uid="{00000000-0005-0000-0000-0000DB150000}"/>
    <cellStyle name="Normal 13 6 2 2 2" xfId="5599" xr:uid="{00000000-0005-0000-0000-0000DC150000}"/>
    <cellStyle name="Normal 13 6 2 2 2 2" xfId="5600" xr:uid="{00000000-0005-0000-0000-0000DD150000}"/>
    <cellStyle name="Normal 13 6 2 2 2 2 2" xfId="5601" xr:uid="{00000000-0005-0000-0000-0000DE150000}"/>
    <cellStyle name="Normal 13 6 2 2 2 3" xfId="5602" xr:uid="{00000000-0005-0000-0000-0000DF150000}"/>
    <cellStyle name="Normal 13 6 2 2 3" xfId="5603" xr:uid="{00000000-0005-0000-0000-0000E0150000}"/>
    <cellStyle name="Normal 13 6 2 2 3 2" xfId="5604" xr:uid="{00000000-0005-0000-0000-0000E1150000}"/>
    <cellStyle name="Normal 13 6 2 2 4" xfId="5605" xr:uid="{00000000-0005-0000-0000-0000E2150000}"/>
    <cellStyle name="Normal 13 6 2 3" xfId="5606" xr:uid="{00000000-0005-0000-0000-0000E3150000}"/>
    <cellStyle name="Normal 13 6 2 3 2" xfId="5607" xr:uid="{00000000-0005-0000-0000-0000E4150000}"/>
    <cellStyle name="Normal 13 6 2 3 2 2" xfId="5608" xr:uid="{00000000-0005-0000-0000-0000E5150000}"/>
    <cellStyle name="Normal 13 6 2 3 3" xfId="5609" xr:uid="{00000000-0005-0000-0000-0000E6150000}"/>
    <cellStyle name="Normal 13 6 2 4" xfId="5610" xr:uid="{00000000-0005-0000-0000-0000E7150000}"/>
    <cellStyle name="Normal 13 6 2 4 2" xfId="5611" xr:uid="{00000000-0005-0000-0000-0000E8150000}"/>
    <cellStyle name="Normal 13 6 2 5" xfId="5612" xr:uid="{00000000-0005-0000-0000-0000E9150000}"/>
    <cellStyle name="Normal 13 6 3" xfId="5613" xr:uid="{00000000-0005-0000-0000-0000EA150000}"/>
    <cellStyle name="Normal 13 6 3 2" xfId="5614" xr:uid="{00000000-0005-0000-0000-0000EB150000}"/>
    <cellStyle name="Normal 13 6 3 2 2" xfId="5615" xr:uid="{00000000-0005-0000-0000-0000EC150000}"/>
    <cellStyle name="Normal 13 6 3 2 2 2" xfId="5616" xr:uid="{00000000-0005-0000-0000-0000ED150000}"/>
    <cellStyle name="Normal 13 6 3 2 3" xfId="5617" xr:uid="{00000000-0005-0000-0000-0000EE150000}"/>
    <cellStyle name="Normal 13 6 3 3" xfId="5618" xr:uid="{00000000-0005-0000-0000-0000EF150000}"/>
    <cellStyle name="Normal 13 6 3 3 2" xfId="5619" xr:uid="{00000000-0005-0000-0000-0000F0150000}"/>
    <cellStyle name="Normal 13 6 3 4" xfId="5620" xr:uid="{00000000-0005-0000-0000-0000F1150000}"/>
    <cellStyle name="Normal 13 6 4" xfId="5621" xr:uid="{00000000-0005-0000-0000-0000F2150000}"/>
    <cellStyle name="Normal 13 6 4 2" xfId="5622" xr:uid="{00000000-0005-0000-0000-0000F3150000}"/>
    <cellStyle name="Normal 13 6 4 2 2" xfId="5623" xr:uid="{00000000-0005-0000-0000-0000F4150000}"/>
    <cellStyle name="Normal 13 6 4 3" xfId="5624" xr:uid="{00000000-0005-0000-0000-0000F5150000}"/>
    <cellStyle name="Normal 13 6 5" xfId="5625" xr:uid="{00000000-0005-0000-0000-0000F6150000}"/>
    <cellStyle name="Normal 13 6 5 2" xfId="5626" xr:uid="{00000000-0005-0000-0000-0000F7150000}"/>
    <cellStyle name="Normal 13 6 6" xfId="5627" xr:uid="{00000000-0005-0000-0000-0000F8150000}"/>
    <cellStyle name="Normal 13 7" xfId="5628" xr:uid="{00000000-0005-0000-0000-0000F9150000}"/>
    <cellStyle name="Normal 13 7 2" xfId="5629" xr:uid="{00000000-0005-0000-0000-0000FA150000}"/>
    <cellStyle name="Normal 13 7 2 2" xfId="5630" xr:uid="{00000000-0005-0000-0000-0000FB150000}"/>
    <cellStyle name="Normal 13 7 2 2 2" xfId="5631" xr:uid="{00000000-0005-0000-0000-0000FC150000}"/>
    <cellStyle name="Normal 13 7 2 2 2 2" xfId="5632" xr:uid="{00000000-0005-0000-0000-0000FD150000}"/>
    <cellStyle name="Normal 13 7 2 2 3" xfId="5633" xr:uid="{00000000-0005-0000-0000-0000FE150000}"/>
    <cellStyle name="Normal 13 7 2 3" xfId="5634" xr:uid="{00000000-0005-0000-0000-0000FF150000}"/>
    <cellStyle name="Normal 13 7 2 3 2" xfId="5635" xr:uid="{00000000-0005-0000-0000-000000160000}"/>
    <cellStyle name="Normal 13 7 2 4" xfId="5636" xr:uid="{00000000-0005-0000-0000-000001160000}"/>
    <cellStyle name="Normal 13 7 3" xfId="5637" xr:uid="{00000000-0005-0000-0000-000002160000}"/>
    <cellStyle name="Normal 13 7 3 2" xfId="5638" xr:uid="{00000000-0005-0000-0000-000003160000}"/>
    <cellStyle name="Normal 13 7 3 2 2" xfId="5639" xr:uid="{00000000-0005-0000-0000-000004160000}"/>
    <cellStyle name="Normal 13 7 3 3" xfId="5640" xr:uid="{00000000-0005-0000-0000-000005160000}"/>
    <cellStyle name="Normal 13 7 4" xfId="5641" xr:uid="{00000000-0005-0000-0000-000006160000}"/>
    <cellStyle name="Normal 13 7 4 2" xfId="5642" xr:uid="{00000000-0005-0000-0000-000007160000}"/>
    <cellStyle name="Normal 13 7 5" xfId="5643" xr:uid="{00000000-0005-0000-0000-000008160000}"/>
    <cellStyle name="Normal 13 8" xfId="5644" xr:uid="{00000000-0005-0000-0000-000009160000}"/>
    <cellStyle name="Normal 13 8 2" xfId="5645" xr:uid="{00000000-0005-0000-0000-00000A160000}"/>
    <cellStyle name="Normal 13 8 2 2" xfId="5646" xr:uid="{00000000-0005-0000-0000-00000B160000}"/>
    <cellStyle name="Normal 13 8 2 2 2" xfId="5647" xr:uid="{00000000-0005-0000-0000-00000C160000}"/>
    <cellStyle name="Normal 13 8 2 3" xfId="5648" xr:uid="{00000000-0005-0000-0000-00000D160000}"/>
    <cellStyle name="Normal 13 8 3" xfId="5649" xr:uid="{00000000-0005-0000-0000-00000E160000}"/>
    <cellStyle name="Normal 13 8 3 2" xfId="5650" xr:uid="{00000000-0005-0000-0000-00000F160000}"/>
    <cellStyle name="Normal 13 8 4" xfId="5651" xr:uid="{00000000-0005-0000-0000-000010160000}"/>
    <cellStyle name="Normal 13 9" xfId="5652" xr:uid="{00000000-0005-0000-0000-000011160000}"/>
    <cellStyle name="Normal 13 9 2" xfId="5653" xr:uid="{00000000-0005-0000-0000-000012160000}"/>
    <cellStyle name="Normal 13 9 2 2" xfId="5654" xr:uid="{00000000-0005-0000-0000-000013160000}"/>
    <cellStyle name="Normal 13 9 3" xfId="5655" xr:uid="{00000000-0005-0000-0000-000014160000}"/>
    <cellStyle name="Normal 14" xfId="5656" xr:uid="{00000000-0005-0000-0000-000015160000}"/>
    <cellStyle name="Normal 14 2" xfId="5657" xr:uid="{00000000-0005-0000-0000-000016160000}"/>
    <cellStyle name="Normal 14 2 2" xfId="5658" xr:uid="{00000000-0005-0000-0000-000017160000}"/>
    <cellStyle name="Normal 14 2 2 2" xfId="5659" xr:uid="{00000000-0005-0000-0000-000018160000}"/>
    <cellStyle name="Normal 14 2 2 2 2" xfId="5660" xr:uid="{00000000-0005-0000-0000-000019160000}"/>
    <cellStyle name="Normal 14 2 2 2 2 2" xfId="5661" xr:uid="{00000000-0005-0000-0000-00001A160000}"/>
    <cellStyle name="Normal 14 2 2 2 2 2 2" xfId="5662" xr:uid="{00000000-0005-0000-0000-00001B160000}"/>
    <cellStyle name="Normal 14 2 2 2 2 2 2 2" xfId="5663" xr:uid="{00000000-0005-0000-0000-00001C160000}"/>
    <cellStyle name="Normal 14 2 2 2 2 2 2 2 2" xfId="5664" xr:uid="{00000000-0005-0000-0000-00001D160000}"/>
    <cellStyle name="Normal 14 2 2 2 2 2 2 3" xfId="5665" xr:uid="{00000000-0005-0000-0000-00001E160000}"/>
    <cellStyle name="Normal 14 2 2 2 2 2 3" xfId="5666" xr:uid="{00000000-0005-0000-0000-00001F160000}"/>
    <cellStyle name="Normal 14 2 2 2 2 2 3 2" xfId="5667" xr:uid="{00000000-0005-0000-0000-000020160000}"/>
    <cellStyle name="Normal 14 2 2 2 2 2 4" xfId="5668" xr:uid="{00000000-0005-0000-0000-000021160000}"/>
    <cellStyle name="Normal 14 2 2 2 2 3" xfId="5669" xr:uid="{00000000-0005-0000-0000-000022160000}"/>
    <cellStyle name="Normal 14 2 2 2 2 3 2" xfId="5670" xr:uid="{00000000-0005-0000-0000-000023160000}"/>
    <cellStyle name="Normal 14 2 2 2 2 3 2 2" xfId="5671" xr:uid="{00000000-0005-0000-0000-000024160000}"/>
    <cellStyle name="Normal 14 2 2 2 2 3 3" xfId="5672" xr:uid="{00000000-0005-0000-0000-000025160000}"/>
    <cellStyle name="Normal 14 2 2 2 2 4" xfId="5673" xr:uid="{00000000-0005-0000-0000-000026160000}"/>
    <cellStyle name="Normal 14 2 2 2 2 4 2" xfId="5674" xr:uid="{00000000-0005-0000-0000-000027160000}"/>
    <cellStyle name="Normal 14 2 2 2 2 5" xfId="5675" xr:uid="{00000000-0005-0000-0000-000028160000}"/>
    <cellStyle name="Normal 14 2 2 2 3" xfId="5676" xr:uid="{00000000-0005-0000-0000-000029160000}"/>
    <cellStyle name="Normal 14 2 2 2 3 2" xfId="5677" xr:uid="{00000000-0005-0000-0000-00002A160000}"/>
    <cellStyle name="Normal 14 2 2 2 3 2 2" xfId="5678" xr:uid="{00000000-0005-0000-0000-00002B160000}"/>
    <cellStyle name="Normal 14 2 2 2 3 2 2 2" xfId="5679" xr:uid="{00000000-0005-0000-0000-00002C160000}"/>
    <cellStyle name="Normal 14 2 2 2 3 2 3" xfId="5680" xr:uid="{00000000-0005-0000-0000-00002D160000}"/>
    <cellStyle name="Normal 14 2 2 2 3 3" xfId="5681" xr:uid="{00000000-0005-0000-0000-00002E160000}"/>
    <cellStyle name="Normal 14 2 2 2 3 3 2" xfId="5682" xr:uid="{00000000-0005-0000-0000-00002F160000}"/>
    <cellStyle name="Normal 14 2 2 2 3 4" xfId="5683" xr:uid="{00000000-0005-0000-0000-000030160000}"/>
    <cellStyle name="Normal 14 2 2 2 4" xfId="5684" xr:uid="{00000000-0005-0000-0000-000031160000}"/>
    <cellStyle name="Normal 14 2 2 2 4 2" xfId="5685" xr:uid="{00000000-0005-0000-0000-000032160000}"/>
    <cellStyle name="Normal 14 2 2 2 4 2 2" xfId="5686" xr:uid="{00000000-0005-0000-0000-000033160000}"/>
    <cellStyle name="Normal 14 2 2 2 4 3" xfId="5687" xr:uid="{00000000-0005-0000-0000-000034160000}"/>
    <cellStyle name="Normal 14 2 2 2 5" xfId="5688" xr:uid="{00000000-0005-0000-0000-000035160000}"/>
    <cellStyle name="Normal 14 2 2 2 5 2" xfId="5689" xr:uid="{00000000-0005-0000-0000-000036160000}"/>
    <cellStyle name="Normal 14 2 2 2 6" xfId="5690" xr:uid="{00000000-0005-0000-0000-000037160000}"/>
    <cellStyle name="Normal 14 2 2 3" xfId="5691" xr:uid="{00000000-0005-0000-0000-000038160000}"/>
    <cellStyle name="Normal 14 2 2 3 2" xfId="5692" xr:uid="{00000000-0005-0000-0000-000039160000}"/>
    <cellStyle name="Normal 14 2 2 3 2 2" xfId="5693" xr:uid="{00000000-0005-0000-0000-00003A160000}"/>
    <cellStyle name="Normal 14 2 2 3 2 2 2" xfId="5694" xr:uid="{00000000-0005-0000-0000-00003B160000}"/>
    <cellStyle name="Normal 14 2 2 3 2 2 2 2" xfId="5695" xr:uid="{00000000-0005-0000-0000-00003C160000}"/>
    <cellStyle name="Normal 14 2 2 3 2 2 3" xfId="5696" xr:uid="{00000000-0005-0000-0000-00003D160000}"/>
    <cellStyle name="Normal 14 2 2 3 2 3" xfId="5697" xr:uid="{00000000-0005-0000-0000-00003E160000}"/>
    <cellStyle name="Normal 14 2 2 3 2 3 2" xfId="5698" xr:uid="{00000000-0005-0000-0000-00003F160000}"/>
    <cellStyle name="Normal 14 2 2 3 2 4" xfId="5699" xr:uid="{00000000-0005-0000-0000-000040160000}"/>
    <cellStyle name="Normal 14 2 2 3 3" xfId="5700" xr:uid="{00000000-0005-0000-0000-000041160000}"/>
    <cellStyle name="Normal 14 2 2 3 3 2" xfId="5701" xr:uid="{00000000-0005-0000-0000-000042160000}"/>
    <cellStyle name="Normal 14 2 2 3 3 2 2" xfId="5702" xr:uid="{00000000-0005-0000-0000-000043160000}"/>
    <cellStyle name="Normal 14 2 2 3 3 3" xfId="5703" xr:uid="{00000000-0005-0000-0000-000044160000}"/>
    <cellStyle name="Normal 14 2 2 3 4" xfId="5704" xr:uid="{00000000-0005-0000-0000-000045160000}"/>
    <cellStyle name="Normal 14 2 2 3 4 2" xfId="5705" xr:uid="{00000000-0005-0000-0000-000046160000}"/>
    <cellStyle name="Normal 14 2 2 3 5" xfId="5706" xr:uid="{00000000-0005-0000-0000-000047160000}"/>
    <cellStyle name="Normal 14 2 2 4" xfId="5707" xr:uid="{00000000-0005-0000-0000-000048160000}"/>
    <cellStyle name="Normal 14 2 2 4 2" xfId="5708" xr:uid="{00000000-0005-0000-0000-000049160000}"/>
    <cellStyle name="Normal 14 2 2 4 2 2" xfId="5709" xr:uid="{00000000-0005-0000-0000-00004A160000}"/>
    <cellStyle name="Normal 14 2 2 4 2 2 2" xfId="5710" xr:uid="{00000000-0005-0000-0000-00004B160000}"/>
    <cellStyle name="Normal 14 2 2 4 2 3" xfId="5711" xr:uid="{00000000-0005-0000-0000-00004C160000}"/>
    <cellStyle name="Normal 14 2 2 4 3" xfId="5712" xr:uid="{00000000-0005-0000-0000-00004D160000}"/>
    <cellStyle name="Normal 14 2 2 4 3 2" xfId="5713" xr:uid="{00000000-0005-0000-0000-00004E160000}"/>
    <cellStyle name="Normal 14 2 2 4 4" xfId="5714" xr:uid="{00000000-0005-0000-0000-00004F160000}"/>
    <cellStyle name="Normal 14 2 2 5" xfId="5715" xr:uid="{00000000-0005-0000-0000-000050160000}"/>
    <cellStyle name="Normal 14 2 2 5 2" xfId="5716" xr:uid="{00000000-0005-0000-0000-000051160000}"/>
    <cellStyle name="Normal 14 2 2 5 2 2" xfId="5717" xr:uid="{00000000-0005-0000-0000-000052160000}"/>
    <cellStyle name="Normal 14 2 2 5 3" xfId="5718" xr:uid="{00000000-0005-0000-0000-000053160000}"/>
    <cellStyle name="Normal 14 2 2 6" xfId="5719" xr:uid="{00000000-0005-0000-0000-000054160000}"/>
    <cellStyle name="Normal 14 2 2 6 2" xfId="5720" xr:uid="{00000000-0005-0000-0000-000055160000}"/>
    <cellStyle name="Normal 14 2 2 7" xfId="5721" xr:uid="{00000000-0005-0000-0000-000056160000}"/>
    <cellStyle name="Normal 14 2 3" xfId="5722" xr:uid="{00000000-0005-0000-0000-000057160000}"/>
    <cellStyle name="Normal 14 2 3 2" xfId="5723" xr:uid="{00000000-0005-0000-0000-000058160000}"/>
    <cellStyle name="Normal 14 2 3 2 2" xfId="5724" xr:uid="{00000000-0005-0000-0000-000059160000}"/>
    <cellStyle name="Normal 14 2 3 2 2 2" xfId="5725" xr:uid="{00000000-0005-0000-0000-00005A160000}"/>
    <cellStyle name="Normal 14 2 3 2 2 2 2" xfId="5726" xr:uid="{00000000-0005-0000-0000-00005B160000}"/>
    <cellStyle name="Normal 14 2 3 2 2 2 2 2" xfId="5727" xr:uid="{00000000-0005-0000-0000-00005C160000}"/>
    <cellStyle name="Normal 14 2 3 2 2 2 3" xfId="5728" xr:uid="{00000000-0005-0000-0000-00005D160000}"/>
    <cellStyle name="Normal 14 2 3 2 2 3" xfId="5729" xr:uid="{00000000-0005-0000-0000-00005E160000}"/>
    <cellStyle name="Normal 14 2 3 2 2 3 2" xfId="5730" xr:uid="{00000000-0005-0000-0000-00005F160000}"/>
    <cellStyle name="Normal 14 2 3 2 2 4" xfId="5731" xr:uid="{00000000-0005-0000-0000-000060160000}"/>
    <cellStyle name="Normal 14 2 3 2 3" xfId="5732" xr:uid="{00000000-0005-0000-0000-000061160000}"/>
    <cellStyle name="Normal 14 2 3 2 3 2" xfId="5733" xr:uid="{00000000-0005-0000-0000-000062160000}"/>
    <cellStyle name="Normal 14 2 3 2 3 2 2" xfId="5734" xr:uid="{00000000-0005-0000-0000-000063160000}"/>
    <cellStyle name="Normal 14 2 3 2 3 3" xfId="5735" xr:uid="{00000000-0005-0000-0000-000064160000}"/>
    <cellStyle name="Normal 14 2 3 2 4" xfId="5736" xr:uid="{00000000-0005-0000-0000-000065160000}"/>
    <cellStyle name="Normal 14 2 3 2 4 2" xfId="5737" xr:uid="{00000000-0005-0000-0000-000066160000}"/>
    <cellStyle name="Normal 14 2 3 2 5" xfId="5738" xr:uid="{00000000-0005-0000-0000-000067160000}"/>
    <cellStyle name="Normal 14 2 3 3" xfId="5739" xr:uid="{00000000-0005-0000-0000-000068160000}"/>
    <cellStyle name="Normal 14 2 3 3 2" xfId="5740" xr:uid="{00000000-0005-0000-0000-000069160000}"/>
    <cellStyle name="Normal 14 2 3 3 2 2" xfId="5741" xr:uid="{00000000-0005-0000-0000-00006A160000}"/>
    <cellStyle name="Normal 14 2 3 3 2 2 2" xfId="5742" xr:uid="{00000000-0005-0000-0000-00006B160000}"/>
    <cellStyle name="Normal 14 2 3 3 2 3" xfId="5743" xr:uid="{00000000-0005-0000-0000-00006C160000}"/>
    <cellStyle name="Normal 14 2 3 3 3" xfId="5744" xr:uid="{00000000-0005-0000-0000-00006D160000}"/>
    <cellStyle name="Normal 14 2 3 3 3 2" xfId="5745" xr:uid="{00000000-0005-0000-0000-00006E160000}"/>
    <cellStyle name="Normal 14 2 3 3 4" xfId="5746" xr:uid="{00000000-0005-0000-0000-00006F160000}"/>
    <cellStyle name="Normal 14 2 3 4" xfId="5747" xr:uid="{00000000-0005-0000-0000-000070160000}"/>
    <cellStyle name="Normal 14 2 3 4 2" xfId="5748" xr:uid="{00000000-0005-0000-0000-000071160000}"/>
    <cellStyle name="Normal 14 2 3 4 2 2" xfId="5749" xr:uid="{00000000-0005-0000-0000-000072160000}"/>
    <cellStyle name="Normal 14 2 3 4 3" xfId="5750" xr:uid="{00000000-0005-0000-0000-000073160000}"/>
    <cellStyle name="Normal 14 2 3 5" xfId="5751" xr:uid="{00000000-0005-0000-0000-000074160000}"/>
    <cellStyle name="Normal 14 2 3 5 2" xfId="5752" xr:uid="{00000000-0005-0000-0000-000075160000}"/>
    <cellStyle name="Normal 14 2 3 6" xfId="5753" xr:uid="{00000000-0005-0000-0000-000076160000}"/>
    <cellStyle name="Normal 14 2 4" xfId="5754" xr:uid="{00000000-0005-0000-0000-000077160000}"/>
    <cellStyle name="Normal 14 2 4 2" xfId="5755" xr:uid="{00000000-0005-0000-0000-000078160000}"/>
    <cellStyle name="Normal 14 2 4 2 2" xfId="5756" xr:uid="{00000000-0005-0000-0000-000079160000}"/>
    <cellStyle name="Normal 14 2 4 2 2 2" xfId="5757" xr:uid="{00000000-0005-0000-0000-00007A160000}"/>
    <cellStyle name="Normal 14 2 4 2 2 2 2" xfId="5758" xr:uid="{00000000-0005-0000-0000-00007B160000}"/>
    <cellStyle name="Normal 14 2 4 2 2 3" xfId="5759" xr:uid="{00000000-0005-0000-0000-00007C160000}"/>
    <cellStyle name="Normal 14 2 4 2 3" xfId="5760" xr:uid="{00000000-0005-0000-0000-00007D160000}"/>
    <cellStyle name="Normal 14 2 4 2 3 2" xfId="5761" xr:uid="{00000000-0005-0000-0000-00007E160000}"/>
    <cellStyle name="Normal 14 2 4 2 4" xfId="5762" xr:uid="{00000000-0005-0000-0000-00007F160000}"/>
    <cellStyle name="Normal 14 2 4 3" xfId="5763" xr:uid="{00000000-0005-0000-0000-000080160000}"/>
    <cellStyle name="Normal 14 2 4 3 2" xfId="5764" xr:uid="{00000000-0005-0000-0000-000081160000}"/>
    <cellStyle name="Normal 14 2 4 3 2 2" xfId="5765" xr:uid="{00000000-0005-0000-0000-000082160000}"/>
    <cellStyle name="Normal 14 2 4 3 3" xfId="5766" xr:uid="{00000000-0005-0000-0000-000083160000}"/>
    <cellStyle name="Normal 14 2 4 4" xfId="5767" xr:uid="{00000000-0005-0000-0000-000084160000}"/>
    <cellStyle name="Normal 14 2 4 4 2" xfId="5768" xr:uid="{00000000-0005-0000-0000-000085160000}"/>
    <cellStyle name="Normal 14 2 4 5" xfId="5769" xr:uid="{00000000-0005-0000-0000-000086160000}"/>
    <cellStyle name="Normal 14 2 5" xfId="5770" xr:uid="{00000000-0005-0000-0000-000087160000}"/>
    <cellStyle name="Normal 14 2 5 2" xfId="5771" xr:uid="{00000000-0005-0000-0000-000088160000}"/>
    <cellStyle name="Normal 14 2 5 2 2" xfId="5772" xr:uid="{00000000-0005-0000-0000-000089160000}"/>
    <cellStyle name="Normal 14 2 5 2 2 2" xfId="5773" xr:uid="{00000000-0005-0000-0000-00008A160000}"/>
    <cellStyle name="Normal 14 2 5 2 3" xfId="5774" xr:uid="{00000000-0005-0000-0000-00008B160000}"/>
    <cellStyle name="Normal 14 2 5 3" xfId="5775" xr:uid="{00000000-0005-0000-0000-00008C160000}"/>
    <cellStyle name="Normal 14 2 5 3 2" xfId="5776" xr:uid="{00000000-0005-0000-0000-00008D160000}"/>
    <cellStyle name="Normal 14 2 5 4" xfId="5777" xr:uid="{00000000-0005-0000-0000-00008E160000}"/>
    <cellStyle name="Normal 14 2 6" xfId="5778" xr:uid="{00000000-0005-0000-0000-00008F160000}"/>
    <cellStyle name="Normal 14 2 6 2" xfId="5779" xr:uid="{00000000-0005-0000-0000-000090160000}"/>
    <cellStyle name="Normal 14 2 6 2 2" xfId="5780" xr:uid="{00000000-0005-0000-0000-000091160000}"/>
    <cellStyle name="Normal 14 2 6 3" xfId="5781" xr:uid="{00000000-0005-0000-0000-000092160000}"/>
    <cellStyle name="Normal 14 2 7" xfId="5782" xr:uid="{00000000-0005-0000-0000-000093160000}"/>
    <cellStyle name="Normal 14 2 7 2" xfId="5783" xr:uid="{00000000-0005-0000-0000-000094160000}"/>
    <cellStyle name="Normal 14 2 8" xfId="5784" xr:uid="{00000000-0005-0000-0000-000095160000}"/>
    <cellStyle name="Normal 14 3" xfId="5785" xr:uid="{00000000-0005-0000-0000-000096160000}"/>
    <cellStyle name="Normal 14 3 2" xfId="5786" xr:uid="{00000000-0005-0000-0000-000097160000}"/>
    <cellStyle name="Normal 14 3 2 2" xfId="5787" xr:uid="{00000000-0005-0000-0000-000098160000}"/>
    <cellStyle name="Normal 14 3 2 2 2" xfId="5788" xr:uid="{00000000-0005-0000-0000-000099160000}"/>
    <cellStyle name="Normal 14 3 2 2 2 2" xfId="5789" xr:uid="{00000000-0005-0000-0000-00009A160000}"/>
    <cellStyle name="Normal 14 3 2 2 2 2 2" xfId="5790" xr:uid="{00000000-0005-0000-0000-00009B160000}"/>
    <cellStyle name="Normal 14 3 2 2 2 2 2 2" xfId="5791" xr:uid="{00000000-0005-0000-0000-00009C160000}"/>
    <cellStyle name="Normal 14 3 2 2 2 2 3" xfId="5792" xr:uid="{00000000-0005-0000-0000-00009D160000}"/>
    <cellStyle name="Normal 14 3 2 2 2 3" xfId="5793" xr:uid="{00000000-0005-0000-0000-00009E160000}"/>
    <cellStyle name="Normal 14 3 2 2 2 3 2" xfId="5794" xr:uid="{00000000-0005-0000-0000-00009F160000}"/>
    <cellStyle name="Normal 14 3 2 2 2 4" xfId="5795" xr:uid="{00000000-0005-0000-0000-0000A0160000}"/>
    <cellStyle name="Normal 14 3 2 2 3" xfId="5796" xr:uid="{00000000-0005-0000-0000-0000A1160000}"/>
    <cellStyle name="Normal 14 3 2 2 3 2" xfId="5797" xr:uid="{00000000-0005-0000-0000-0000A2160000}"/>
    <cellStyle name="Normal 14 3 2 2 3 2 2" xfId="5798" xr:uid="{00000000-0005-0000-0000-0000A3160000}"/>
    <cellStyle name="Normal 14 3 2 2 3 3" xfId="5799" xr:uid="{00000000-0005-0000-0000-0000A4160000}"/>
    <cellStyle name="Normal 14 3 2 2 4" xfId="5800" xr:uid="{00000000-0005-0000-0000-0000A5160000}"/>
    <cellStyle name="Normal 14 3 2 2 4 2" xfId="5801" xr:uid="{00000000-0005-0000-0000-0000A6160000}"/>
    <cellStyle name="Normal 14 3 2 2 5" xfId="5802" xr:uid="{00000000-0005-0000-0000-0000A7160000}"/>
    <cellStyle name="Normal 14 3 2 3" xfId="5803" xr:uid="{00000000-0005-0000-0000-0000A8160000}"/>
    <cellStyle name="Normal 14 3 2 3 2" xfId="5804" xr:uid="{00000000-0005-0000-0000-0000A9160000}"/>
    <cellStyle name="Normal 14 3 2 3 2 2" xfId="5805" xr:uid="{00000000-0005-0000-0000-0000AA160000}"/>
    <cellStyle name="Normal 14 3 2 3 2 2 2" xfId="5806" xr:uid="{00000000-0005-0000-0000-0000AB160000}"/>
    <cellStyle name="Normal 14 3 2 3 2 3" xfId="5807" xr:uid="{00000000-0005-0000-0000-0000AC160000}"/>
    <cellStyle name="Normal 14 3 2 3 3" xfId="5808" xr:uid="{00000000-0005-0000-0000-0000AD160000}"/>
    <cellStyle name="Normal 14 3 2 3 3 2" xfId="5809" xr:uid="{00000000-0005-0000-0000-0000AE160000}"/>
    <cellStyle name="Normal 14 3 2 3 4" xfId="5810" xr:uid="{00000000-0005-0000-0000-0000AF160000}"/>
    <cellStyle name="Normal 14 3 2 4" xfId="5811" xr:uid="{00000000-0005-0000-0000-0000B0160000}"/>
    <cellStyle name="Normal 14 3 2 4 2" xfId="5812" xr:uid="{00000000-0005-0000-0000-0000B1160000}"/>
    <cellStyle name="Normal 14 3 2 4 2 2" xfId="5813" xr:uid="{00000000-0005-0000-0000-0000B2160000}"/>
    <cellStyle name="Normal 14 3 2 4 3" xfId="5814" xr:uid="{00000000-0005-0000-0000-0000B3160000}"/>
    <cellStyle name="Normal 14 3 2 5" xfId="5815" xr:uid="{00000000-0005-0000-0000-0000B4160000}"/>
    <cellStyle name="Normal 14 3 2 5 2" xfId="5816" xr:uid="{00000000-0005-0000-0000-0000B5160000}"/>
    <cellStyle name="Normal 14 3 2 6" xfId="5817" xr:uid="{00000000-0005-0000-0000-0000B6160000}"/>
    <cellStyle name="Normal 14 3 3" xfId="5818" xr:uid="{00000000-0005-0000-0000-0000B7160000}"/>
    <cellStyle name="Normal 14 3 3 2" xfId="5819" xr:uid="{00000000-0005-0000-0000-0000B8160000}"/>
    <cellStyle name="Normal 14 3 3 2 2" xfId="5820" xr:uid="{00000000-0005-0000-0000-0000B9160000}"/>
    <cellStyle name="Normal 14 3 3 2 2 2" xfId="5821" xr:uid="{00000000-0005-0000-0000-0000BA160000}"/>
    <cellStyle name="Normal 14 3 3 2 2 2 2" xfId="5822" xr:uid="{00000000-0005-0000-0000-0000BB160000}"/>
    <cellStyle name="Normal 14 3 3 2 2 3" xfId="5823" xr:uid="{00000000-0005-0000-0000-0000BC160000}"/>
    <cellStyle name="Normal 14 3 3 2 3" xfId="5824" xr:uid="{00000000-0005-0000-0000-0000BD160000}"/>
    <cellStyle name="Normal 14 3 3 2 3 2" xfId="5825" xr:uid="{00000000-0005-0000-0000-0000BE160000}"/>
    <cellStyle name="Normal 14 3 3 2 4" xfId="5826" xr:uid="{00000000-0005-0000-0000-0000BF160000}"/>
    <cellStyle name="Normal 14 3 3 3" xfId="5827" xr:uid="{00000000-0005-0000-0000-0000C0160000}"/>
    <cellStyle name="Normal 14 3 3 3 2" xfId="5828" xr:uid="{00000000-0005-0000-0000-0000C1160000}"/>
    <cellStyle name="Normal 14 3 3 3 2 2" xfId="5829" xr:uid="{00000000-0005-0000-0000-0000C2160000}"/>
    <cellStyle name="Normal 14 3 3 3 3" xfId="5830" xr:uid="{00000000-0005-0000-0000-0000C3160000}"/>
    <cellStyle name="Normal 14 3 3 4" xfId="5831" xr:uid="{00000000-0005-0000-0000-0000C4160000}"/>
    <cellStyle name="Normal 14 3 3 4 2" xfId="5832" xr:uid="{00000000-0005-0000-0000-0000C5160000}"/>
    <cellStyle name="Normal 14 3 3 5" xfId="5833" xr:uid="{00000000-0005-0000-0000-0000C6160000}"/>
    <cellStyle name="Normal 14 3 4" xfId="5834" xr:uid="{00000000-0005-0000-0000-0000C7160000}"/>
    <cellStyle name="Normal 14 3 4 2" xfId="5835" xr:uid="{00000000-0005-0000-0000-0000C8160000}"/>
    <cellStyle name="Normal 14 3 4 2 2" xfId="5836" xr:uid="{00000000-0005-0000-0000-0000C9160000}"/>
    <cellStyle name="Normal 14 3 4 2 2 2" xfId="5837" xr:uid="{00000000-0005-0000-0000-0000CA160000}"/>
    <cellStyle name="Normal 14 3 4 2 3" xfId="5838" xr:uid="{00000000-0005-0000-0000-0000CB160000}"/>
    <cellStyle name="Normal 14 3 4 3" xfId="5839" xr:uid="{00000000-0005-0000-0000-0000CC160000}"/>
    <cellStyle name="Normal 14 3 4 3 2" xfId="5840" xr:uid="{00000000-0005-0000-0000-0000CD160000}"/>
    <cellStyle name="Normal 14 3 4 4" xfId="5841" xr:uid="{00000000-0005-0000-0000-0000CE160000}"/>
    <cellStyle name="Normal 14 3 5" xfId="5842" xr:uid="{00000000-0005-0000-0000-0000CF160000}"/>
    <cellStyle name="Normal 14 3 5 2" xfId="5843" xr:uid="{00000000-0005-0000-0000-0000D0160000}"/>
    <cellStyle name="Normal 14 3 5 2 2" xfId="5844" xr:uid="{00000000-0005-0000-0000-0000D1160000}"/>
    <cellStyle name="Normal 14 3 5 3" xfId="5845" xr:uid="{00000000-0005-0000-0000-0000D2160000}"/>
    <cellStyle name="Normal 14 3 6" xfId="5846" xr:uid="{00000000-0005-0000-0000-0000D3160000}"/>
    <cellStyle name="Normal 14 3 6 2" xfId="5847" xr:uid="{00000000-0005-0000-0000-0000D4160000}"/>
    <cellStyle name="Normal 14 3 7" xfId="5848" xr:uid="{00000000-0005-0000-0000-0000D5160000}"/>
    <cellStyle name="Normal 14 4" xfId="5849" xr:uid="{00000000-0005-0000-0000-0000D6160000}"/>
    <cellStyle name="Normal 14 4 2" xfId="5850" xr:uid="{00000000-0005-0000-0000-0000D7160000}"/>
    <cellStyle name="Normal 14 4 2 2" xfId="5851" xr:uid="{00000000-0005-0000-0000-0000D8160000}"/>
    <cellStyle name="Normal 14 4 2 2 2" xfId="5852" xr:uid="{00000000-0005-0000-0000-0000D9160000}"/>
    <cellStyle name="Normal 14 4 2 2 2 2" xfId="5853" xr:uid="{00000000-0005-0000-0000-0000DA160000}"/>
    <cellStyle name="Normal 14 4 2 2 2 2 2" xfId="5854" xr:uid="{00000000-0005-0000-0000-0000DB160000}"/>
    <cellStyle name="Normal 14 4 2 2 2 3" xfId="5855" xr:uid="{00000000-0005-0000-0000-0000DC160000}"/>
    <cellStyle name="Normal 14 4 2 2 3" xfId="5856" xr:uid="{00000000-0005-0000-0000-0000DD160000}"/>
    <cellStyle name="Normal 14 4 2 2 3 2" xfId="5857" xr:uid="{00000000-0005-0000-0000-0000DE160000}"/>
    <cellStyle name="Normal 14 4 2 2 4" xfId="5858" xr:uid="{00000000-0005-0000-0000-0000DF160000}"/>
    <cellStyle name="Normal 14 4 2 3" xfId="5859" xr:uid="{00000000-0005-0000-0000-0000E0160000}"/>
    <cellStyle name="Normal 14 4 2 3 2" xfId="5860" xr:uid="{00000000-0005-0000-0000-0000E1160000}"/>
    <cellStyle name="Normal 14 4 2 3 2 2" xfId="5861" xr:uid="{00000000-0005-0000-0000-0000E2160000}"/>
    <cellStyle name="Normal 14 4 2 3 3" xfId="5862" xr:uid="{00000000-0005-0000-0000-0000E3160000}"/>
    <cellStyle name="Normal 14 4 2 4" xfId="5863" xr:uid="{00000000-0005-0000-0000-0000E4160000}"/>
    <cellStyle name="Normal 14 4 2 4 2" xfId="5864" xr:uid="{00000000-0005-0000-0000-0000E5160000}"/>
    <cellStyle name="Normal 14 4 2 5" xfId="5865" xr:uid="{00000000-0005-0000-0000-0000E6160000}"/>
    <cellStyle name="Normal 14 4 3" xfId="5866" xr:uid="{00000000-0005-0000-0000-0000E7160000}"/>
    <cellStyle name="Normal 14 4 3 2" xfId="5867" xr:uid="{00000000-0005-0000-0000-0000E8160000}"/>
    <cellStyle name="Normal 14 4 3 2 2" xfId="5868" xr:uid="{00000000-0005-0000-0000-0000E9160000}"/>
    <cellStyle name="Normal 14 4 3 2 2 2" xfId="5869" xr:uid="{00000000-0005-0000-0000-0000EA160000}"/>
    <cellStyle name="Normal 14 4 3 2 3" xfId="5870" xr:uid="{00000000-0005-0000-0000-0000EB160000}"/>
    <cellStyle name="Normal 14 4 3 3" xfId="5871" xr:uid="{00000000-0005-0000-0000-0000EC160000}"/>
    <cellStyle name="Normal 14 4 3 3 2" xfId="5872" xr:uid="{00000000-0005-0000-0000-0000ED160000}"/>
    <cellStyle name="Normal 14 4 3 4" xfId="5873" xr:uid="{00000000-0005-0000-0000-0000EE160000}"/>
    <cellStyle name="Normal 14 4 4" xfId="5874" xr:uid="{00000000-0005-0000-0000-0000EF160000}"/>
    <cellStyle name="Normal 14 4 4 2" xfId="5875" xr:uid="{00000000-0005-0000-0000-0000F0160000}"/>
    <cellStyle name="Normal 14 4 4 2 2" xfId="5876" xr:uid="{00000000-0005-0000-0000-0000F1160000}"/>
    <cellStyle name="Normal 14 4 4 3" xfId="5877" xr:uid="{00000000-0005-0000-0000-0000F2160000}"/>
    <cellStyle name="Normal 14 4 5" xfId="5878" xr:uid="{00000000-0005-0000-0000-0000F3160000}"/>
    <cellStyle name="Normal 14 4 5 2" xfId="5879" xr:uid="{00000000-0005-0000-0000-0000F4160000}"/>
    <cellStyle name="Normal 14 4 6" xfId="5880" xr:uid="{00000000-0005-0000-0000-0000F5160000}"/>
    <cellStyle name="Normal 14 5" xfId="5881" xr:uid="{00000000-0005-0000-0000-0000F6160000}"/>
    <cellStyle name="Normal 14 5 2" xfId="5882" xr:uid="{00000000-0005-0000-0000-0000F7160000}"/>
    <cellStyle name="Normal 14 5 2 2" xfId="5883" xr:uid="{00000000-0005-0000-0000-0000F8160000}"/>
    <cellStyle name="Normal 14 5 2 2 2" xfId="5884" xr:uid="{00000000-0005-0000-0000-0000F9160000}"/>
    <cellStyle name="Normal 14 5 2 2 2 2" xfId="5885" xr:uid="{00000000-0005-0000-0000-0000FA160000}"/>
    <cellStyle name="Normal 14 5 2 2 3" xfId="5886" xr:uid="{00000000-0005-0000-0000-0000FB160000}"/>
    <cellStyle name="Normal 14 5 2 3" xfId="5887" xr:uid="{00000000-0005-0000-0000-0000FC160000}"/>
    <cellStyle name="Normal 14 5 2 3 2" xfId="5888" xr:uid="{00000000-0005-0000-0000-0000FD160000}"/>
    <cellStyle name="Normal 14 5 2 4" xfId="5889" xr:uid="{00000000-0005-0000-0000-0000FE160000}"/>
    <cellStyle name="Normal 14 5 3" xfId="5890" xr:uid="{00000000-0005-0000-0000-0000FF160000}"/>
    <cellStyle name="Normal 14 5 3 2" xfId="5891" xr:uid="{00000000-0005-0000-0000-000000170000}"/>
    <cellStyle name="Normal 14 5 3 2 2" xfId="5892" xr:uid="{00000000-0005-0000-0000-000001170000}"/>
    <cellStyle name="Normal 14 5 3 3" xfId="5893" xr:uid="{00000000-0005-0000-0000-000002170000}"/>
    <cellStyle name="Normal 14 5 4" xfId="5894" xr:uid="{00000000-0005-0000-0000-000003170000}"/>
    <cellStyle name="Normal 14 5 4 2" xfId="5895" xr:uid="{00000000-0005-0000-0000-000004170000}"/>
    <cellStyle name="Normal 14 5 5" xfId="5896" xr:uid="{00000000-0005-0000-0000-000005170000}"/>
    <cellStyle name="Normal 14 6" xfId="5897" xr:uid="{00000000-0005-0000-0000-000006170000}"/>
    <cellStyle name="Normal 14 6 2" xfId="5898" xr:uid="{00000000-0005-0000-0000-000007170000}"/>
    <cellStyle name="Normal 14 6 2 2" xfId="5899" xr:uid="{00000000-0005-0000-0000-000008170000}"/>
    <cellStyle name="Normal 14 6 2 2 2" xfId="5900" xr:uid="{00000000-0005-0000-0000-000009170000}"/>
    <cellStyle name="Normal 14 6 2 3" xfId="5901" xr:uid="{00000000-0005-0000-0000-00000A170000}"/>
    <cellStyle name="Normal 14 6 3" xfId="5902" xr:uid="{00000000-0005-0000-0000-00000B170000}"/>
    <cellStyle name="Normal 14 6 3 2" xfId="5903" xr:uid="{00000000-0005-0000-0000-00000C170000}"/>
    <cellStyle name="Normal 14 6 4" xfId="5904" xr:uid="{00000000-0005-0000-0000-00000D170000}"/>
    <cellStyle name="Normal 14 7" xfId="5905" xr:uid="{00000000-0005-0000-0000-00000E170000}"/>
    <cellStyle name="Normal 14 7 2" xfId="5906" xr:uid="{00000000-0005-0000-0000-00000F170000}"/>
    <cellStyle name="Normal 14 7 2 2" xfId="5907" xr:uid="{00000000-0005-0000-0000-000010170000}"/>
    <cellStyle name="Normal 14 7 3" xfId="5908" xr:uid="{00000000-0005-0000-0000-000011170000}"/>
    <cellStyle name="Normal 14 8" xfId="5909" xr:uid="{00000000-0005-0000-0000-000012170000}"/>
    <cellStyle name="Normal 14 8 2" xfId="5910" xr:uid="{00000000-0005-0000-0000-000013170000}"/>
    <cellStyle name="Normal 14 9" xfId="5911" xr:uid="{00000000-0005-0000-0000-000014170000}"/>
    <cellStyle name="Normal 15" xfId="5912" xr:uid="{00000000-0005-0000-0000-000015170000}"/>
    <cellStyle name="Normal 15 2" xfId="5913" xr:uid="{00000000-0005-0000-0000-000016170000}"/>
    <cellStyle name="Normal 15 2 2" xfId="5914" xr:uid="{00000000-0005-0000-0000-000017170000}"/>
    <cellStyle name="Normal 15 2 2 2" xfId="5915" xr:uid="{00000000-0005-0000-0000-000018170000}"/>
    <cellStyle name="Normal 15 2 2 2 2" xfId="5916" xr:uid="{00000000-0005-0000-0000-000019170000}"/>
    <cellStyle name="Normal 15 2 2 2 2 2" xfId="5917" xr:uid="{00000000-0005-0000-0000-00001A170000}"/>
    <cellStyle name="Normal 15 2 2 2 2 2 2" xfId="5918" xr:uid="{00000000-0005-0000-0000-00001B170000}"/>
    <cellStyle name="Normal 15 2 2 2 2 2 2 2" xfId="5919" xr:uid="{00000000-0005-0000-0000-00001C170000}"/>
    <cellStyle name="Normal 15 2 2 2 2 2 3" xfId="5920" xr:uid="{00000000-0005-0000-0000-00001D170000}"/>
    <cellStyle name="Normal 15 2 2 2 2 3" xfId="5921" xr:uid="{00000000-0005-0000-0000-00001E170000}"/>
    <cellStyle name="Normal 15 2 2 2 2 3 2" xfId="5922" xr:uid="{00000000-0005-0000-0000-00001F170000}"/>
    <cellStyle name="Normal 15 2 2 2 2 4" xfId="5923" xr:uid="{00000000-0005-0000-0000-000020170000}"/>
    <cellStyle name="Normal 15 2 2 2 3" xfId="5924" xr:uid="{00000000-0005-0000-0000-000021170000}"/>
    <cellStyle name="Normal 15 2 2 2 3 2" xfId="5925" xr:uid="{00000000-0005-0000-0000-000022170000}"/>
    <cellStyle name="Normal 15 2 2 2 3 2 2" xfId="5926" xr:uid="{00000000-0005-0000-0000-000023170000}"/>
    <cellStyle name="Normal 15 2 2 2 3 3" xfId="5927" xr:uid="{00000000-0005-0000-0000-000024170000}"/>
    <cellStyle name="Normal 15 2 2 2 4" xfId="5928" xr:uid="{00000000-0005-0000-0000-000025170000}"/>
    <cellStyle name="Normal 15 2 2 2 4 2" xfId="5929" xr:uid="{00000000-0005-0000-0000-000026170000}"/>
    <cellStyle name="Normal 15 2 2 2 5" xfId="5930" xr:uid="{00000000-0005-0000-0000-000027170000}"/>
    <cellStyle name="Normal 15 2 2 3" xfId="5931" xr:uid="{00000000-0005-0000-0000-000028170000}"/>
    <cellStyle name="Normal 15 2 2 3 2" xfId="5932" xr:uid="{00000000-0005-0000-0000-000029170000}"/>
    <cellStyle name="Normal 15 2 2 3 2 2" xfId="5933" xr:uid="{00000000-0005-0000-0000-00002A170000}"/>
    <cellStyle name="Normal 15 2 2 3 2 2 2" xfId="5934" xr:uid="{00000000-0005-0000-0000-00002B170000}"/>
    <cellStyle name="Normal 15 2 2 3 2 3" xfId="5935" xr:uid="{00000000-0005-0000-0000-00002C170000}"/>
    <cellStyle name="Normal 15 2 2 3 3" xfId="5936" xr:uid="{00000000-0005-0000-0000-00002D170000}"/>
    <cellStyle name="Normal 15 2 2 3 3 2" xfId="5937" xr:uid="{00000000-0005-0000-0000-00002E170000}"/>
    <cellStyle name="Normal 15 2 2 3 4" xfId="5938" xr:uid="{00000000-0005-0000-0000-00002F170000}"/>
    <cellStyle name="Normal 15 2 2 4" xfId="5939" xr:uid="{00000000-0005-0000-0000-000030170000}"/>
    <cellStyle name="Normal 15 2 2 4 2" xfId="5940" xr:uid="{00000000-0005-0000-0000-000031170000}"/>
    <cellStyle name="Normal 15 2 2 4 2 2" xfId="5941" xr:uid="{00000000-0005-0000-0000-000032170000}"/>
    <cellStyle name="Normal 15 2 2 4 3" xfId="5942" xr:uid="{00000000-0005-0000-0000-000033170000}"/>
    <cellStyle name="Normal 15 2 2 5" xfId="5943" xr:uid="{00000000-0005-0000-0000-000034170000}"/>
    <cellStyle name="Normal 15 2 2 5 2" xfId="5944" xr:uid="{00000000-0005-0000-0000-000035170000}"/>
    <cellStyle name="Normal 15 2 2 6" xfId="5945" xr:uid="{00000000-0005-0000-0000-000036170000}"/>
    <cellStyle name="Normal 15 2 3" xfId="5946" xr:uid="{00000000-0005-0000-0000-000037170000}"/>
    <cellStyle name="Normal 15 2 3 2" xfId="5947" xr:uid="{00000000-0005-0000-0000-000038170000}"/>
    <cellStyle name="Normal 15 2 3 2 2" xfId="5948" xr:uid="{00000000-0005-0000-0000-000039170000}"/>
    <cellStyle name="Normal 15 2 3 2 2 2" xfId="5949" xr:uid="{00000000-0005-0000-0000-00003A170000}"/>
    <cellStyle name="Normal 15 2 3 2 2 2 2" xfId="5950" xr:uid="{00000000-0005-0000-0000-00003B170000}"/>
    <cellStyle name="Normal 15 2 3 2 2 3" xfId="5951" xr:uid="{00000000-0005-0000-0000-00003C170000}"/>
    <cellStyle name="Normal 15 2 3 2 3" xfId="5952" xr:uid="{00000000-0005-0000-0000-00003D170000}"/>
    <cellStyle name="Normal 15 2 3 2 3 2" xfId="5953" xr:uid="{00000000-0005-0000-0000-00003E170000}"/>
    <cellStyle name="Normal 15 2 3 2 4" xfId="5954" xr:uid="{00000000-0005-0000-0000-00003F170000}"/>
    <cellStyle name="Normal 15 2 3 3" xfId="5955" xr:uid="{00000000-0005-0000-0000-000040170000}"/>
    <cellStyle name="Normal 15 2 3 3 2" xfId="5956" xr:uid="{00000000-0005-0000-0000-000041170000}"/>
    <cellStyle name="Normal 15 2 3 3 2 2" xfId="5957" xr:uid="{00000000-0005-0000-0000-000042170000}"/>
    <cellStyle name="Normal 15 2 3 3 3" xfId="5958" xr:uid="{00000000-0005-0000-0000-000043170000}"/>
    <cellStyle name="Normal 15 2 3 4" xfId="5959" xr:uid="{00000000-0005-0000-0000-000044170000}"/>
    <cellStyle name="Normal 15 2 3 4 2" xfId="5960" xr:uid="{00000000-0005-0000-0000-000045170000}"/>
    <cellStyle name="Normal 15 2 3 5" xfId="5961" xr:uid="{00000000-0005-0000-0000-000046170000}"/>
    <cellStyle name="Normal 15 2 4" xfId="5962" xr:uid="{00000000-0005-0000-0000-000047170000}"/>
    <cellStyle name="Normal 15 2 4 2" xfId="5963" xr:uid="{00000000-0005-0000-0000-000048170000}"/>
    <cellStyle name="Normal 15 2 4 2 2" xfId="5964" xr:uid="{00000000-0005-0000-0000-000049170000}"/>
    <cellStyle name="Normal 15 2 4 2 2 2" xfId="5965" xr:uid="{00000000-0005-0000-0000-00004A170000}"/>
    <cellStyle name="Normal 15 2 4 2 3" xfId="5966" xr:uid="{00000000-0005-0000-0000-00004B170000}"/>
    <cellStyle name="Normal 15 2 4 3" xfId="5967" xr:uid="{00000000-0005-0000-0000-00004C170000}"/>
    <cellStyle name="Normal 15 2 4 3 2" xfId="5968" xr:uid="{00000000-0005-0000-0000-00004D170000}"/>
    <cellStyle name="Normal 15 2 4 4" xfId="5969" xr:uid="{00000000-0005-0000-0000-00004E170000}"/>
    <cellStyle name="Normal 15 2 5" xfId="5970" xr:uid="{00000000-0005-0000-0000-00004F170000}"/>
    <cellStyle name="Normal 15 2 5 2" xfId="5971" xr:uid="{00000000-0005-0000-0000-000050170000}"/>
    <cellStyle name="Normal 15 2 5 2 2" xfId="5972" xr:uid="{00000000-0005-0000-0000-000051170000}"/>
    <cellStyle name="Normal 15 2 5 3" xfId="5973" xr:uid="{00000000-0005-0000-0000-000052170000}"/>
    <cellStyle name="Normal 15 2 6" xfId="5974" xr:uid="{00000000-0005-0000-0000-000053170000}"/>
    <cellStyle name="Normal 15 2 6 2" xfId="5975" xr:uid="{00000000-0005-0000-0000-000054170000}"/>
    <cellStyle name="Normal 15 2 7" xfId="5976" xr:uid="{00000000-0005-0000-0000-000055170000}"/>
    <cellStyle name="Normal 15 3" xfId="5977" xr:uid="{00000000-0005-0000-0000-000056170000}"/>
    <cellStyle name="Normal 15 3 2" xfId="5978" xr:uid="{00000000-0005-0000-0000-000057170000}"/>
    <cellStyle name="Normal 15 3 2 2" xfId="5979" xr:uid="{00000000-0005-0000-0000-000058170000}"/>
    <cellStyle name="Normal 15 3 2 2 2" xfId="5980" xr:uid="{00000000-0005-0000-0000-000059170000}"/>
    <cellStyle name="Normal 15 3 2 2 2 2" xfId="5981" xr:uid="{00000000-0005-0000-0000-00005A170000}"/>
    <cellStyle name="Normal 15 3 2 2 2 2 2" xfId="5982" xr:uid="{00000000-0005-0000-0000-00005B170000}"/>
    <cellStyle name="Normal 15 3 2 2 2 3" xfId="5983" xr:uid="{00000000-0005-0000-0000-00005C170000}"/>
    <cellStyle name="Normal 15 3 2 2 3" xfId="5984" xr:uid="{00000000-0005-0000-0000-00005D170000}"/>
    <cellStyle name="Normal 15 3 2 2 3 2" xfId="5985" xr:uid="{00000000-0005-0000-0000-00005E170000}"/>
    <cellStyle name="Normal 15 3 2 2 4" xfId="5986" xr:uid="{00000000-0005-0000-0000-00005F170000}"/>
    <cellStyle name="Normal 15 3 2 3" xfId="5987" xr:uid="{00000000-0005-0000-0000-000060170000}"/>
    <cellStyle name="Normal 15 3 2 3 2" xfId="5988" xr:uid="{00000000-0005-0000-0000-000061170000}"/>
    <cellStyle name="Normal 15 3 2 3 2 2" xfId="5989" xr:uid="{00000000-0005-0000-0000-000062170000}"/>
    <cellStyle name="Normal 15 3 2 3 3" xfId="5990" xr:uid="{00000000-0005-0000-0000-000063170000}"/>
    <cellStyle name="Normal 15 3 2 4" xfId="5991" xr:uid="{00000000-0005-0000-0000-000064170000}"/>
    <cellStyle name="Normal 15 3 2 4 2" xfId="5992" xr:uid="{00000000-0005-0000-0000-000065170000}"/>
    <cellStyle name="Normal 15 3 2 5" xfId="5993" xr:uid="{00000000-0005-0000-0000-000066170000}"/>
    <cellStyle name="Normal 15 3 3" xfId="5994" xr:uid="{00000000-0005-0000-0000-000067170000}"/>
    <cellStyle name="Normal 15 3 3 2" xfId="5995" xr:uid="{00000000-0005-0000-0000-000068170000}"/>
    <cellStyle name="Normal 15 3 3 2 2" xfId="5996" xr:uid="{00000000-0005-0000-0000-000069170000}"/>
    <cellStyle name="Normal 15 3 3 2 2 2" xfId="5997" xr:uid="{00000000-0005-0000-0000-00006A170000}"/>
    <cellStyle name="Normal 15 3 3 2 3" xfId="5998" xr:uid="{00000000-0005-0000-0000-00006B170000}"/>
    <cellStyle name="Normal 15 3 3 3" xfId="5999" xr:uid="{00000000-0005-0000-0000-00006C170000}"/>
    <cellStyle name="Normal 15 3 3 3 2" xfId="6000" xr:uid="{00000000-0005-0000-0000-00006D170000}"/>
    <cellStyle name="Normal 15 3 3 4" xfId="6001" xr:uid="{00000000-0005-0000-0000-00006E170000}"/>
    <cellStyle name="Normal 15 3 4" xfId="6002" xr:uid="{00000000-0005-0000-0000-00006F170000}"/>
    <cellStyle name="Normal 15 3 4 2" xfId="6003" xr:uid="{00000000-0005-0000-0000-000070170000}"/>
    <cellStyle name="Normal 15 3 4 2 2" xfId="6004" xr:uid="{00000000-0005-0000-0000-000071170000}"/>
    <cellStyle name="Normal 15 3 4 3" xfId="6005" xr:uid="{00000000-0005-0000-0000-000072170000}"/>
    <cellStyle name="Normal 15 3 5" xfId="6006" xr:uid="{00000000-0005-0000-0000-000073170000}"/>
    <cellStyle name="Normal 15 3 5 2" xfId="6007" xr:uid="{00000000-0005-0000-0000-000074170000}"/>
    <cellStyle name="Normal 15 3 6" xfId="6008" xr:uid="{00000000-0005-0000-0000-000075170000}"/>
    <cellStyle name="Normal 15 4" xfId="6009" xr:uid="{00000000-0005-0000-0000-000076170000}"/>
    <cellStyle name="Normal 15 4 2" xfId="6010" xr:uid="{00000000-0005-0000-0000-000077170000}"/>
    <cellStyle name="Normal 15 4 2 2" xfId="6011" xr:uid="{00000000-0005-0000-0000-000078170000}"/>
    <cellStyle name="Normal 15 4 2 2 2" xfId="6012" xr:uid="{00000000-0005-0000-0000-000079170000}"/>
    <cellStyle name="Normal 15 4 2 2 2 2" xfId="6013" xr:uid="{00000000-0005-0000-0000-00007A170000}"/>
    <cellStyle name="Normal 15 4 2 2 3" xfId="6014" xr:uid="{00000000-0005-0000-0000-00007B170000}"/>
    <cellStyle name="Normal 15 4 2 3" xfId="6015" xr:uid="{00000000-0005-0000-0000-00007C170000}"/>
    <cellStyle name="Normal 15 4 2 3 2" xfId="6016" xr:uid="{00000000-0005-0000-0000-00007D170000}"/>
    <cellStyle name="Normal 15 4 2 4" xfId="6017" xr:uid="{00000000-0005-0000-0000-00007E170000}"/>
    <cellStyle name="Normal 15 4 3" xfId="6018" xr:uid="{00000000-0005-0000-0000-00007F170000}"/>
    <cellStyle name="Normal 15 4 3 2" xfId="6019" xr:uid="{00000000-0005-0000-0000-000080170000}"/>
    <cellStyle name="Normal 15 4 3 2 2" xfId="6020" xr:uid="{00000000-0005-0000-0000-000081170000}"/>
    <cellStyle name="Normal 15 4 3 3" xfId="6021" xr:uid="{00000000-0005-0000-0000-000082170000}"/>
    <cellStyle name="Normal 15 4 4" xfId="6022" xr:uid="{00000000-0005-0000-0000-000083170000}"/>
    <cellStyle name="Normal 15 4 4 2" xfId="6023" xr:uid="{00000000-0005-0000-0000-000084170000}"/>
    <cellStyle name="Normal 15 4 5" xfId="6024" xr:uid="{00000000-0005-0000-0000-000085170000}"/>
    <cellStyle name="Normal 15 5" xfId="6025" xr:uid="{00000000-0005-0000-0000-000086170000}"/>
    <cellStyle name="Normal 15 5 2" xfId="6026" xr:uid="{00000000-0005-0000-0000-000087170000}"/>
    <cellStyle name="Normal 15 5 2 2" xfId="6027" xr:uid="{00000000-0005-0000-0000-000088170000}"/>
    <cellStyle name="Normal 15 5 2 2 2" xfId="6028" xr:uid="{00000000-0005-0000-0000-000089170000}"/>
    <cellStyle name="Normal 15 5 2 3" xfId="6029" xr:uid="{00000000-0005-0000-0000-00008A170000}"/>
    <cellStyle name="Normal 15 5 3" xfId="6030" xr:uid="{00000000-0005-0000-0000-00008B170000}"/>
    <cellStyle name="Normal 15 5 3 2" xfId="6031" xr:uid="{00000000-0005-0000-0000-00008C170000}"/>
    <cellStyle name="Normal 15 5 4" xfId="6032" xr:uid="{00000000-0005-0000-0000-00008D170000}"/>
    <cellStyle name="Normal 15 6" xfId="6033" xr:uid="{00000000-0005-0000-0000-00008E170000}"/>
    <cellStyle name="Normal 15 6 2" xfId="6034" xr:uid="{00000000-0005-0000-0000-00008F170000}"/>
    <cellStyle name="Normal 15 6 2 2" xfId="6035" xr:uid="{00000000-0005-0000-0000-000090170000}"/>
    <cellStyle name="Normal 15 6 3" xfId="6036" xr:uid="{00000000-0005-0000-0000-000091170000}"/>
    <cellStyle name="Normal 15 7" xfId="6037" xr:uid="{00000000-0005-0000-0000-000092170000}"/>
    <cellStyle name="Normal 15 7 2" xfId="6038" xr:uid="{00000000-0005-0000-0000-000093170000}"/>
    <cellStyle name="Normal 15 8" xfId="6039" xr:uid="{00000000-0005-0000-0000-000094170000}"/>
    <cellStyle name="Normal 16" xfId="6040" xr:uid="{00000000-0005-0000-0000-000095170000}"/>
    <cellStyle name="Normal 16 2" xfId="6041" xr:uid="{00000000-0005-0000-0000-000096170000}"/>
    <cellStyle name="Normal 16 2 2" xfId="6042" xr:uid="{00000000-0005-0000-0000-000097170000}"/>
    <cellStyle name="Normal 16 2 2 2" xfId="6043" xr:uid="{00000000-0005-0000-0000-000098170000}"/>
    <cellStyle name="Normal 16 2 2 2 2" xfId="6044" xr:uid="{00000000-0005-0000-0000-000099170000}"/>
    <cellStyle name="Normal 16 2 2 2 2 2" xfId="6045" xr:uid="{00000000-0005-0000-0000-00009A170000}"/>
    <cellStyle name="Normal 16 2 2 2 2 2 2" xfId="6046" xr:uid="{00000000-0005-0000-0000-00009B170000}"/>
    <cellStyle name="Normal 16 2 2 2 2 3" xfId="6047" xr:uid="{00000000-0005-0000-0000-00009C170000}"/>
    <cellStyle name="Normal 16 2 2 2 3" xfId="6048" xr:uid="{00000000-0005-0000-0000-00009D170000}"/>
    <cellStyle name="Normal 16 2 2 2 3 2" xfId="6049" xr:uid="{00000000-0005-0000-0000-00009E170000}"/>
    <cellStyle name="Normal 16 2 2 2 4" xfId="6050" xr:uid="{00000000-0005-0000-0000-00009F170000}"/>
    <cellStyle name="Normal 16 2 2 3" xfId="6051" xr:uid="{00000000-0005-0000-0000-0000A0170000}"/>
    <cellStyle name="Normal 16 2 2 3 2" xfId="6052" xr:uid="{00000000-0005-0000-0000-0000A1170000}"/>
    <cellStyle name="Normal 16 2 2 3 2 2" xfId="6053" xr:uid="{00000000-0005-0000-0000-0000A2170000}"/>
    <cellStyle name="Normal 16 2 2 3 3" xfId="6054" xr:uid="{00000000-0005-0000-0000-0000A3170000}"/>
    <cellStyle name="Normal 16 2 2 4" xfId="6055" xr:uid="{00000000-0005-0000-0000-0000A4170000}"/>
    <cellStyle name="Normal 16 2 2 4 2" xfId="6056" xr:uid="{00000000-0005-0000-0000-0000A5170000}"/>
    <cellStyle name="Normal 16 2 2 5" xfId="6057" xr:uid="{00000000-0005-0000-0000-0000A6170000}"/>
    <cellStyle name="Normal 16 2 3" xfId="6058" xr:uid="{00000000-0005-0000-0000-0000A7170000}"/>
    <cellStyle name="Normal 16 2 3 2" xfId="6059" xr:uid="{00000000-0005-0000-0000-0000A8170000}"/>
    <cellStyle name="Normal 16 2 3 2 2" xfId="6060" xr:uid="{00000000-0005-0000-0000-0000A9170000}"/>
    <cellStyle name="Normal 16 2 3 2 2 2" xfId="6061" xr:uid="{00000000-0005-0000-0000-0000AA170000}"/>
    <cellStyle name="Normal 16 2 3 2 3" xfId="6062" xr:uid="{00000000-0005-0000-0000-0000AB170000}"/>
    <cellStyle name="Normal 16 2 3 3" xfId="6063" xr:uid="{00000000-0005-0000-0000-0000AC170000}"/>
    <cellStyle name="Normal 16 2 3 3 2" xfId="6064" xr:uid="{00000000-0005-0000-0000-0000AD170000}"/>
    <cellStyle name="Normal 16 2 3 4" xfId="6065" xr:uid="{00000000-0005-0000-0000-0000AE170000}"/>
    <cellStyle name="Normal 16 2 4" xfId="6066" xr:uid="{00000000-0005-0000-0000-0000AF170000}"/>
    <cellStyle name="Normal 16 2 4 2" xfId="6067" xr:uid="{00000000-0005-0000-0000-0000B0170000}"/>
    <cellStyle name="Normal 16 2 4 2 2" xfId="6068" xr:uid="{00000000-0005-0000-0000-0000B1170000}"/>
    <cellStyle name="Normal 16 2 4 3" xfId="6069" xr:uid="{00000000-0005-0000-0000-0000B2170000}"/>
    <cellStyle name="Normal 16 2 5" xfId="6070" xr:uid="{00000000-0005-0000-0000-0000B3170000}"/>
    <cellStyle name="Normal 16 2 5 2" xfId="6071" xr:uid="{00000000-0005-0000-0000-0000B4170000}"/>
    <cellStyle name="Normal 16 2 6" xfId="6072" xr:uid="{00000000-0005-0000-0000-0000B5170000}"/>
    <cellStyle name="Normal 16 3" xfId="6073" xr:uid="{00000000-0005-0000-0000-0000B6170000}"/>
    <cellStyle name="Normal 16 3 2" xfId="6074" xr:uid="{00000000-0005-0000-0000-0000B7170000}"/>
    <cellStyle name="Normal 16 3 2 2" xfId="6075" xr:uid="{00000000-0005-0000-0000-0000B8170000}"/>
    <cellStyle name="Normal 16 3 2 2 2" xfId="6076" xr:uid="{00000000-0005-0000-0000-0000B9170000}"/>
    <cellStyle name="Normal 16 3 2 2 2 2" xfId="6077" xr:uid="{00000000-0005-0000-0000-0000BA170000}"/>
    <cellStyle name="Normal 16 3 2 2 3" xfId="6078" xr:uid="{00000000-0005-0000-0000-0000BB170000}"/>
    <cellStyle name="Normal 16 3 2 3" xfId="6079" xr:uid="{00000000-0005-0000-0000-0000BC170000}"/>
    <cellStyle name="Normal 16 3 2 3 2" xfId="6080" xr:uid="{00000000-0005-0000-0000-0000BD170000}"/>
    <cellStyle name="Normal 16 3 2 4" xfId="6081" xr:uid="{00000000-0005-0000-0000-0000BE170000}"/>
    <cellStyle name="Normal 16 3 3" xfId="6082" xr:uid="{00000000-0005-0000-0000-0000BF170000}"/>
    <cellStyle name="Normal 16 3 3 2" xfId="6083" xr:uid="{00000000-0005-0000-0000-0000C0170000}"/>
    <cellStyle name="Normal 16 3 3 2 2" xfId="6084" xr:uid="{00000000-0005-0000-0000-0000C1170000}"/>
    <cellStyle name="Normal 16 3 3 3" xfId="6085" xr:uid="{00000000-0005-0000-0000-0000C2170000}"/>
    <cellStyle name="Normal 16 3 4" xfId="6086" xr:uid="{00000000-0005-0000-0000-0000C3170000}"/>
    <cellStyle name="Normal 16 3 4 2" xfId="6087" xr:uid="{00000000-0005-0000-0000-0000C4170000}"/>
    <cellStyle name="Normal 16 3 5" xfId="6088" xr:uid="{00000000-0005-0000-0000-0000C5170000}"/>
    <cellStyle name="Normal 16 4" xfId="6089" xr:uid="{00000000-0005-0000-0000-0000C6170000}"/>
    <cellStyle name="Normal 16 4 2" xfId="6090" xr:uid="{00000000-0005-0000-0000-0000C7170000}"/>
    <cellStyle name="Normal 16 4 2 2" xfId="6091" xr:uid="{00000000-0005-0000-0000-0000C8170000}"/>
    <cellStyle name="Normal 16 4 2 2 2" xfId="6092" xr:uid="{00000000-0005-0000-0000-0000C9170000}"/>
    <cellStyle name="Normal 16 4 2 3" xfId="6093" xr:uid="{00000000-0005-0000-0000-0000CA170000}"/>
    <cellStyle name="Normal 16 4 3" xfId="6094" xr:uid="{00000000-0005-0000-0000-0000CB170000}"/>
    <cellStyle name="Normal 16 4 3 2" xfId="6095" xr:uid="{00000000-0005-0000-0000-0000CC170000}"/>
    <cellStyle name="Normal 16 4 4" xfId="6096" xr:uid="{00000000-0005-0000-0000-0000CD170000}"/>
    <cellStyle name="Normal 16 5" xfId="6097" xr:uid="{00000000-0005-0000-0000-0000CE170000}"/>
    <cellStyle name="Normal 16 5 2" xfId="6098" xr:uid="{00000000-0005-0000-0000-0000CF170000}"/>
    <cellStyle name="Normal 16 5 2 2" xfId="6099" xr:uid="{00000000-0005-0000-0000-0000D0170000}"/>
    <cellStyle name="Normal 16 5 3" xfId="6100" xr:uid="{00000000-0005-0000-0000-0000D1170000}"/>
    <cellStyle name="Normal 16 6" xfId="6101" xr:uid="{00000000-0005-0000-0000-0000D2170000}"/>
    <cellStyle name="Normal 16 6 2" xfId="6102" xr:uid="{00000000-0005-0000-0000-0000D3170000}"/>
    <cellStyle name="Normal 16 7" xfId="6103" xr:uid="{00000000-0005-0000-0000-0000D4170000}"/>
    <cellStyle name="Normal 17" xfId="6104" xr:uid="{00000000-0005-0000-0000-0000D5170000}"/>
    <cellStyle name="Normal 17 2" xfId="6105" xr:uid="{00000000-0005-0000-0000-0000D6170000}"/>
    <cellStyle name="Normal 17 2 2" xfId="6106" xr:uid="{00000000-0005-0000-0000-0000D7170000}"/>
    <cellStyle name="Normal 17 2 2 2" xfId="6107" xr:uid="{00000000-0005-0000-0000-0000D8170000}"/>
    <cellStyle name="Normal 17 2 2 2 2" xfId="6108" xr:uid="{00000000-0005-0000-0000-0000D9170000}"/>
    <cellStyle name="Normal 17 2 2 2 2 2" xfId="6109" xr:uid="{00000000-0005-0000-0000-0000DA170000}"/>
    <cellStyle name="Normal 17 2 2 2 3" xfId="6110" xr:uid="{00000000-0005-0000-0000-0000DB170000}"/>
    <cellStyle name="Normal 17 2 2 3" xfId="6111" xr:uid="{00000000-0005-0000-0000-0000DC170000}"/>
    <cellStyle name="Normal 17 2 2 3 2" xfId="6112" xr:uid="{00000000-0005-0000-0000-0000DD170000}"/>
    <cellStyle name="Normal 17 2 2 4" xfId="6113" xr:uid="{00000000-0005-0000-0000-0000DE170000}"/>
    <cellStyle name="Normal 17 2 3" xfId="6114" xr:uid="{00000000-0005-0000-0000-0000DF170000}"/>
    <cellStyle name="Normal 17 2 3 2" xfId="6115" xr:uid="{00000000-0005-0000-0000-0000E0170000}"/>
    <cellStyle name="Normal 17 2 3 2 2" xfId="6116" xr:uid="{00000000-0005-0000-0000-0000E1170000}"/>
    <cellStyle name="Normal 17 2 3 3" xfId="6117" xr:uid="{00000000-0005-0000-0000-0000E2170000}"/>
    <cellStyle name="Normal 17 2 4" xfId="6118" xr:uid="{00000000-0005-0000-0000-0000E3170000}"/>
    <cellStyle name="Normal 17 2 4 2" xfId="6119" xr:uid="{00000000-0005-0000-0000-0000E4170000}"/>
    <cellStyle name="Normal 17 2 5" xfId="6120" xr:uid="{00000000-0005-0000-0000-0000E5170000}"/>
    <cellStyle name="Normal 17 3" xfId="6121" xr:uid="{00000000-0005-0000-0000-0000E6170000}"/>
    <cellStyle name="Normal 17 3 2" xfId="6122" xr:uid="{00000000-0005-0000-0000-0000E7170000}"/>
    <cellStyle name="Normal 17 3 2 2" xfId="6123" xr:uid="{00000000-0005-0000-0000-0000E8170000}"/>
    <cellStyle name="Normal 17 3 2 2 2" xfId="6124" xr:uid="{00000000-0005-0000-0000-0000E9170000}"/>
    <cellStyle name="Normal 17 3 2 3" xfId="6125" xr:uid="{00000000-0005-0000-0000-0000EA170000}"/>
    <cellStyle name="Normal 17 3 3" xfId="6126" xr:uid="{00000000-0005-0000-0000-0000EB170000}"/>
    <cellStyle name="Normal 17 3 3 2" xfId="6127" xr:uid="{00000000-0005-0000-0000-0000EC170000}"/>
    <cellStyle name="Normal 17 3 4" xfId="6128" xr:uid="{00000000-0005-0000-0000-0000ED170000}"/>
    <cellStyle name="Normal 17 4" xfId="6129" xr:uid="{00000000-0005-0000-0000-0000EE170000}"/>
    <cellStyle name="Normal 17 4 2" xfId="6130" xr:uid="{00000000-0005-0000-0000-0000EF170000}"/>
    <cellStyle name="Normal 17 4 2 2" xfId="6131" xr:uid="{00000000-0005-0000-0000-0000F0170000}"/>
    <cellStyle name="Normal 17 4 3" xfId="6132" xr:uid="{00000000-0005-0000-0000-0000F1170000}"/>
    <cellStyle name="Normal 17 5" xfId="6133" xr:uid="{00000000-0005-0000-0000-0000F2170000}"/>
    <cellStyle name="Normal 17 5 2" xfId="6134" xr:uid="{00000000-0005-0000-0000-0000F3170000}"/>
    <cellStyle name="Normal 17 6" xfId="6135" xr:uid="{00000000-0005-0000-0000-0000F4170000}"/>
    <cellStyle name="Normal 18" xfId="6136" xr:uid="{00000000-0005-0000-0000-0000F5170000}"/>
    <cellStyle name="Normal 18 2" xfId="6137" xr:uid="{00000000-0005-0000-0000-0000F6170000}"/>
    <cellStyle name="Normal 18 2 2" xfId="6138" xr:uid="{00000000-0005-0000-0000-0000F7170000}"/>
    <cellStyle name="Normal 18 2 2 2" xfId="6139" xr:uid="{00000000-0005-0000-0000-0000F8170000}"/>
    <cellStyle name="Normal 18 2 2 2 2" xfId="6140" xr:uid="{00000000-0005-0000-0000-0000F9170000}"/>
    <cellStyle name="Normal 18 2 2 3" xfId="6141" xr:uid="{00000000-0005-0000-0000-0000FA170000}"/>
    <cellStyle name="Normal 18 2 3" xfId="6142" xr:uid="{00000000-0005-0000-0000-0000FB170000}"/>
    <cellStyle name="Normal 18 2 3 2" xfId="6143" xr:uid="{00000000-0005-0000-0000-0000FC170000}"/>
    <cellStyle name="Normal 18 2 4" xfId="6144" xr:uid="{00000000-0005-0000-0000-0000FD170000}"/>
    <cellStyle name="Normal 18 3" xfId="6145" xr:uid="{00000000-0005-0000-0000-0000FE170000}"/>
    <cellStyle name="Normal 18 3 2" xfId="6146" xr:uid="{00000000-0005-0000-0000-0000FF170000}"/>
    <cellStyle name="Normal 18 3 2 2" xfId="6147" xr:uid="{00000000-0005-0000-0000-000000180000}"/>
    <cellStyle name="Normal 18 3 3" xfId="6148" xr:uid="{00000000-0005-0000-0000-000001180000}"/>
    <cellStyle name="Normal 18 4" xfId="6149" xr:uid="{00000000-0005-0000-0000-000002180000}"/>
    <cellStyle name="Normal 18 4 2" xfId="6150" xr:uid="{00000000-0005-0000-0000-000003180000}"/>
    <cellStyle name="Normal 18 5" xfId="6151" xr:uid="{00000000-0005-0000-0000-000004180000}"/>
    <cellStyle name="Normal 19" xfId="6152" xr:uid="{00000000-0005-0000-0000-000005180000}"/>
    <cellStyle name="Normal 19 2" xfId="6153" xr:uid="{00000000-0005-0000-0000-000006180000}"/>
    <cellStyle name="Normal 19 2 2" xfId="6154" xr:uid="{00000000-0005-0000-0000-000007180000}"/>
    <cellStyle name="Normal 19 2 2 2" xfId="6155" xr:uid="{00000000-0005-0000-0000-000008180000}"/>
    <cellStyle name="Normal 19 2 3" xfId="6156" xr:uid="{00000000-0005-0000-0000-000009180000}"/>
    <cellStyle name="Normal 19 3" xfId="6157" xr:uid="{00000000-0005-0000-0000-00000A180000}"/>
    <cellStyle name="Normal 19 3 2" xfId="6158" xr:uid="{00000000-0005-0000-0000-00000B180000}"/>
    <cellStyle name="Normal 19 4" xfId="6159" xr:uid="{00000000-0005-0000-0000-00000C180000}"/>
    <cellStyle name="Normal 2" xfId="2" xr:uid="{00000000-0005-0000-0000-00000D180000}"/>
    <cellStyle name="Normal 2 2" xfId="4" xr:uid="{00000000-0005-0000-0000-00000E180000}"/>
    <cellStyle name="Normal 2 3" xfId="6160" xr:uid="{00000000-0005-0000-0000-00000F180000}"/>
    <cellStyle name="Normal 20" xfId="6161" xr:uid="{00000000-0005-0000-0000-000010180000}"/>
    <cellStyle name="Normal 20 2" xfId="6162" xr:uid="{00000000-0005-0000-0000-000011180000}"/>
    <cellStyle name="Normal 20 2 2" xfId="6163" xr:uid="{00000000-0005-0000-0000-000012180000}"/>
    <cellStyle name="Normal 20 3" xfId="6164" xr:uid="{00000000-0005-0000-0000-000013180000}"/>
    <cellStyle name="Normal 21" xfId="6165" xr:uid="{00000000-0005-0000-0000-000014180000}"/>
    <cellStyle name="Normal 22" xfId="6166" xr:uid="{00000000-0005-0000-0000-000015180000}"/>
    <cellStyle name="Normal 22 2" xfId="6167" xr:uid="{00000000-0005-0000-0000-000016180000}"/>
    <cellStyle name="Normal 23" xfId="6168" xr:uid="{00000000-0005-0000-0000-000017180000}"/>
    <cellStyle name="Normal 24" xfId="6169" xr:uid="{00000000-0005-0000-0000-000018180000}"/>
    <cellStyle name="Normal 24 2" xfId="6170" xr:uid="{00000000-0005-0000-0000-000019180000}"/>
    <cellStyle name="Normal 24 2 2" xfId="6171" xr:uid="{00000000-0005-0000-0000-00001A180000}"/>
    <cellStyle name="Normal 24 2 2 3" xfId="6172" xr:uid="{00000000-0005-0000-0000-00001B180000}"/>
    <cellStyle name="Normal 24 2 2 3 2" xfId="6173" xr:uid="{00000000-0005-0000-0000-00001C180000}"/>
    <cellStyle name="Normal 24 2 2 4" xfId="6174" xr:uid="{00000000-0005-0000-0000-00001D180000}"/>
    <cellStyle name="Normal 24 2 2 4 2" xfId="6175" xr:uid="{00000000-0005-0000-0000-00001E180000}"/>
    <cellStyle name="Normal 24 2 2 5" xfId="1" xr:uid="{00000000-0005-0000-0000-00001F180000}"/>
    <cellStyle name="Normal 24 2 2 5 2" xfId="3" xr:uid="{00000000-0005-0000-0000-000020180000}"/>
    <cellStyle name="Normal 24 3" xfId="6176" xr:uid="{00000000-0005-0000-0000-000021180000}"/>
    <cellStyle name="Normal 24 3 2" xfId="6177" xr:uid="{00000000-0005-0000-0000-000022180000}"/>
    <cellStyle name="Normal 24 4" xfId="6178" xr:uid="{00000000-0005-0000-0000-000023180000}"/>
    <cellStyle name="Normal 24 4 2" xfId="6179" xr:uid="{00000000-0005-0000-0000-000024180000}"/>
    <cellStyle name="Normal 24 5" xfId="6180" xr:uid="{00000000-0005-0000-0000-000025180000}"/>
    <cellStyle name="Normal 24 5 2" xfId="6181" xr:uid="{00000000-0005-0000-0000-000026180000}"/>
    <cellStyle name="Normal 24 6" xfId="6182" xr:uid="{00000000-0005-0000-0000-000027180000}"/>
    <cellStyle name="Normal 24 6 2" xfId="6183" xr:uid="{00000000-0005-0000-0000-000028180000}"/>
    <cellStyle name="Normal 24 7" xfId="6184" xr:uid="{00000000-0005-0000-0000-000029180000}"/>
    <cellStyle name="Normal 24 7 2" xfId="6185" xr:uid="{00000000-0005-0000-0000-00002A180000}"/>
    <cellStyle name="Normal 24 8" xfId="6186" xr:uid="{00000000-0005-0000-0000-00002B180000}"/>
    <cellStyle name="Normal 24 8 2" xfId="6187" xr:uid="{00000000-0005-0000-0000-00002C180000}"/>
    <cellStyle name="Normal 24 9" xfId="6188" xr:uid="{00000000-0005-0000-0000-00002D180000}"/>
    <cellStyle name="Normal 24 9 2" xfId="6189" xr:uid="{00000000-0005-0000-0000-00002E180000}"/>
    <cellStyle name="Normal 25" xfId="6190" xr:uid="{00000000-0005-0000-0000-00002F180000}"/>
    <cellStyle name="Normal 25 2" xfId="6191" xr:uid="{00000000-0005-0000-0000-000030180000}"/>
    <cellStyle name="Normal 26" xfId="6192" xr:uid="{00000000-0005-0000-0000-000031180000}"/>
    <cellStyle name="Normal 26 2" xfId="6193" xr:uid="{00000000-0005-0000-0000-000032180000}"/>
    <cellStyle name="Normal 26 2 2" xfId="6194" xr:uid="{00000000-0005-0000-0000-000033180000}"/>
    <cellStyle name="Normal 26 2 2 2" xfId="6195" xr:uid="{00000000-0005-0000-0000-000034180000}"/>
    <cellStyle name="Normal 26 2 2 2 2" xfId="6196" xr:uid="{00000000-0005-0000-0000-000035180000}"/>
    <cellStyle name="Normal 26 2 2 2 2 2" xfId="6197" xr:uid="{00000000-0005-0000-0000-000036180000}"/>
    <cellStyle name="Normal 26 2 2 2 3" xfId="6198" xr:uid="{00000000-0005-0000-0000-000037180000}"/>
    <cellStyle name="Normal 26 2 2 3" xfId="6199" xr:uid="{00000000-0005-0000-0000-000038180000}"/>
    <cellStyle name="Normal 26 2 2 3 2" xfId="6200" xr:uid="{00000000-0005-0000-0000-000039180000}"/>
    <cellStyle name="Normal 26 2 2 3 2 2" xfId="6201" xr:uid="{00000000-0005-0000-0000-00003A180000}"/>
    <cellStyle name="Normal 26 2 3" xfId="6202" xr:uid="{00000000-0005-0000-0000-00003B180000}"/>
    <cellStyle name="Normal 26 2 3 2" xfId="6203" xr:uid="{00000000-0005-0000-0000-00003C180000}"/>
    <cellStyle name="Normal 26 2 4" xfId="6204" xr:uid="{00000000-0005-0000-0000-00003D180000}"/>
    <cellStyle name="Normal 26 3" xfId="6205" xr:uid="{00000000-0005-0000-0000-00003E180000}"/>
    <cellStyle name="Normal 26 3 2" xfId="6206" xr:uid="{00000000-0005-0000-0000-00003F180000}"/>
    <cellStyle name="Normal 26 4" xfId="6207" xr:uid="{00000000-0005-0000-0000-000040180000}"/>
    <cellStyle name="Normal 26 4 2" xfId="6208" xr:uid="{00000000-0005-0000-0000-000041180000}"/>
    <cellStyle name="Normal 27" xfId="6209" xr:uid="{00000000-0005-0000-0000-000042180000}"/>
    <cellStyle name="Normal 27 2" xfId="6210" xr:uid="{00000000-0005-0000-0000-000043180000}"/>
    <cellStyle name="Normal 27 2 2" xfId="6211" xr:uid="{00000000-0005-0000-0000-000044180000}"/>
    <cellStyle name="Normal 27 2 2 2" xfId="6212" xr:uid="{00000000-0005-0000-0000-000045180000}"/>
    <cellStyle name="Normal 27 2 2 2 2" xfId="6213" xr:uid="{00000000-0005-0000-0000-000046180000}"/>
    <cellStyle name="Normal 27 2 2 2 2 2" xfId="6214" xr:uid="{00000000-0005-0000-0000-000047180000}"/>
    <cellStyle name="Normal 27 2 2 2 3" xfId="6215" xr:uid="{00000000-0005-0000-0000-000048180000}"/>
    <cellStyle name="Normal 27 2 2 3" xfId="6216" xr:uid="{00000000-0005-0000-0000-000049180000}"/>
    <cellStyle name="Normal 27 2 3" xfId="6217" xr:uid="{00000000-0005-0000-0000-00004A180000}"/>
    <cellStyle name="Normal 27 3" xfId="6218" xr:uid="{00000000-0005-0000-0000-00004B180000}"/>
    <cellStyle name="Normal 28" xfId="12465" xr:uid="{E1A8D8E0-3947-420B-B68F-48FB96C1E856}"/>
    <cellStyle name="Normal 3" xfId="6219" xr:uid="{00000000-0005-0000-0000-00004C180000}"/>
    <cellStyle name="Normal 3 2" xfId="6220" xr:uid="{00000000-0005-0000-0000-00004D180000}"/>
    <cellStyle name="Normal 3 2 2" xfId="6221" xr:uid="{00000000-0005-0000-0000-00004E180000}"/>
    <cellStyle name="Normal 3 2 2 2" xfId="6222" xr:uid="{00000000-0005-0000-0000-00004F180000}"/>
    <cellStyle name="Normal 3 2 2 2 2" xfId="6223" xr:uid="{00000000-0005-0000-0000-000050180000}"/>
    <cellStyle name="Normal 3 2 2 2 2 2" xfId="6224" xr:uid="{00000000-0005-0000-0000-000051180000}"/>
    <cellStyle name="Normal 3 2 2 2 2 2 2" xfId="6225" xr:uid="{00000000-0005-0000-0000-000052180000}"/>
    <cellStyle name="Normal 3 2 2 2 2 3" xfId="6226" xr:uid="{00000000-0005-0000-0000-000053180000}"/>
    <cellStyle name="Normal 3 2 2 2 2 3 2" xfId="6227" xr:uid="{00000000-0005-0000-0000-000054180000}"/>
    <cellStyle name="Normal 3 2 2 2 2 4" xfId="6228" xr:uid="{00000000-0005-0000-0000-000055180000}"/>
    <cellStyle name="Normal 3 2 2 2 3" xfId="6229" xr:uid="{00000000-0005-0000-0000-000056180000}"/>
    <cellStyle name="Normal 3 2 2 2 3 2" xfId="6230" xr:uid="{00000000-0005-0000-0000-000057180000}"/>
    <cellStyle name="Normal 3 2 2 2 4" xfId="6231" xr:uid="{00000000-0005-0000-0000-000058180000}"/>
    <cellStyle name="Normal 3 2 2 2 4 2" xfId="6232" xr:uid="{00000000-0005-0000-0000-000059180000}"/>
    <cellStyle name="Normal 3 2 2 2 5" xfId="6233" xr:uid="{00000000-0005-0000-0000-00005A180000}"/>
    <cellStyle name="Normal 3 2 2 3" xfId="6234" xr:uid="{00000000-0005-0000-0000-00005B180000}"/>
    <cellStyle name="Normal 3 2 2 3 2" xfId="6235" xr:uid="{00000000-0005-0000-0000-00005C180000}"/>
    <cellStyle name="Normal 3 2 2 3 2 2" xfId="6236" xr:uid="{00000000-0005-0000-0000-00005D180000}"/>
    <cellStyle name="Normal 3 2 2 3 3" xfId="6237" xr:uid="{00000000-0005-0000-0000-00005E180000}"/>
    <cellStyle name="Normal 3 2 2 3 3 2" xfId="6238" xr:uid="{00000000-0005-0000-0000-00005F180000}"/>
    <cellStyle name="Normal 3 2 2 3 4" xfId="6239" xr:uid="{00000000-0005-0000-0000-000060180000}"/>
    <cellStyle name="Normal 3 2 2 4" xfId="6240" xr:uid="{00000000-0005-0000-0000-000061180000}"/>
    <cellStyle name="Normal 3 2 2 4 2" xfId="6241" xr:uid="{00000000-0005-0000-0000-000062180000}"/>
    <cellStyle name="Normal 3 2 2 5" xfId="6242" xr:uid="{00000000-0005-0000-0000-000063180000}"/>
    <cellStyle name="Normal 3 2 2 5 2" xfId="6243" xr:uid="{00000000-0005-0000-0000-000064180000}"/>
    <cellStyle name="Normal 3 2 2 6" xfId="6244" xr:uid="{00000000-0005-0000-0000-000065180000}"/>
    <cellStyle name="Normal 3 2 3" xfId="6245" xr:uid="{00000000-0005-0000-0000-000066180000}"/>
    <cellStyle name="Normal 3 2 3 2" xfId="6246" xr:uid="{00000000-0005-0000-0000-000067180000}"/>
    <cellStyle name="Normal 3 2 3 2 2" xfId="6247" xr:uid="{00000000-0005-0000-0000-000068180000}"/>
    <cellStyle name="Normal 3 2 3 2 2 2" xfId="6248" xr:uid="{00000000-0005-0000-0000-000069180000}"/>
    <cellStyle name="Normal 3 2 3 2 3" xfId="6249" xr:uid="{00000000-0005-0000-0000-00006A180000}"/>
    <cellStyle name="Normal 3 2 3 2 3 2" xfId="6250" xr:uid="{00000000-0005-0000-0000-00006B180000}"/>
    <cellStyle name="Normal 3 2 3 2 4" xfId="6251" xr:uid="{00000000-0005-0000-0000-00006C180000}"/>
    <cellStyle name="Normal 3 2 3 3" xfId="6252" xr:uid="{00000000-0005-0000-0000-00006D180000}"/>
    <cellStyle name="Normal 3 2 3 3 2" xfId="6253" xr:uid="{00000000-0005-0000-0000-00006E180000}"/>
    <cellStyle name="Normal 3 2 3 4" xfId="6254" xr:uid="{00000000-0005-0000-0000-00006F180000}"/>
    <cellStyle name="Normal 3 2 3 4 2" xfId="6255" xr:uid="{00000000-0005-0000-0000-000070180000}"/>
    <cellStyle name="Normal 3 2 3 5" xfId="6256" xr:uid="{00000000-0005-0000-0000-000071180000}"/>
    <cellStyle name="Normal 3 2 4" xfId="6257" xr:uid="{00000000-0005-0000-0000-000072180000}"/>
    <cellStyle name="Normal 3 2 4 2" xfId="6258" xr:uid="{00000000-0005-0000-0000-000073180000}"/>
    <cellStyle name="Normal 3 2 4 2 2" xfId="6259" xr:uid="{00000000-0005-0000-0000-000074180000}"/>
    <cellStyle name="Normal 3 2 4 3" xfId="6260" xr:uid="{00000000-0005-0000-0000-000075180000}"/>
    <cellStyle name="Normal 3 2 4 3 2" xfId="6261" xr:uid="{00000000-0005-0000-0000-000076180000}"/>
    <cellStyle name="Normal 3 2 4 4" xfId="6262" xr:uid="{00000000-0005-0000-0000-000077180000}"/>
    <cellStyle name="Normal 3 2 5" xfId="6263" xr:uid="{00000000-0005-0000-0000-000078180000}"/>
    <cellStyle name="Normal 3 2 5 2" xfId="6264" xr:uid="{00000000-0005-0000-0000-000079180000}"/>
    <cellStyle name="Normal 3 2 6" xfId="6265" xr:uid="{00000000-0005-0000-0000-00007A180000}"/>
    <cellStyle name="Normal 3 2 6 2" xfId="6266" xr:uid="{00000000-0005-0000-0000-00007B180000}"/>
    <cellStyle name="Normal 3 2 7" xfId="6267" xr:uid="{00000000-0005-0000-0000-00007C180000}"/>
    <cellStyle name="Normal 3 3" xfId="6268" xr:uid="{00000000-0005-0000-0000-00007D180000}"/>
    <cellStyle name="Normal 3 3 2" xfId="6269" xr:uid="{00000000-0005-0000-0000-00007E180000}"/>
    <cellStyle name="Normal 3 3 2 2" xfId="6270" xr:uid="{00000000-0005-0000-0000-00007F180000}"/>
    <cellStyle name="Normal 3 3 2 2 2" xfId="6271" xr:uid="{00000000-0005-0000-0000-000080180000}"/>
    <cellStyle name="Normal 3 3 2 2 2 2" xfId="6272" xr:uid="{00000000-0005-0000-0000-000081180000}"/>
    <cellStyle name="Normal 3 3 2 2 3" xfId="6273" xr:uid="{00000000-0005-0000-0000-000082180000}"/>
    <cellStyle name="Normal 3 3 2 2 3 2" xfId="6274" xr:uid="{00000000-0005-0000-0000-000083180000}"/>
    <cellStyle name="Normal 3 3 2 2 4" xfId="6275" xr:uid="{00000000-0005-0000-0000-000084180000}"/>
    <cellStyle name="Normal 3 3 2 3" xfId="6276" xr:uid="{00000000-0005-0000-0000-000085180000}"/>
    <cellStyle name="Normal 3 3 2 3 2" xfId="6277" xr:uid="{00000000-0005-0000-0000-000086180000}"/>
    <cellStyle name="Normal 3 3 2 4" xfId="6278" xr:uid="{00000000-0005-0000-0000-000087180000}"/>
    <cellStyle name="Normal 3 3 2 4 2" xfId="6279" xr:uid="{00000000-0005-0000-0000-000088180000}"/>
    <cellStyle name="Normal 3 3 2 5" xfId="6280" xr:uid="{00000000-0005-0000-0000-000089180000}"/>
    <cellStyle name="Normal 3 3 3" xfId="6281" xr:uid="{00000000-0005-0000-0000-00008A180000}"/>
    <cellStyle name="Normal 3 3 3 2" xfId="6282" xr:uid="{00000000-0005-0000-0000-00008B180000}"/>
    <cellStyle name="Normal 3 3 3 2 2" xfId="6283" xr:uid="{00000000-0005-0000-0000-00008C180000}"/>
    <cellStyle name="Normal 3 3 3 3" xfId="6284" xr:uid="{00000000-0005-0000-0000-00008D180000}"/>
    <cellStyle name="Normal 3 3 3 3 2" xfId="6285" xr:uid="{00000000-0005-0000-0000-00008E180000}"/>
    <cellStyle name="Normal 3 3 3 4" xfId="6286" xr:uid="{00000000-0005-0000-0000-00008F180000}"/>
    <cellStyle name="Normal 3 3 4" xfId="6287" xr:uid="{00000000-0005-0000-0000-000090180000}"/>
    <cellStyle name="Normal 3 3 4 2" xfId="6288" xr:uid="{00000000-0005-0000-0000-000091180000}"/>
    <cellStyle name="Normal 3 3 5" xfId="6289" xr:uid="{00000000-0005-0000-0000-000092180000}"/>
    <cellStyle name="Normal 3 3 5 2" xfId="6290" xr:uid="{00000000-0005-0000-0000-000093180000}"/>
    <cellStyle name="Normal 3 3 6" xfId="6291" xr:uid="{00000000-0005-0000-0000-000094180000}"/>
    <cellStyle name="Normal 3 4" xfId="6292" xr:uid="{00000000-0005-0000-0000-000095180000}"/>
    <cellStyle name="Normal 3 4 2" xfId="6293" xr:uid="{00000000-0005-0000-0000-000096180000}"/>
    <cellStyle name="Normal 3 4 2 2" xfId="6294" xr:uid="{00000000-0005-0000-0000-000097180000}"/>
    <cellStyle name="Normal 3 4 2 2 2" xfId="6295" xr:uid="{00000000-0005-0000-0000-000098180000}"/>
    <cellStyle name="Normal 3 4 2 3" xfId="6296" xr:uid="{00000000-0005-0000-0000-000099180000}"/>
    <cellStyle name="Normal 3 4 2 3 2" xfId="6297" xr:uid="{00000000-0005-0000-0000-00009A180000}"/>
    <cellStyle name="Normal 3 4 2 4" xfId="6298" xr:uid="{00000000-0005-0000-0000-00009B180000}"/>
    <cellStyle name="Normal 3 4 3" xfId="6299" xr:uid="{00000000-0005-0000-0000-00009C180000}"/>
    <cellStyle name="Normal 3 4 3 2" xfId="6300" xr:uid="{00000000-0005-0000-0000-00009D180000}"/>
    <cellStyle name="Normal 3 4 4" xfId="6301" xr:uid="{00000000-0005-0000-0000-00009E180000}"/>
    <cellStyle name="Normal 3 4 4 2" xfId="6302" xr:uid="{00000000-0005-0000-0000-00009F180000}"/>
    <cellStyle name="Normal 3 4 5" xfId="6303" xr:uid="{00000000-0005-0000-0000-0000A0180000}"/>
    <cellStyle name="Normal 3 5" xfId="6304" xr:uid="{00000000-0005-0000-0000-0000A1180000}"/>
    <cellStyle name="Normal 3 5 2" xfId="6305" xr:uid="{00000000-0005-0000-0000-0000A2180000}"/>
    <cellStyle name="Normal 3 5 2 2" xfId="6306" xr:uid="{00000000-0005-0000-0000-0000A3180000}"/>
    <cellStyle name="Normal 3 5 3" xfId="6307" xr:uid="{00000000-0005-0000-0000-0000A4180000}"/>
    <cellStyle name="Normal 3 5 3 2" xfId="6308" xr:uid="{00000000-0005-0000-0000-0000A5180000}"/>
    <cellStyle name="Normal 3 5 4" xfId="6309" xr:uid="{00000000-0005-0000-0000-0000A6180000}"/>
    <cellStyle name="Normal 3 6" xfId="6310" xr:uid="{00000000-0005-0000-0000-0000A7180000}"/>
    <cellStyle name="Normal 3 6 2" xfId="6311" xr:uid="{00000000-0005-0000-0000-0000A8180000}"/>
    <cellStyle name="Normal 3 7" xfId="6312" xr:uid="{00000000-0005-0000-0000-0000A9180000}"/>
    <cellStyle name="Normal 3 7 2" xfId="6313" xr:uid="{00000000-0005-0000-0000-0000AA180000}"/>
    <cellStyle name="Normal 3 8" xfId="6314" xr:uid="{00000000-0005-0000-0000-0000AB180000}"/>
    <cellStyle name="Normal 4" xfId="6315" xr:uid="{00000000-0005-0000-0000-0000AC180000}"/>
    <cellStyle name="Normal 5" xfId="6316" xr:uid="{00000000-0005-0000-0000-0000AD180000}"/>
    <cellStyle name="Normal 5 10" xfId="6317" xr:uid="{00000000-0005-0000-0000-0000AE180000}"/>
    <cellStyle name="Normal 5 10 2" xfId="6318" xr:uid="{00000000-0005-0000-0000-0000AF180000}"/>
    <cellStyle name="Normal 5 10 2 2" xfId="6319" xr:uid="{00000000-0005-0000-0000-0000B0180000}"/>
    <cellStyle name="Normal 5 10 2 2 2" xfId="6320" xr:uid="{00000000-0005-0000-0000-0000B1180000}"/>
    <cellStyle name="Normal 5 10 2 2 2 2" xfId="6321" xr:uid="{00000000-0005-0000-0000-0000B2180000}"/>
    <cellStyle name="Normal 5 10 2 2 3" xfId="6322" xr:uid="{00000000-0005-0000-0000-0000B3180000}"/>
    <cellStyle name="Normal 5 10 2 3" xfId="6323" xr:uid="{00000000-0005-0000-0000-0000B4180000}"/>
    <cellStyle name="Normal 5 10 2 3 2" xfId="6324" xr:uid="{00000000-0005-0000-0000-0000B5180000}"/>
    <cellStyle name="Normal 5 10 2 4" xfId="6325" xr:uid="{00000000-0005-0000-0000-0000B6180000}"/>
    <cellStyle name="Normal 5 10 3" xfId="6326" xr:uid="{00000000-0005-0000-0000-0000B7180000}"/>
    <cellStyle name="Normal 5 10 3 2" xfId="6327" xr:uid="{00000000-0005-0000-0000-0000B8180000}"/>
    <cellStyle name="Normal 5 10 3 2 2" xfId="6328" xr:uid="{00000000-0005-0000-0000-0000B9180000}"/>
    <cellStyle name="Normal 5 10 3 3" xfId="6329" xr:uid="{00000000-0005-0000-0000-0000BA180000}"/>
    <cellStyle name="Normal 5 10 4" xfId="6330" xr:uid="{00000000-0005-0000-0000-0000BB180000}"/>
    <cellStyle name="Normal 5 10 4 2" xfId="6331" xr:uid="{00000000-0005-0000-0000-0000BC180000}"/>
    <cellStyle name="Normal 5 10 5" xfId="6332" xr:uid="{00000000-0005-0000-0000-0000BD180000}"/>
    <cellStyle name="Normal 5 11" xfId="6333" xr:uid="{00000000-0005-0000-0000-0000BE180000}"/>
    <cellStyle name="Normal 5 11 2" xfId="6334" xr:uid="{00000000-0005-0000-0000-0000BF180000}"/>
    <cellStyle name="Normal 5 11 2 2" xfId="6335" xr:uid="{00000000-0005-0000-0000-0000C0180000}"/>
    <cellStyle name="Normal 5 11 2 2 2" xfId="6336" xr:uid="{00000000-0005-0000-0000-0000C1180000}"/>
    <cellStyle name="Normal 5 11 2 3" xfId="6337" xr:uid="{00000000-0005-0000-0000-0000C2180000}"/>
    <cellStyle name="Normal 5 11 3" xfId="6338" xr:uid="{00000000-0005-0000-0000-0000C3180000}"/>
    <cellStyle name="Normal 5 11 3 2" xfId="6339" xr:uid="{00000000-0005-0000-0000-0000C4180000}"/>
    <cellStyle name="Normal 5 11 4" xfId="6340" xr:uid="{00000000-0005-0000-0000-0000C5180000}"/>
    <cellStyle name="Normal 5 12" xfId="6341" xr:uid="{00000000-0005-0000-0000-0000C6180000}"/>
    <cellStyle name="Normal 5 12 2" xfId="6342" xr:uid="{00000000-0005-0000-0000-0000C7180000}"/>
    <cellStyle name="Normal 5 12 2 2" xfId="6343" xr:uid="{00000000-0005-0000-0000-0000C8180000}"/>
    <cellStyle name="Normal 5 12 3" xfId="6344" xr:uid="{00000000-0005-0000-0000-0000C9180000}"/>
    <cellStyle name="Normal 5 13" xfId="6345" xr:uid="{00000000-0005-0000-0000-0000CA180000}"/>
    <cellStyle name="Normal 5 13 2" xfId="6346" xr:uid="{00000000-0005-0000-0000-0000CB180000}"/>
    <cellStyle name="Normal 5 14" xfId="6347" xr:uid="{00000000-0005-0000-0000-0000CC180000}"/>
    <cellStyle name="Normal 5 2" xfId="6348" xr:uid="{00000000-0005-0000-0000-0000CD180000}"/>
    <cellStyle name="Normal 5 2 10" xfId="6349" xr:uid="{00000000-0005-0000-0000-0000CE180000}"/>
    <cellStyle name="Normal 5 2 10 2" xfId="6350" xr:uid="{00000000-0005-0000-0000-0000CF180000}"/>
    <cellStyle name="Normal 5 2 10 2 2" xfId="6351" xr:uid="{00000000-0005-0000-0000-0000D0180000}"/>
    <cellStyle name="Normal 5 2 10 2 2 2" xfId="6352" xr:uid="{00000000-0005-0000-0000-0000D1180000}"/>
    <cellStyle name="Normal 5 2 10 2 3" xfId="6353" xr:uid="{00000000-0005-0000-0000-0000D2180000}"/>
    <cellStyle name="Normal 5 2 10 3" xfId="6354" xr:uid="{00000000-0005-0000-0000-0000D3180000}"/>
    <cellStyle name="Normal 5 2 10 3 2" xfId="6355" xr:uid="{00000000-0005-0000-0000-0000D4180000}"/>
    <cellStyle name="Normal 5 2 10 4" xfId="6356" xr:uid="{00000000-0005-0000-0000-0000D5180000}"/>
    <cellStyle name="Normal 5 2 11" xfId="6357" xr:uid="{00000000-0005-0000-0000-0000D6180000}"/>
    <cellStyle name="Normal 5 2 11 2" xfId="6358" xr:uid="{00000000-0005-0000-0000-0000D7180000}"/>
    <cellStyle name="Normal 5 2 11 2 2" xfId="6359" xr:uid="{00000000-0005-0000-0000-0000D8180000}"/>
    <cellStyle name="Normal 5 2 11 3" xfId="6360" xr:uid="{00000000-0005-0000-0000-0000D9180000}"/>
    <cellStyle name="Normal 5 2 12" xfId="6361" xr:uid="{00000000-0005-0000-0000-0000DA180000}"/>
    <cellStyle name="Normal 5 2 12 2" xfId="6362" xr:uid="{00000000-0005-0000-0000-0000DB180000}"/>
    <cellStyle name="Normal 5 2 13" xfId="6363" xr:uid="{00000000-0005-0000-0000-0000DC180000}"/>
    <cellStyle name="Normal 5 2 2" xfId="6364" xr:uid="{00000000-0005-0000-0000-0000DD180000}"/>
    <cellStyle name="Normal 5 2 2 10" xfId="6365" xr:uid="{00000000-0005-0000-0000-0000DE180000}"/>
    <cellStyle name="Normal 5 2 2 10 2" xfId="6366" xr:uid="{00000000-0005-0000-0000-0000DF180000}"/>
    <cellStyle name="Normal 5 2 2 11" xfId="6367" xr:uid="{00000000-0005-0000-0000-0000E0180000}"/>
    <cellStyle name="Normal 5 2 2 2" xfId="6368" xr:uid="{00000000-0005-0000-0000-0000E1180000}"/>
    <cellStyle name="Normal 5 2 2 2 10" xfId="6369" xr:uid="{00000000-0005-0000-0000-0000E2180000}"/>
    <cellStyle name="Normal 5 2 2 2 2" xfId="6370" xr:uid="{00000000-0005-0000-0000-0000E3180000}"/>
    <cellStyle name="Normal 5 2 2 2 2 2" xfId="6371" xr:uid="{00000000-0005-0000-0000-0000E4180000}"/>
    <cellStyle name="Normal 5 2 2 2 2 2 2" xfId="6372" xr:uid="{00000000-0005-0000-0000-0000E5180000}"/>
    <cellStyle name="Normal 5 2 2 2 2 2 2 2" xfId="6373" xr:uid="{00000000-0005-0000-0000-0000E6180000}"/>
    <cellStyle name="Normal 5 2 2 2 2 2 2 2 2" xfId="6374" xr:uid="{00000000-0005-0000-0000-0000E7180000}"/>
    <cellStyle name="Normal 5 2 2 2 2 2 2 2 2 2" xfId="6375" xr:uid="{00000000-0005-0000-0000-0000E8180000}"/>
    <cellStyle name="Normal 5 2 2 2 2 2 2 2 2 2 2" xfId="6376" xr:uid="{00000000-0005-0000-0000-0000E9180000}"/>
    <cellStyle name="Normal 5 2 2 2 2 2 2 2 2 2 2 2" xfId="6377" xr:uid="{00000000-0005-0000-0000-0000EA180000}"/>
    <cellStyle name="Normal 5 2 2 2 2 2 2 2 2 2 2 2 2" xfId="6378" xr:uid="{00000000-0005-0000-0000-0000EB180000}"/>
    <cellStyle name="Normal 5 2 2 2 2 2 2 2 2 2 2 3" xfId="6379" xr:uid="{00000000-0005-0000-0000-0000EC180000}"/>
    <cellStyle name="Normal 5 2 2 2 2 2 2 2 2 2 3" xfId="6380" xr:uid="{00000000-0005-0000-0000-0000ED180000}"/>
    <cellStyle name="Normal 5 2 2 2 2 2 2 2 2 2 3 2" xfId="6381" xr:uid="{00000000-0005-0000-0000-0000EE180000}"/>
    <cellStyle name="Normal 5 2 2 2 2 2 2 2 2 2 4" xfId="6382" xr:uid="{00000000-0005-0000-0000-0000EF180000}"/>
    <cellStyle name="Normal 5 2 2 2 2 2 2 2 2 3" xfId="6383" xr:uid="{00000000-0005-0000-0000-0000F0180000}"/>
    <cellStyle name="Normal 5 2 2 2 2 2 2 2 2 3 2" xfId="6384" xr:uid="{00000000-0005-0000-0000-0000F1180000}"/>
    <cellStyle name="Normal 5 2 2 2 2 2 2 2 2 3 2 2" xfId="6385" xr:uid="{00000000-0005-0000-0000-0000F2180000}"/>
    <cellStyle name="Normal 5 2 2 2 2 2 2 2 2 3 3" xfId="6386" xr:uid="{00000000-0005-0000-0000-0000F3180000}"/>
    <cellStyle name="Normal 5 2 2 2 2 2 2 2 2 4" xfId="6387" xr:uid="{00000000-0005-0000-0000-0000F4180000}"/>
    <cellStyle name="Normal 5 2 2 2 2 2 2 2 2 4 2" xfId="6388" xr:uid="{00000000-0005-0000-0000-0000F5180000}"/>
    <cellStyle name="Normal 5 2 2 2 2 2 2 2 2 5" xfId="6389" xr:uid="{00000000-0005-0000-0000-0000F6180000}"/>
    <cellStyle name="Normal 5 2 2 2 2 2 2 2 3" xfId="6390" xr:uid="{00000000-0005-0000-0000-0000F7180000}"/>
    <cellStyle name="Normal 5 2 2 2 2 2 2 2 3 2" xfId="6391" xr:uid="{00000000-0005-0000-0000-0000F8180000}"/>
    <cellStyle name="Normal 5 2 2 2 2 2 2 2 3 2 2" xfId="6392" xr:uid="{00000000-0005-0000-0000-0000F9180000}"/>
    <cellStyle name="Normal 5 2 2 2 2 2 2 2 3 2 2 2" xfId="6393" xr:uid="{00000000-0005-0000-0000-0000FA180000}"/>
    <cellStyle name="Normal 5 2 2 2 2 2 2 2 3 2 3" xfId="6394" xr:uid="{00000000-0005-0000-0000-0000FB180000}"/>
    <cellStyle name="Normal 5 2 2 2 2 2 2 2 3 3" xfId="6395" xr:uid="{00000000-0005-0000-0000-0000FC180000}"/>
    <cellStyle name="Normal 5 2 2 2 2 2 2 2 3 3 2" xfId="6396" xr:uid="{00000000-0005-0000-0000-0000FD180000}"/>
    <cellStyle name="Normal 5 2 2 2 2 2 2 2 3 4" xfId="6397" xr:uid="{00000000-0005-0000-0000-0000FE180000}"/>
    <cellStyle name="Normal 5 2 2 2 2 2 2 2 4" xfId="6398" xr:uid="{00000000-0005-0000-0000-0000FF180000}"/>
    <cellStyle name="Normal 5 2 2 2 2 2 2 2 4 2" xfId="6399" xr:uid="{00000000-0005-0000-0000-000000190000}"/>
    <cellStyle name="Normal 5 2 2 2 2 2 2 2 4 2 2" xfId="6400" xr:uid="{00000000-0005-0000-0000-000001190000}"/>
    <cellStyle name="Normal 5 2 2 2 2 2 2 2 4 3" xfId="6401" xr:uid="{00000000-0005-0000-0000-000002190000}"/>
    <cellStyle name="Normal 5 2 2 2 2 2 2 2 5" xfId="6402" xr:uid="{00000000-0005-0000-0000-000003190000}"/>
    <cellStyle name="Normal 5 2 2 2 2 2 2 2 5 2" xfId="6403" xr:uid="{00000000-0005-0000-0000-000004190000}"/>
    <cellStyle name="Normal 5 2 2 2 2 2 2 2 6" xfId="6404" xr:uid="{00000000-0005-0000-0000-000005190000}"/>
    <cellStyle name="Normal 5 2 2 2 2 2 2 3" xfId="6405" xr:uid="{00000000-0005-0000-0000-000006190000}"/>
    <cellStyle name="Normal 5 2 2 2 2 2 2 3 2" xfId="6406" xr:uid="{00000000-0005-0000-0000-000007190000}"/>
    <cellStyle name="Normal 5 2 2 2 2 2 2 3 2 2" xfId="6407" xr:uid="{00000000-0005-0000-0000-000008190000}"/>
    <cellStyle name="Normal 5 2 2 2 2 2 2 3 2 2 2" xfId="6408" xr:uid="{00000000-0005-0000-0000-000009190000}"/>
    <cellStyle name="Normal 5 2 2 2 2 2 2 3 2 2 2 2" xfId="6409" xr:uid="{00000000-0005-0000-0000-00000A190000}"/>
    <cellStyle name="Normal 5 2 2 2 2 2 2 3 2 2 3" xfId="6410" xr:uid="{00000000-0005-0000-0000-00000B190000}"/>
    <cellStyle name="Normal 5 2 2 2 2 2 2 3 2 3" xfId="6411" xr:uid="{00000000-0005-0000-0000-00000C190000}"/>
    <cellStyle name="Normal 5 2 2 2 2 2 2 3 2 3 2" xfId="6412" xr:uid="{00000000-0005-0000-0000-00000D190000}"/>
    <cellStyle name="Normal 5 2 2 2 2 2 2 3 2 4" xfId="6413" xr:uid="{00000000-0005-0000-0000-00000E190000}"/>
    <cellStyle name="Normal 5 2 2 2 2 2 2 3 3" xfId="6414" xr:uid="{00000000-0005-0000-0000-00000F190000}"/>
    <cellStyle name="Normal 5 2 2 2 2 2 2 3 3 2" xfId="6415" xr:uid="{00000000-0005-0000-0000-000010190000}"/>
    <cellStyle name="Normal 5 2 2 2 2 2 2 3 3 2 2" xfId="6416" xr:uid="{00000000-0005-0000-0000-000011190000}"/>
    <cellStyle name="Normal 5 2 2 2 2 2 2 3 3 3" xfId="6417" xr:uid="{00000000-0005-0000-0000-000012190000}"/>
    <cellStyle name="Normal 5 2 2 2 2 2 2 3 4" xfId="6418" xr:uid="{00000000-0005-0000-0000-000013190000}"/>
    <cellStyle name="Normal 5 2 2 2 2 2 2 3 4 2" xfId="6419" xr:uid="{00000000-0005-0000-0000-000014190000}"/>
    <cellStyle name="Normal 5 2 2 2 2 2 2 3 5" xfId="6420" xr:uid="{00000000-0005-0000-0000-000015190000}"/>
    <cellStyle name="Normal 5 2 2 2 2 2 2 4" xfId="6421" xr:uid="{00000000-0005-0000-0000-000016190000}"/>
    <cellStyle name="Normal 5 2 2 2 2 2 2 4 2" xfId="6422" xr:uid="{00000000-0005-0000-0000-000017190000}"/>
    <cellStyle name="Normal 5 2 2 2 2 2 2 4 2 2" xfId="6423" xr:uid="{00000000-0005-0000-0000-000018190000}"/>
    <cellStyle name="Normal 5 2 2 2 2 2 2 4 2 2 2" xfId="6424" xr:uid="{00000000-0005-0000-0000-000019190000}"/>
    <cellStyle name="Normal 5 2 2 2 2 2 2 4 2 3" xfId="6425" xr:uid="{00000000-0005-0000-0000-00001A190000}"/>
    <cellStyle name="Normal 5 2 2 2 2 2 2 4 3" xfId="6426" xr:uid="{00000000-0005-0000-0000-00001B190000}"/>
    <cellStyle name="Normal 5 2 2 2 2 2 2 4 3 2" xfId="6427" xr:uid="{00000000-0005-0000-0000-00001C190000}"/>
    <cellStyle name="Normal 5 2 2 2 2 2 2 4 4" xfId="6428" xr:uid="{00000000-0005-0000-0000-00001D190000}"/>
    <cellStyle name="Normal 5 2 2 2 2 2 2 5" xfId="6429" xr:uid="{00000000-0005-0000-0000-00001E190000}"/>
    <cellStyle name="Normal 5 2 2 2 2 2 2 5 2" xfId="6430" xr:uid="{00000000-0005-0000-0000-00001F190000}"/>
    <cellStyle name="Normal 5 2 2 2 2 2 2 5 2 2" xfId="6431" xr:uid="{00000000-0005-0000-0000-000020190000}"/>
    <cellStyle name="Normal 5 2 2 2 2 2 2 5 3" xfId="6432" xr:uid="{00000000-0005-0000-0000-000021190000}"/>
    <cellStyle name="Normal 5 2 2 2 2 2 2 6" xfId="6433" xr:uid="{00000000-0005-0000-0000-000022190000}"/>
    <cellStyle name="Normal 5 2 2 2 2 2 2 6 2" xfId="6434" xr:uid="{00000000-0005-0000-0000-000023190000}"/>
    <cellStyle name="Normal 5 2 2 2 2 2 2 7" xfId="6435" xr:uid="{00000000-0005-0000-0000-000024190000}"/>
    <cellStyle name="Normal 5 2 2 2 2 2 3" xfId="6436" xr:uid="{00000000-0005-0000-0000-000025190000}"/>
    <cellStyle name="Normal 5 2 2 2 2 2 3 2" xfId="6437" xr:uid="{00000000-0005-0000-0000-000026190000}"/>
    <cellStyle name="Normal 5 2 2 2 2 2 3 2 2" xfId="6438" xr:uid="{00000000-0005-0000-0000-000027190000}"/>
    <cellStyle name="Normal 5 2 2 2 2 2 3 2 2 2" xfId="6439" xr:uid="{00000000-0005-0000-0000-000028190000}"/>
    <cellStyle name="Normal 5 2 2 2 2 2 3 2 2 2 2" xfId="6440" xr:uid="{00000000-0005-0000-0000-000029190000}"/>
    <cellStyle name="Normal 5 2 2 2 2 2 3 2 2 2 2 2" xfId="6441" xr:uid="{00000000-0005-0000-0000-00002A190000}"/>
    <cellStyle name="Normal 5 2 2 2 2 2 3 2 2 2 3" xfId="6442" xr:uid="{00000000-0005-0000-0000-00002B190000}"/>
    <cellStyle name="Normal 5 2 2 2 2 2 3 2 2 3" xfId="6443" xr:uid="{00000000-0005-0000-0000-00002C190000}"/>
    <cellStyle name="Normal 5 2 2 2 2 2 3 2 2 3 2" xfId="6444" xr:uid="{00000000-0005-0000-0000-00002D190000}"/>
    <cellStyle name="Normal 5 2 2 2 2 2 3 2 2 4" xfId="6445" xr:uid="{00000000-0005-0000-0000-00002E190000}"/>
    <cellStyle name="Normal 5 2 2 2 2 2 3 2 3" xfId="6446" xr:uid="{00000000-0005-0000-0000-00002F190000}"/>
    <cellStyle name="Normal 5 2 2 2 2 2 3 2 3 2" xfId="6447" xr:uid="{00000000-0005-0000-0000-000030190000}"/>
    <cellStyle name="Normal 5 2 2 2 2 2 3 2 3 2 2" xfId="6448" xr:uid="{00000000-0005-0000-0000-000031190000}"/>
    <cellStyle name="Normal 5 2 2 2 2 2 3 2 3 3" xfId="6449" xr:uid="{00000000-0005-0000-0000-000032190000}"/>
    <cellStyle name="Normal 5 2 2 2 2 2 3 2 4" xfId="6450" xr:uid="{00000000-0005-0000-0000-000033190000}"/>
    <cellStyle name="Normal 5 2 2 2 2 2 3 2 4 2" xfId="6451" xr:uid="{00000000-0005-0000-0000-000034190000}"/>
    <cellStyle name="Normal 5 2 2 2 2 2 3 2 5" xfId="6452" xr:uid="{00000000-0005-0000-0000-000035190000}"/>
    <cellStyle name="Normal 5 2 2 2 2 2 3 3" xfId="6453" xr:uid="{00000000-0005-0000-0000-000036190000}"/>
    <cellStyle name="Normal 5 2 2 2 2 2 3 3 2" xfId="6454" xr:uid="{00000000-0005-0000-0000-000037190000}"/>
    <cellStyle name="Normal 5 2 2 2 2 2 3 3 2 2" xfId="6455" xr:uid="{00000000-0005-0000-0000-000038190000}"/>
    <cellStyle name="Normal 5 2 2 2 2 2 3 3 2 2 2" xfId="6456" xr:uid="{00000000-0005-0000-0000-000039190000}"/>
    <cellStyle name="Normal 5 2 2 2 2 2 3 3 2 3" xfId="6457" xr:uid="{00000000-0005-0000-0000-00003A190000}"/>
    <cellStyle name="Normal 5 2 2 2 2 2 3 3 3" xfId="6458" xr:uid="{00000000-0005-0000-0000-00003B190000}"/>
    <cellStyle name="Normal 5 2 2 2 2 2 3 3 3 2" xfId="6459" xr:uid="{00000000-0005-0000-0000-00003C190000}"/>
    <cellStyle name="Normal 5 2 2 2 2 2 3 3 4" xfId="6460" xr:uid="{00000000-0005-0000-0000-00003D190000}"/>
    <cellStyle name="Normal 5 2 2 2 2 2 3 4" xfId="6461" xr:uid="{00000000-0005-0000-0000-00003E190000}"/>
    <cellStyle name="Normal 5 2 2 2 2 2 3 4 2" xfId="6462" xr:uid="{00000000-0005-0000-0000-00003F190000}"/>
    <cellStyle name="Normal 5 2 2 2 2 2 3 4 2 2" xfId="6463" xr:uid="{00000000-0005-0000-0000-000040190000}"/>
    <cellStyle name="Normal 5 2 2 2 2 2 3 4 3" xfId="6464" xr:uid="{00000000-0005-0000-0000-000041190000}"/>
    <cellStyle name="Normal 5 2 2 2 2 2 3 5" xfId="6465" xr:uid="{00000000-0005-0000-0000-000042190000}"/>
    <cellStyle name="Normal 5 2 2 2 2 2 3 5 2" xfId="6466" xr:uid="{00000000-0005-0000-0000-000043190000}"/>
    <cellStyle name="Normal 5 2 2 2 2 2 3 6" xfId="6467" xr:uid="{00000000-0005-0000-0000-000044190000}"/>
    <cellStyle name="Normal 5 2 2 2 2 2 4" xfId="6468" xr:uid="{00000000-0005-0000-0000-000045190000}"/>
    <cellStyle name="Normal 5 2 2 2 2 2 4 2" xfId="6469" xr:uid="{00000000-0005-0000-0000-000046190000}"/>
    <cellStyle name="Normal 5 2 2 2 2 2 4 2 2" xfId="6470" xr:uid="{00000000-0005-0000-0000-000047190000}"/>
    <cellStyle name="Normal 5 2 2 2 2 2 4 2 2 2" xfId="6471" xr:uid="{00000000-0005-0000-0000-000048190000}"/>
    <cellStyle name="Normal 5 2 2 2 2 2 4 2 2 2 2" xfId="6472" xr:uid="{00000000-0005-0000-0000-000049190000}"/>
    <cellStyle name="Normal 5 2 2 2 2 2 4 2 2 3" xfId="6473" xr:uid="{00000000-0005-0000-0000-00004A190000}"/>
    <cellStyle name="Normal 5 2 2 2 2 2 4 2 3" xfId="6474" xr:uid="{00000000-0005-0000-0000-00004B190000}"/>
    <cellStyle name="Normal 5 2 2 2 2 2 4 2 3 2" xfId="6475" xr:uid="{00000000-0005-0000-0000-00004C190000}"/>
    <cellStyle name="Normal 5 2 2 2 2 2 4 2 4" xfId="6476" xr:uid="{00000000-0005-0000-0000-00004D190000}"/>
    <cellStyle name="Normal 5 2 2 2 2 2 4 3" xfId="6477" xr:uid="{00000000-0005-0000-0000-00004E190000}"/>
    <cellStyle name="Normal 5 2 2 2 2 2 4 3 2" xfId="6478" xr:uid="{00000000-0005-0000-0000-00004F190000}"/>
    <cellStyle name="Normal 5 2 2 2 2 2 4 3 2 2" xfId="6479" xr:uid="{00000000-0005-0000-0000-000050190000}"/>
    <cellStyle name="Normal 5 2 2 2 2 2 4 3 3" xfId="6480" xr:uid="{00000000-0005-0000-0000-000051190000}"/>
    <cellStyle name="Normal 5 2 2 2 2 2 4 4" xfId="6481" xr:uid="{00000000-0005-0000-0000-000052190000}"/>
    <cellStyle name="Normal 5 2 2 2 2 2 4 4 2" xfId="6482" xr:uid="{00000000-0005-0000-0000-000053190000}"/>
    <cellStyle name="Normal 5 2 2 2 2 2 4 5" xfId="6483" xr:uid="{00000000-0005-0000-0000-000054190000}"/>
    <cellStyle name="Normal 5 2 2 2 2 2 5" xfId="6484" xr:uid="{00000000-0005-0000-0000-000055190000}"/>
    <cellStyle name="Normal 5 2 2 2 2 2 5 2" xfId="6485" xr:uid="{00000000-0005-0000-0000-000056190000}"/>
    <cellStyle name="Normal 5 2 2 2 2 2 5 2 2" xfId="6486" xr:uid="{00000000-0005-0000-0000-000057190000}"/>
    <cellStyle name="Normal 5 2 2 2 2 2 5 2 2 2" xfId="6487" xr:uid="{00000000-0005-0000-0000-000058190000}"/>
    <cellStyle name="Normal 5 2 2 2 2 2 5 2 3" xfId="6488" xr:uid="{00000000-0005-0000-0000-000059190000}"/>
    <cellStyle name="Normal 5 2 2 2 2 2 5 3" xfId="6489" xr:uid="{00000000-0005-0000-0000-00005A190000}"/>
    <cellStyle name="Normal 5 2 2 2 2 2 5 3 2" xfId="6490" xr:uid="{00000000-0005-0000-0000-00005B190000}"/>
    <cellStyle name="Normal 5 2 2 2 2 2 5 4" xfId="6491" xr:uid="{00000000-0005-0000-0000-00005C190000}"/>
    <cellStyle name="Normal 5 2 2 2 2 2 6" xfId="6492" xr:uid="{00000000-0005-0000-0000-00005D190000}"/>
    <cellStyle name="Normal 5 2 2 2 2 2 6 2" xfId="6493" xr:uid="{00000000-0005-0000-0000-00005E190000}"/>
    <cellStyle name="Normal 5 2 2 2 2 2 6 2 2" xfId="6494" xr:uid="{00000000-0005-0000-0000-00005F190000}"/>
    <cellStyle name="Normal 5 2 2 2 2 2 6 3" xfId="6495" xr:uid="{00000000-0005-0000-0000-000060190000}"/>
    <cellStyle name="Normal 5 2 2 2 2 2 7" xfId="6496" xr:uid="{00000000-0005-0000-0000-000061190000}"/>
    <cellStyle name="Normal 5 2 2 2 2 2 7 2" xfId="6497" xr:uid="{00000000-0005-0000-0000-000062190000}"/>
    <cellStyle name="Normal 5 2 2 2 2 2 8" xfId="6498" xr:uid="{00000000-0005-0000-0000-000063190000}"/>
    <cellStyle name="Normal 5 2 2 2 2 3" xfId="6499" xr:uid="{00000000-0005-0000-0000-000064190000}"/>
    <cellStyle name="Normal 5 2 2 2 2 3 2" xfId="6500" xr:uid="{00000000-0005-0000-0000-000065190000}"/>
    <cellStyle name="Normal 5 2 2 2 2 3 2 2" xfId="6501" xr:uid="{00000000-0005-0000-0000-000066190000}"/>
    <cellStyle name="Normal 5 2 2 2 2 3 2 2 2" xfId="6502" xr:uid="{00000000-0005-0000-0000-000067190000}"/>
    <cellStyle name="Normal 5 2 2 2 2 3 2 2 2 2" xfId="6503" xr:uid="{00000000-0005-0000-0000-000068190000}"/>
    <cellStyle name="Normal 5 2 2 2 2 3 2 2 2 2 2" xfId="6504" xr:uid="{00000000-0005-0000-0000-000069190000}"/>
    <cellStyle name="Normal 5 2 2 2 2 3 2 2 2 2 2 2" xfId="6505" xr:uid="{00000000-0005-0000-0000-00006A190000}"/>
    <cellStyle name="Normal 5 2 2 2 2 3 2 2 2 2 3" xfId="6506" xr:uid="{00000000-0005-0000-0000-00006B190000}"/>
    <cellStyle name="Normal 5 2 2 2 2 3 2 2 2 3" xfId="6507" xr:uid="{00000000-0005-0000-0000-00006C190000}"/>
    <cellStyle name="Normal 5 2 2 2 2 3 2 2 2 3 2" xfId="6508" xr:uid="{00000000-0005-0000-0000-00006D190000}"/>
    <cellStyle name="Normal 5 2 2 2 2 3 2 2 2 4" xfId="6509" xr:uid="{00000000-0005-0000-0000-00006E190000}"/>
    <cellStyle name="Normal 5 2 2 2 2 3 2 2 3" xfId="6510" xr:uid="{00000000-0005-0000-0000-00006F190000}"/>
    <cellStyle name="Normal 5 2 2 2 2 3 2 2 3 2" xfId="6511" xr:uid="{00000000-0005-0000-0000-000070190000}"/>
    <cellStyle name="Normal 5 2 2 2 2 3 2 2 3 2 2" xfId="6512" xr:uid="{00000000-0005-0000-0000-000071190000}"/>
    <cellStyle name="Normal 5 2 2 2 2 3 2 2 3 3" xfId="6513" xr:uid="{00000000-0005-0000-0000-000072190000}"/>
    <cellStyle name="Normal 5 2 2 2 2 3 2 2 4" xfId="6514" xr:uid="{00000000-0005-0000-0000-000073190000}"/>
    <cellStyle name="Normal 5 2 2 2 2 3 2 2 4 2" xfId="6515" xr:uid="{00000000-0005-0000-0000-000074190000}"/>
    <cellStyle name="Normal 5 2 2 2 2 3 2 2 5" xfId="6516" xr:uid="{00000000-0005-0000-0000-000075190000}"/>
    <cellStyle name="Normal 5 2 2 2 2 3 2 3" xfId="6517" xr:uid="{00000000-0005-0000-0000-000076190000}"/>
    <cellStyle name="Normal 5 2 2 2 2 3 2 3 2" xfId="6518" xr:uid="{00000000-0005-0000-0000-000077190000}"/>
    <cellStyle name="Normal 5 2 2 2 2 3 2 3 2 2" xfId="6519" xr:uid="{00000000-0005-0000-0000-000078190000}"/>
    <cellStyle name="Normal 5 2 2 2 2 3 2 3 2 2 2" xfId="6520" xr:uid="{00000000-0005-0000-0000-000079190000}"/>
    <cellStyle name="Normal 5 2 2 2 2 3 2 3 2 3" xfId="6521" xr:uid="{00000000-0005-0000-0000-00007A190000}"/>
    <cellStyle name="Normal 5 2 2 2 2 3 2 3 3" xfId="6522" xr:uid="{00000000-0005-0000-0000-00007B190000}"/>
    <cellStyle name="Normal 5 2 2 2 2 3 2 3 3 2" xfId="6523" xr:uid="{00000000-0005-0000-0000-00007C190000}"/>
    <cellStyle name="Normal 5 2 2 2 2 3 2 3 4" xfId="6524" xr:uid="{00000000-0005-0000-0000-00007D190000}"/>
    <cellStyle name="Normal 5 2 2 2 2 3 2 4" xfId="6525" xr:uid="{00000000-0005-0000-0000-00007E190000}"/>
    <cellStyle name="Normal 5 2 2 2 2 3 2 4 2" xfId="6526" xr:uid="{00000000-0005-0000-0000-00007F190000}"/>
    <cellStyle name="Normal 5 2 2 2 2 3 2 4 2 2" xfId="6527" xr:uid="{00000000-0005-0000-0000-000080190000}"/>
    <cellStyle name="Normal 5 2 2 2 2 3 2 4 3" xfId="6528" xr:uid="{00000000-0005-0000-0000-000081190000}"/>
    <cellStyle name="Normal 5 2 2 2 2 3 2 5" xfId="6529" xr:uid="{00000000-0005-0000-0000-000082190000}"/>
    <cellStyle name="Normal 5 2 2 2 2 3 2 5 2" xfId="6530" xr:uid="{00000000-0005-0000-0000-000083190000}"/>
    <cellStyle name="Normal 5 2 2 2 2 3 2 6" xfId="6531" xr:uid="{00000000-0005-0000-0000-000084190000}"/>
    <cellStyle name="Normal 5 2 2 2 2 3 3" xfId="6532" xr:uid="{00000000-0005-0000-0000-000085190000}"/>
    <cellStyle name="Normal 5 2 2 2 2 3 3 2" xfId="6533" xr:uid="{00000000-0005-0000-0000-000086190000}"/>
    <cellStyle name="Normal 5 2 2 2 2 3 3 2 2" xfId="6534" xr:uid="{00000000-0005-0000-0000-000087190000}"/>
    <cellStyle name="Normal 5 2 2 2 2 3 3 2 2 2" xfId="6535" xr:uid="{00000000-0005-0000-0000-000088190000}"/>
    <cellStyle name="Normal 5 2 2 2 2 3 3 2 2 2 2" xfId="6536" xr:uid="{00000000-0005-0000-0000-000089190000}"/>
    <cellStyle name="Normal 5 2 2 2 2 3 3 2 2 3" xfId="6537" xr:uid="{00000000-0005-0000-0000-00008A190000}"/>
    <cellStyle name="Normal 5 2 2 2 2 3 3 2 3" xfId="6538" xr:uid="{00000000-0005-0000-0000-00008B190000}"/>
    <cellStyle name="Normal 5 2 2 2 2 3 3 2 3 2" xfId="6539" xr:uid="{00000000-0005-0000-0000-00008C190000}"/>
    <cellStyle name="Normal 5 2 2 2 2 3 3 2 4" xfId="6540" xr:uid="{00000000-0005-0000-0000-00008D190000}"/>
    <cellStyle name="Normal 5 2 2 2 2 3 3 3" xfId="6541" xr:uid="{00000000-0005-0000-0000-00008E190000}"/>
    <cellStyle name="Normal 5 2 2 2 2 3 3 3 2" xfId="6542" xr:uid="{00000000-0005-0000-0000-00008F190000}"/>
    <cellStyle name="Normal 5 2 2 2 2 3 3 3 2 2" xfId="6543" xr:uid="{00000000-0005-0000-0000-000090190000}"/>
    <cellStyle name="Normal 5 2 2 2 2 3 3 3 3" xfId="6544" xr:uid="{00000000-0005-0000-0000-000091190000}"/>
    <cellStyle name="Normal 5 2 2 2 2 3 3 4" xfId="6545" xr:uid="{00000000-0005-0000-0000-000092190000}"/>
    <cellStyle name="Normal 5 2 2 2 2 3 3 4 2" xfId="6546" xr:uid="{00000000-0005-0000-0000-000093190000}"/>
    <cellStyle name="Normal 5 2 2 2 2 3 3 5" xfId="6547" xr:uid="{00000000-0005-0000-0000-000094190000}"/>
    <cellStyle name="Normal 5 2 2 2 2 3 4" xfId="6548" xr:uid="{00000000-0005-0000-0000-000095190000}"/>
    <cellStyle name="Normal 5 2 2 2 2 3 4 2" xfId="6549" xr:uid="{00000000-0005-0000-0000-000096190000}"/>
    <cellStyle name="Normal 5 2 2 2 2 3 4 2 2" xfId="6550" xr:uid="{00000000-0005-0000-0000-000097190000}"/>
    <cellStyle name="Normal 5 2 2 2 2 3 4 2 2 2" xfId="6551" xr:uid="{00000000-0005-0000-0000-000098190000}"/>
    <cellStyle name="Normal 5 2 2 2 2 3 4 2 3" xfId="6552" xr:uid="{00000000-0005-0000-0000-000099190000}"/>
    <cellStyle name="Normal 5 2 2 2 2 3 4 3" xfId="6553" xr:uid="{00000000-0005-0000-0000-00009A190000}"/>
    <cellStyle name="Normal 5 2 2 2 2 3 4 3 2" xfId="6554" xr:uid="{00000000-0005-0000-0000-00009B190000}"/>
    <cellStyle name="Normal 5 2 2 2 2 3 4 4" xfId="6555" xr:uid="{00000000-0005-0000-0000-00009C190000}"/>
    <cellStyle name="Normal 5 2 2 2 2 3 5" xfId="6556" xr:uid="{00000000-0005-0000-0000-00009D190000}"/>
    <cellStyle name="Normal 5 2 2 2 2 3 5 2" xfId="6557" xr:uid="{00000000-0005-0000-0000-00009E190000}"/>
    <cellStyle name="Normal 5 2 2 2 2 3 5 2 2" xfId="6558" xr:uid="{00000000-0005-0000-0000-00009F190000}"/>
    <cellStyle name="Normal 5 2 2 2 2 3 5 3" xfId="6559" xr:uid="{00000000-0005-0000-0000-0000A0190000}"/>
    <cellStyle name="Normal 5 2 2 2 2 3 6" xfId="6560" xr:uid="{00000000-0005-0000-0000-0000A1190000}"/>
    <cellStyle name="Normal 5 2 2 2 2 3 6 2" xfId="6561" xr:uid="{00000000-0005-0000-0000-0000A2190000}"/>
    <cellStyle name="Normal 5 2 2 2 2 3 7" xfId="6562" xr:uid="{00000000-0005-0000-0000-0000A3190000}"/>
    <cellStyle name="Normal 5 2 2 2 2 4" xfId="6563" xr:uid="{00000000-0005-0000-0000-0000A4190000}"/>
    <cellStyle name="Normal 5 2 2 2 2 4 2" xfId="6564" xr:uid="{00000000-0005-0000-0000-0000A5190000}"/>
    <cellStyle name="Normal 5 2 2 2 2 4 2 2" xfId="6565" xr:uid="{00000000-0005-0000-0000-0000A6190000}"/>
    <cellStyle name="Normal 5 2 2 2 2 4 2 2 2" xfId="6566" xr:uid="{00000000-0005-0000-0000-0000A7190000}"/>
    <cellStyle name="Normal 5 2 2 2 2 4 2 2 2 2" xfId="6567" xr:uid="{00000000-0005-0000-0000-0000A8190000}"/>
    <cellStyle name="Normal 5 2 2 2 2 4 2 2 2 2 2" xfId="6568" xr:uid="{00000000-0005-0000-0000-0000A9190000}"/>
    <cellStyle name="Normal 5 2 2 2 2 4 2 2 2 3" xfId="6569" xr:uid="{00000000-0005-0000-0000-0000AA190000}"/>
    <cellStyle name="Normal 5 2 2 2 2 4 2 2 3" xfId="6570" xr:uid="{00000000-0005-0000-0000-0000AB190000}"/>
    <cellStyle name="Normal 5 2 2 2 2 4 2 2 3 2" xfId="6571" xr:uid="{00000000-0005-0000-0000-0000AC190000}"/>
    <cellStyle name="Normal 5 2 2 2 2 4 2 2 4" xfId="6572" xr:uid="{00000000-0005-0000-0000-0000AD190000}"/>
    <cellStyle name="Normal 5 2 2 2 2 4 2 3" xfId="6573" xr:uid="{00000000-0005-0000-0000-0000AE190000}"/>
    <cellStyle name="Normal 5 2 2 2 2 4 2 3 2" xfId="6574" xr:uid="{00000000-0005-0000-0000-0000AF190000}"/>
    <cellStyle name="Normal 5 2 2 2 2 4 2 3 2 2" xfId="6575" xr:uid="{00000000-0005-0000-0000-0000B0190000}"/>
    <cellStyle name="Normal 5 2 2 2 2 4 2 3 3" xfId="6576" xr:uid="{00000000-0005-0000-0000-0000B1190000}"/>
    <cellStyle name="Normal 5 2 2 2 2 4 2 4" xfId="6577" xr:uid="{00000000-0005-0000-0000-0000B2190000}"/>
    <cellStyle name="Normal 5 2 2 2 2 4 2 4 2" xfId="6578" xr:uid="{00000000-0005-0000-0000-0000B3190000}"/>
    <cellStyle name="Normal 5 2 2 2 2 4 2 5" xfId="6579" xr:uid="{00000000-0005-0000-0000-0000B4190000}"/>
    <cellStyle name="Normal 5 2 2 2 2 4 3" xfId="6580" xr:uid="{00000000-0005-0000-0000-0000B5190000}"/>
    <cellStyle name="Normal 5 2 2 2 2 4 3 2" xfId="6581" xr:uid="{00000000-0005-0000-0000-0000B6190000}"/>
    <cellStyle name="Normal 5 2 2 2 2 4 3 2 2" xfId="6582" xr:uid="{00000000-0005-0000-0000-0000B7190000}"/>
    <cellStyle name="Normal 5 2 2 2 2 4 3 2 2 2" xfId="6583" xr:uid="{00000000-0005-0000-0000-0000B8190000}"/>
    <cellStyle name="Normal 5 2 2 2 2 4 3 2 3" xfId="6584" xr:uid="{00000000-0005-0000-0000-0000B9190000}"/>
    <cellStyle name="Normal 5 2 2 2 2 4 3 3" xfId="6585" xr:uid="{00000000-0005-0000-0000-0000BA190000}"/>
    <cellStyle name="Normal 5 2 2 2 2 4 3 3 2" xfId="6586" xr:uid="{00000000-0005-0000-0000-0000BB190000}"/>
    <cellStyle name="Normal 5 2 2 2 2 4 3 4" xfId="6587" xr:uid="{00000000-0005-0000-0000-0000BC190000}"/>
    <cellStyle name="Normal 5 2 2 2 2 4 4" xfId="6588" xr:uid="{00000000-0005-0000-0000-0000BD190000}"/>
    <cellStyle name="Normal 5 2 2 2 2 4 4 2" xfId="6589" xr:uid="{00000000-0005-0000-0000-0000BE190000}"/>
    <cellStyle name="Normal 5 2 2 2 2 4 4 2 2" xfId="6590" xr:uid="{00000000-0005-0000-0000-0000BF190000}"/>
    <cellStyle name="Normal 5 2 2 2 2 4 4 3" xfId="6591" xr:uid="{00000000-0005-0000-0000-0000C0190000}"/>
    <cellStyle name="Normal 5 2 2 2 2 4 5" xfId="6592" xr:uid="{00000000-0005-0000-0000-0000C1190000}"/>
    <cellStyle name="Normal 5 2 2 2 2 4 5 2" xfId="6593" xr:uid="{00000000-0005-0000-0000-0000C2190000}"/>
    <cellStyle name="Normal 5 2 2 2 2 4 6" xfId="6594" xr:uid="{00000000-0005-0000-0000-0000C3190000}"/>
    <cellStyle name="Normal 5 2 2 2 2 5" xfId="6595" xr:uid="{00000000-0005-0000-0000-0000C4190000}"/>
    <cellStyle name="Normal 5 2 2 2 2 5 2" xfId="6596" xr:uid="{00000000-0005-0000-0000-0000C5190000}"/>
    <cellStyle name="Normal 5 2 2 2 2 5 2 2" xfId="6597" xr:uid="{00000000-0005-0000-0000-0000C6190000}"/>
    <cellStyle name="Normal 5 2 2 2 2 5 2 2 2" xfId="6598" xr:uid="{00000000-0005-0000-0000-0000C7190000}"/>
    <cellStyle name="Normal 5 2 2 2 2 5 2 2 2 2" xfId="6599" xr:uid="{00000000-0005-0000-0000-0000C8190000}"/>
    <cellStyle name="Normal 5 2 2 2 2 5 2 2 3" xfId="6600" xr:uid="{00000000-0005-0000-0000-0000C9190000}"/>
    <cellStyle name="Normal 5 2 2 2 2 5 2 3" xfId="6601" xr:uid="{00000000-0005-0000-0000-0000CA190000}"/>
    <cellStyle name="Normal 5 2 2 2 2 5 2 3 2" xfId="6602" xr:uid="{00000000-0005-0000-0000-0000CB190000}"/>
    <cellStyle name="Normal 5 2 2 2 2 5 2 4" xfId="6603" xr:uid="{00000000-0005-0000-0000-0000CC190000}"/>
    <cellStyle name="Normal 5 2 2 2 2 5 3" xfId="6604" xr:uid="{00000000-0005-0000-0000-0000CD190000}"/>
    <cellStyle name="Normal 5 2 2 2 2 5 3 2" xfId="6605" xr:uid="{00000000-0005-0000-0000-0000CE190000}"/>
    <cellStyle name="Normal 5 2 2 2 2 5 3 2 2" xfId="6606" xr:uid="{00000000-0005-0000-0000-0000CF190000}"/>
    <cellStyle name="Normal 5 2 2 2 2 5 3 3" xfId="6607" xr:uid="{00000000-0005-0000-0000-0000D0190000}"/>
    <cellStyle name="Normal 5 2 2 2 2 5 4" xfId="6608" xr:uid="{00000000-0005-0000-0000-0000D1190000}"/>
    <cellStyle name="Normal 5 2 2 2 2 5 4 2" xfId="6609" xr:uid="{00000000-0005-0000-0000-0000D2190000}"/>
    <cellStyle name="Normal 5 2 2 2 2 5 5" xfId="6610" xr:uid="{00000000-0005-0000-0000-0000D3190000}"/>
    <cellStyle name="Normal 5 2 2 2 2 6" xfId="6611" xr:uid="{00000000-0005-0000-0000-0000D4190000}"/>
    <cellStyle name="Normal 5 2 2 2 2 6 2" xfId="6612" xr:uid="{00000000-0005-0000-0000-0000D5190000}"/>
    <cellStyle name="Normal 5 2 2 2 2 6 2 2" xfId="6613" xr:uid="{00000000-0005-0000-0000-0000D6190000}"/>
    <cellStyle name="Normal 5 2 2 2 2 6 2 2 2" xfId="6614" xr:uid="{00000000-0005-0000-0000-0000D7190000}"/>
    <cellStyle name="Normal 5 2 2 2 2 6 2 3" xfId="6615" xr:uid="{00000000-0005-0000-0000-0000D8190000}"/>
    <cellStyle name="Normal 5 2 2 2 2 6 3" xfId="6616" xr:uid="{00000000-0005-0000-0000-0000D9190000}"/>
    <cellStyle name="Normal 5 2 2 2 2 6 3 2" xfId="6617" xr:uid="{00000000-0005-0000-0000-0000DA190000}"/>
    <cellStyle name="Normal 5 2 2 2 2 6 4" xfId="6618" xr:uid="{00000000-0005-0000-0000-0000DB190000}"/>
    <cellStyle name="Normal 5 2 2 2 2 7" xfId="6619" xr:uid="{00000000-0005-0000-0000-0000DC190000}"/>
    <cellStyle name="Normal 5 2 2 2 2 7 2" xfId="6620" xr:uid="{00000000-0005-0000-0000-0000DD190000}"/>
    <cellStyle name="Normal 5 2 2 2 2 7 2 2" xfId="6621" xr:uid="{00000000-0005-0000-0000-0000DE190000}"/>
    <cellStyle name="Normal 5 2 2 2 2 7 3" xfId="6622" xr:uid="{00000000-0005-0000-0000-0000DF190000}"/>
    <cellStyle name="Normal 5 2 2 2 2 8" xfId="6623" xr:uid="{00000000-0005-0000-0000-0000E0190000}"/>
    <cellStyle name="Normal 5 2 2 2 2 8 2" xfId="6624" xr:uid="{00000000-0005-0000-0000-0000E1190000}"/>
    <cellStyle name="Normal 5 2 2 2 2 9" xfId="6625" xr:uid="{00000000-0005-0000-0000-0000E2190000}"/>
    <cellStyle name="Normal 5 2 2 2 3" xfId="6626" xr:uid="{00000000-0005-0000-0000-0000E3190000}"/>
    <cellStyle name="Normal 5 2 2 2 3 2" xfId="6627" xr:uid="{00000000-0005-0000-0000-0000E4190000}"/>
    <cellStyle name="Normal 5 2 2 2 3 2 2" xfId="6628" xr:uid="{00000000-0005-0000-0000-0000E5190000}"/>
    <cellStyle name="Normal 5 2 2 2 3 2 2 2" xfId="6629" xr:uid="{00000000-0005-0000-0000-0000E6190000}"/>
    <cellStyle name="Normal 5 2 2 2 3 2 2 2 2" xfId="6630" xr:uid="{00000000-0005-0000-0000-0000E7190000}"/>
    <cellStyle name="Normal 5 2 2 2 3 2 2 2 2 2" xfId="6631" xr:uid="{00000000-0005-0000-0000-0000E8190000}"/>
    <cellStyle name="Normal 5 2 2 2 3 2 2 2 2 2 2" xfId="6632" xr:uid="{00000000-0005-0000-0000-0000E9190000}"/>
    <cellStyle name="Normal 5 2 2 2 3 2 2 2 2 2 2 2" xfId="6633" xr:uid="{00000000-0005-0000-0000-0000EA190000}"/>
    <cellStyle name="Normal 5 2 2 2 3 2 2 2 2 2 3" xfId="6634" xr:uid="{00000000-0005-0000-0000-0000EB190000}"/>
    <cellStyle name="Normal 5 2 2 2 3 2 2 2 2 3" xfId="6635" xr:uid="{00000000-0005-0000-0000-0000EC190000}"/>
    <cellStyle name="Normal 5 2 2 2 3 2 2 2 2 3 2" xfId="6636" xr:uid="{00000000-0005-0000-0000-0000ED190000}"/>
    <cellStyle name="Normal 5 2 2 2 3 2 2 2 2 4" xfId="6637" xr:uid="{00000000-0005-0000-0000-0000EE190000}"/>
    <cellStyle name="Normal 5 2 2 2 3 2 2 2 3" xfId="6638" xr:uid="{00000000-0005-0000-0000-0000EF190000}"/>
    <cellStyle name="Normal 5 2 2 2 3 2 2 2 3 2" xfId="6639" xr:uid="{00000000-0005-0000-0000-0000F0190000}"/>
    <cellStyle name="Normal 5 2 2 2 3 2 2 2 3 2 2" xfId="6640" xr:uid="{00000000-0005-0000-0000-0000F1190000}"/>
    <cellStyle name="Normal 5 2 2 2 3 2 2 2 3 3" xfId="6641" xr:uid="{00000000-0005-0000-0000-0000F2190000}"/>
    <cellStyle name="Normal 5 2 2 2 3 2 2 2 4" xfId="6642" xr:uid="{00000000-0005-0000-0000-0000F3190000}"/>
    <cellStyle name="Normal 5 2 2 2 3 2 2 2 4 2" xfId="6643" xr:uid="{00000000-0005-0000-0000-0000F4190000}"/>
    <cellStyle name="Normal 5 2 2 2 3 2 2 2 5" xfId="6644" xr:uid="{00000000-0005-0000-0000-0000F5190000}"/>
    <cellStyle name="Normal 5 2 2 2 3 2 2 3" xfId="6645" xr:uid="{00000000-0005-0000-0000-0000F6190000}"/>
    <cellStyle name="Normal 5 2 2 2 3 2 2 3 2" xfId="6646" xr:uid="{00000000-0005-0000-0000-0000F7190000}"/>
    <cellStyle name="Normal 5 2 2 2 3 2 2 3 2 2" xfId="6647" xr:uid="{00000000-0005-0000-0000-0000F8190000}"/>
    <cellStyle name="Normal 5 2 2 2 3 2 2 3 2 2 2" xfId="6648" xr:uid="{00000000-0005-0000-0000-0000F9190000}"/>
    <cellStyle name="Normal 5 2 2 2 3 2 2 3 2 3" xfId="6649" xr:uid="{00000000-0005-0000-0000-0000FA190000}"/>
    <cellStyle name="Normal 5 2 2 2 3 2 2 3 3" xfId="6650" xr:uid="{00000000-0005-0000-0000-0000FB190000}"/>
    <cellStyle name="Normal 5 2 2 2 3 2 2 3 3 2" xfId="6651" xr:uid="{00000000-0005-0000-0000-0000FC190000}"/>
    <cellStyle name="Normal 5 2 2 2 3 2 2 3 4" xfId="6652" xr:uid="{00000000-0005-0000-0000-0000FD190000}"/>
    <cellStyle name="Normal 5 2 2 2 3 2 2 4" xfId="6653" xr:uid="{00000000-0005-0000-0000-0000FE190000}"/>
    <cellStyle name="Normal 5 2 2 2 3 2 2 4 2" xfId="6654" xr:uid="{00000000-0005-0000-0000-0000FF190000}"/>
    <cellStyle name="Normal 5 2 2 2 3 2 2 4 2 2" xfId="6655" xr:uid="{00000000-0005-0000-0000-0000001A0000}"/>
    <cellStyle name="Normal 5 2 2 2 3 2 2 4 3" xfId="6656" xr:uid="{00000000-0005-0000-0000-0000011A0000}"/>
    <cellStyle name="Normal 5 2 2 2 3 2 2 5" xfId="6657" xr:uid="{00000000-0005-0000-0000-0000021A0000}"/>
    <cellStyle name="Normal 5 2 2 2 3 2 2 5 2" xfId="6658" xr:uid="{00000000-0005-0000-0000-0000031A0000}"/>
    <cellStyle name="Normal 5 2 2 2 3 2 2 6" xfId="6659" xr:uid="{00000000-0005-0000-0000-0000041A0000}"/>
    <cellStyle name="Normal 5 2 2 2 3 2 3" xfId="6660" xr:uid="{00000000-0005-0000-0000-0000051A0000}"/>
    <cellStyle name="Normal 5 2 2 2 3 2 3 2" xfId="6661" xr:uid="{00000000-0005-0000-0000-0000061A0000}"/>
    <cellStyle name="Normal 5 2 2 2 3 2 3 2 2" xfId="6662" xr:uid="{00000000-0005-0000-0000-0000071A0000}"/>
    <cellStyle name="Normal 5 2 2 2 3 2 3 2 2 2" xfId="6663" xr:uid="{00000000-0005-0000-0000-0000081A0000}"/>
    <cellStyle name="Normal 5 2 2 2 3 2 3 2 2 2 2" xfId="6664" xr:uid="{00000000-0005-0000-0000-0000091A0000}"/>
    <cellStyle name="Normal 5 2 2 2 3 2 3 2 2 3" xfId="6665" xr:uid="{00000000-0005-0000-0000-00000A1A0000}"/>
    <cellStyle name="Normal 5 2 2 2 3 2 3 2 3" xfId="6666" xr:uid="{00000000-0005-0000-0000-00000B1A0000}"/>
    <cellStyle name="Normal 5 2 2 2 3 2 3 2 3 2" xfId="6667" xr:uid="{00000000-0005-0000-0000-00000C1A0000}"/>
    <cellStyle name="Normal 5 2 2 2 3 2 3 2 4" xfId="6668" xr:uid="{00000000-0005-0000-0000-00000D1A0000}"/>
    <cellStyle name="Normal 5 2 2 2 3 2 3 3" xfId="6669" xr:uid="{00000000-0005-0000-0000-00000E1A0000}"/>
    <cellStyle name="Normal 5 2 2 2 3 2 3 3 2" xfId="6670" xr:uid="{00000000-0005-0000-0000-00000F1A0000}"/>
    <cellStyle name="Normal 5 2 2 2 3 2 3 3 2 2" xfId="6671" xr:uid="{00000000-0005-0000-0000-0000101A0000}"/>
    <cellStyle name="Normal 5 2 2 2 3 2 3 3 3" xfId="6672" xr:uid="{00000000-0005-0000-0000-0000111A0000}"/>
    <cellStyle name="Normal 5 2 2 2 3 2 3 4" xfId="6673" xr:uid="{00000000-0005-0000-0000-0000121A0000}"/>
    <cellStyle name="Normal 5 2 2 2 3 2 3 4 2" xfId="6674" xr:uid="{00000000-0005-0000-0000-0000131A0000}"/>
    <cellStyle name="Normal 5 2 2 2 3 2 3 5" xfId="6675" xr:uid="{00000000-0005-0000-0000-0000141A0000}"/>
    <cellStyle name="Normal 5 2 2 2 3 2 4" xfId="6676" xr:uid="{00000000-0005-0000-0000-0000151A0000}"/>
    <cellStyle name="Normal 5 2 2 2 3 2 4 2" xfId="6677" xr:uid="{00000000-0005-0000-0000-0000161A0000}"/>
    <cellStyle name="Normal 5 2 2 2 3 2 4 2 2" xfId="6678" xr:uid="{00000000-0005-0000-0000-0000171A0000}"/>
    <cellStyle name="Normal 5 2 2 2 3 2 4 2 2 2" xfId="6679" xr:uid="{00000000-0005-0000-0000-0000181A0000}"/>
    <cellStyle name="Normal 5 2 2 2 3 2 4 2 3" xfId="6680" xr:uid="{00000000-0005-0000-0000-0000191A0000}"/>
    <cellStyle name="Normal 5 2 2 2 3 2 4 3" xfId="6681" xr:uid="{00000000-0005-0000-0000-00001A1A0000}"/>
    <cellStyle name="Normal 5 2 2 2 3 2 4 3 2" xfId="6682" xr:uid="{00000000-0005-0000-0000-00001B1A0000}"/>
    <cellStyle name="Normal 5 2 2 2 3 2 4 4" xfId="6683" xr:uid="{00000000-0005-0000-0000-00001C1A0000}"/>
    <cellStyle name="Normal 5 2 2 2 3 2 5" xfId="6684" xr:uid="{00000000-0005-0000-0000-00001D1A0000}"/>
    <cellStyle name="Normal 5 2 2 2 3 2 5 2" xfId="6685" xr:uid="{00000000-0005-0000-0000-00001E1A0000}"/>
    <cellStyle name="Normal 5 2 2 2 3 2 5 2 2" xfId="6686" xr:uid="{00000000-0005-0000-0000-00001F1A0000}"/>
    <cellStyle name="Normal 5 2 2 2 3 2 5 3" xfId="6687" xr:uid="{00000000-0005-0000-0000-0000201A0000}"/>
    <cellStyle name="Normal 5 2 2 2 3 2 6" xfId="6688" xr:uid="{00000000-0005-0000-0000-0000211A0000}"/>
    <cellStyle name="Normal 5 2 2 2 3 2 6 2" xfId="6689" xr:uid="{00000000-0005-0000-0000-0000221A0000}"/>
    <cellStyle name="Normal 5 2 2 2 3 2 7" xfId="6690" xr:uid="{00000000-0005-0000-0000-0000231A0000}"/>
    <cellStyle name="Normal 5 2 2 2 3 3" xfId="6691" xr:uid="{00000000-0005-0000-0000-0000241A0000}"/>
    <cellStyle name="Normal 5 2 2 2 3 3 2" xfId="6692" xr:uid="{00000000-0005-0000-0000-0000251A0000}"/>
    <cellStyle name="Normal 5 2 2 2 3 3 2 2" xfId="6693" xr:uid="{00000000-0005-0000-0000-0000261A0000}"/>
    <cellStyle name="Normal 5 2 2 2 3 3 2 2 2" xfId="6694" xr:uid="{00000000-0005-0000-0000-0000271A0000}"/>
    <cellStyle name="Normal 5 2 2 2 3 3 2 2 2 2" xfId="6695" xr:uid="{00000000-0005-0000-0000-0000281A0000}"/>
    <cellStyle name="Normal 5 2 2 2 3 3 2 2 2 2 2" xfId="6696" xr:uid="{00000000-0005-0000-0000-0000291A0000}"/>
    <cellStyle name="Normal 5 2 2 2 3 3 2 2 2 3" xfId="6697" xr:uid="{00000000-0005-0000-0000-00002A1A0000}"/>
    <cellStyle name="Normal 5 2 2 2 3 3 2 2 3" xfId="6698" xr:uid="{00000000-0005-0000-0000-00002B1A0000}"/>
    <cellStyle name="Normal 5 2 2 2 3 3 2 2 3 2" xfId="6699" xr:uid="{00000000-0005-0000-0000-00002C1A0000}"/>
    <cellStyle name="Normal 5 2 2 2 3 3 2 2 4" xfId="6700" xr:uid="{00000000-0005-0000-0000-00002D1A0000}"/>
    <cellStyle name="Normal 5 2 2 2 3 3 2 3" xfId="6701" xr:uid="{00000000-0005-0000-0000-00002E1A0000}"/>
    <cellStyle name="Normal 5 2 2 2 3 3 2 3 2" xfId="6702" xr:uid="{00000000-0005-0000-0000-00002F1A0000}"/>
    <cellStyle name="Normal 5 2 2 2 3 3 2 3 2 2" xfId="6703" xr:uid="{00000000-0005-0000-0000-0000301A0000}"/>
    <cellStyle name="Normal 5 2 2 2 3 3 2 3 3" xfId="6704" xr:uid="{00000000-0005-0000-0000-0000311A0000}"/>
    <cellStyle name="Normal 5 2 2 2 3 3 2 4" xfId="6705" xr:uid="{00000000-0005-0000-0000-0000321A0000}"/>
    <cellStyle name="Normal 5 2 2 2 3 3 2 4 2" xfId="6706" xr:uid="{00000000-0005-0000-0000-0000331A0000}"/>
    <cellStyle name="Normal 5 2 2 2 3 3 2 5" xfId="6707" xr:uid="{00000000-0005-0000-0000-0000341A0000}"/>
    <cellStyle name="Normal 5 2 2 2 3 3 3" xfId="6708" xr:uid="{00000000-0005-0000-0000-0000351A0000}"/>
    <cellStyle name="Normal 5 2 2 2 3 3 3 2" xfId="6709" xr:uid="{00000000-0005-0000-0000-0000361A0000}"/>
    <cellStyle name="Normal 5 2 2 2 3 3 3 2 2" xfId="6710" xr:uid="{00000000-0005-0000-0000-0000371A0000}"/>
    <cellStyle name="Normal 5 2 2 2 3 3 3 2 2 2" xfId="6711" xr:uid="{00000000-0005-0000-0000-0000381A0000}"/>
    <cellStyle name="Normal 5 2 2 2 3 3 3 2 3" xfId="6712" xr:uid="{00000000-0005-0000-0000-0000391A0000}"/>
    <cellStyle name="Normal 5 2 2 2 3 3 3 3" xfId="6713" xr:uid="{00000000-0005-0000-0000-00003A1A0000}"/>
    <cellStyle name="Normal 5 2 2 2 3 3 3 3 2" xfId="6714" xr:uid="{00000000-0005-0000-0000-00003B1A0000}"/>
    <cellStyle name="Normal 5 2 2 2 3 3 3 4" xfId="6715" xr:uid="{00000000-0005-0000-0000-00003C1A0000}"/>
    <cellStyle name="Normal 5 2 2 2 3 3 4" xfId="6716" xr:uid="{00000000-0005-0000-0000-00003D1A0000}"/>
    <cellStyle name="Normal 5 2 2 2 3 3 4 2" xfId="6717" xr:uid="{00000000-0005-0000-0000-00003E1A0000}"/>
    <cellStyle name="Normal 5 2 2 2 3 3 4 2 2" xfId="6718" xr:uid="{00000000-0005-0000-0000-00003F1A0000}"/>
    <cellStyle name="Normal 5 2 2 2 3 3 4 3" xfId="6719" xr:uid="{00000000-0005-0000-0000-0000401A0000}"/>
    <cellStyle name="Normal 5 2 2 2 3 3 5" xfId="6720" xr:uid="{00000000-0005-0000-0000-0000411A0000}"/>
    <cellStyle name="Normal 5 2 2 2 3 3 5 2" xfId="6721" xr:uid="{00000000-0005-0000-0000-0000421A0000}"/>
    <cellStyle name="Normal 5 2 2 2 3 3 6" xfId="6722" xr:uid="{00000000-0005-0000-0000-0000431A0000}"/>
    <cellStyle name="Normal 5 2 2 2 3 4" xfId="6723" xr:uid="{00000000-0005-0000-0000-0000441A0000}"/>
    <cellStyle name="Normal 5 2 2 2 3 4 2" xfId="6724" xr:uid="{00000000-0005-0000-0000-0000451A0000}"/>
    <cellStyle name="Normal 5 2 2 2 3 4 2 2" xfId="6725" xr:uid="{00000000-0005-0000-0000-0000461A0000}"/>
    <cellStyle name="Normal 5 2 2 2 3 4 2 2 2" xfId="6726" xr:uid="{00000000-0005-0000-0000-0000471A0000}"/>
    <cellStyle name="Normal 5 2 2 2 3 4 2 2 2 2" xfId="6727" xr:uid="{00000000-0005-0000-0000-0000481A0000}"/>
    <cellStyle name="Normal 5 2 2 2 3 4 2 2 3" xfId="6728" xr:uid="{00000000-0005-0000-0000-0000491A0000}"/>
    <cellStyle name="Normal 5 2 2 2 3 4 2 3" xfId="6729" xr:uid="{00000000-0005-0000-0000-00004A1A0000}"/>
    <cellStyle name="Normal 5 2 2 2 3 4 2 3 2" xfId="6730" xr:uid="{00000000-0005-0000-0000-00004B1A0000}"/>
    <cellStyle name="Normal 5 2 2 2 3 4 2 4" xfId="6731" xr:uid="{00000000-0005-0000-0000-00004C1A0000}"/>
    <cellStyle name="Normal 5 2 2 2 3 4 3" xfId="6732" xr:uid="{00000000-0005-0000-0000-00004D1A0000}"/>
    <cellStyle name="Normal 5 2 2 2 3 4 3 2" xfId="6733" xr:uid="{00000000-0005-0000-0000-00004E1A0000}"/>
    <cellStyle name="Normal 5 2 2 2 3 4 3 2 2" xfId="6734" xr:uid="{00000000-0005-0000-0000-00004F1A0000}"/>
    <cellStyle name="Normal 5 2 2 2 3 4 3 3" xfId="6735" xr:uid="{00000000-0005-0000-0000-0000501A0000}"/>
    <cellStyle name="Normal 5 2 2 2 3 4 4" xfId="6736" xr:uid="{00000000-0005-0000-0000-0000511A0000}"/>
    <cellStyle name="Normal 5 2 2 2 3 4 4 2" xfId="6737" xr:uid="{00000000-0005-0000-0000-0000521A0000}"/>
    <cellStyle name="Normal 5 2 2 2 3 4 5" xfId="6738" xr:uid="{00000000-0005-0000-0000-0000531A0000}"/>
    <cellStyle name="Normal 5 2 2 2 3 5" xfId="6739" xr:uid="{00000000-0005-0000-0000-0000541A0000}"/>
    <cellStyle name="Normal 5 2 2 2 3 5 2" xfId="6740" xr:uid="{00000000-0005-0000-0000-0000551A0000}"/>
    <cellStyle name="Normal 5 2 2 2 3 5 2 2" xfId="6741" xr:uid="{00000000-0005-0000-0000-0000561A0000}"/>
    <cellStyle name="Normal 5 2 2 2 3 5 2 2 2" xfId="6742" xr:uid="{00000000-0005-0000-0000-0000571A0000}"/>
    <cellStyle name="Normal 5 2 2 2 3 5 2 3" xfId="6743" xr:uid="{00000000-0005-0000-0000-0000581A0000}"/>
    <cellStyle name="Normal 5 2 2 2 3 5 3" xfId="6744" xr:uid="{00000000-0005-0000-0000-0000591A0000}"/>
    <cellStyle name="Normal 5 2 2 2 3 5 3 2" xfId="6745" xr:uid="{00000000-0005-0000-0000-00005A1A0000}"/>
    <cellStyle name="Normal 5 2 2 2 3 5 4" xfId="6746" xr:uid="{00000000-0005-0000-0000-00005B1A0000}"/>
    <cellStyle name="Normal 5 2 2 2 3 6" xfId="6747" xr:uid="{00000000-0005-0000-0000-00005C1A0000}"/>
    <cellStyle name="Normal 5 2 2 2 3 6 2" xfId="6748" xr:uid="{00000000-0005-0000-0000-00005D1A0000}"/>
    <cellStyle name="Normal 5 2 2 2 3 6 2 2" xfId="6749" xr:uid="{00000000-0005-0000-0000-00005E1A0000}"/>
    <cellStyle name="Normal 5 2 2 2 3 6 3" xfId="6750" xr:uid="{00000000-0005-0000-0000-00005F1A0000}"/>
    <cellStyle name="Normal 5 2 2 2 3 7" xfId="6751" xr:uid="{00000000-0005-0000-0000-0000601A0000}"/>
    <cellStyle name="Normal 5 2 2 2 3 7 2" xfId="6752" xr:uid="{00000000-0005-0000-0000-0000611A0000}"/>
    <cellStyle name="Normal 5 2 2 2 3 8" xfId="6753" xr:uid="{00000000-0005-0000-0000-0000621A0000}"/>
    <cellStyle name="Normal 5 2 2 2 4" xfId="6754" xr:uid="{00000000-0005-0000-0000-0000631A0000}"/>
    <cellStyle name="Normal 5 2 2 2 4 2" xfId="6755" xr:uid="{00000000-0005-0000-0000-0000641A0000}"/>
    <cellStyle name="Normal 5 2 2 2 4 2 2" xfId="6756" xr:uid="{00000000-0005-0000-0000-0000651A0000}"/>
    <cellStyle name="Normal 5 2 2 2 4 2 2 2" xfId="6757" xr:uid="{00000000-0005-0000-0000-0000661A0000}"/>
    <cellStyle name="Normal 5 2 2 2 4 2 2 2 2" xfId="6758" xr:uid="{00000000-0005-0000-0000-0000671A0000}"/>
    <cellStyle name="Normal 5 2 2 2 4 2 2 2 2 2" xfId="6759" xr:uid="{00000000-0005-0000-0000-0000681A0000}"/>
    <cellStyle name="Normal 5 2 2 2 4 2 2 2 2 2 2" xfId="6760" xr:uid="{00000000-0005-0000-0000-0000691A0000}"/>
    <cellStyle name="Normal 5 2 2 2 4 2 2 2 2 3" xfId="6761" xr:uid="{00000000-0005-0000-0000-00006A1A0000}"/>
    <cellStyle name="Normal 5 2 2 2 4 2 2 2 3" xfId="6762" xr:uid="{00000000-0005-0000-0000-00006B1A0000}"/>
    <cellStyle name="Normal 5 2 2 2 4 2 2 2 3 2" xfId="6763" xr:uid="{00000000-0005-0000-0000-00006C1A0000}"/>
    <cellStyle name="Normal 5 2 2 2 4 2 2 2 4" xfId="6764" xr:uid="{00000000-0005-0000-0000-00006D1A0000}"/>
    <cellStyle name="Normal 5 2 2 2 4 2 2 3" xfId="6765" xr:uid="{00000000-0005-0000-0000-00006E1A0000}"/>
    <cellStyle name="Normal 5 2 2 2 4 2 2 3 2" xfId="6766" xr:uid="{00000000-0005-0000-0000-00006F1A0000}"/>
    <cellStyle name="Normal 5 2 2 2 4 2 2 3 2 2" xfId="6767" xr:uid="{00000000-0005-0000-0000-0000701A0000}"/>
    <cellStyle name="Normal 5 2 2 2 4 2 2 3 3" xfId="6768" xr:uid="{00000000-0005-0000-0000-0000711A0000}"/>
    <cellStyle name="Normal 5 2 2 2 4 2 2 4" xfId="6769" xr:uid="{00000000-0005-0000-0000-0000721A0000}"/>
    <cellStyle name="Normal 5 2 2 2 4 2 2 4 2" xfId="6770" xr:uid="{00000000-0005-0000-0000-0000731A0000}"/>
    <cellStyle name="Normal 5 2 2 2 4 2 2 5" xfId="6771" xr:uid="{00000000-0005-0000-0000-0000741A0000}"/>
    <cellStyle name="Normal 5 2 2 2 4 2 3" xfId="6772" xr:uid="{00000000-0005-0000-0000-0000751A0000}"/>
    <cellStyle name="Normal 5 2 2 2 4 2 3 2" xfId="6773" xr:uid="{00000000-0005-0000-0000-0000761A0000}"/>
    <cellStyle name="Normal 5 2 2 2 4 2 3 2 2" xfId="6774" xr:uid="{00000000-0005-0000-0000-0000771A0000}"/>
    <cellStyle name="Normal 5 2 2 2 4 2 3 2 2 2" xfId="6775" xr:uid="{00000000-0005-0000-0000-0000781A0000}"/>
    <cellStyle name="Normal 5 2 2 2 4 2 3 2 3" xfId="6776" xr:uid="{00000000-0005-0000-0000-0000791A0000}"/>
    <cellStyle name="Normal 5 2 2 2 4 2 3 3" xfId="6777" xr:uid="{00000000-0005-0000-0000-00007A1A0000}"/>
    <cellStyle name="Normal 5 2 2 2 4 2 3 3 2" xfId="6778" xr:uid="{00000000-0005-0000-0000-00007B1A0000}"/>
    <cellStyle name="Normal 5 2 2 2 4 2 3 4" xfId="6779" xr:uid="{00000000-0005-0000-0000-00007C1A0000}"/>
    <cellStyle name="Normal 5 2 2 2 4 2 4" xfId="6780" xr:uid="{00000000-0005-0000-0000-00007D1A0000}"/>
    <cellStyle name="Normal 5 2 2 2 4 2 4 2" xfId="6781" xr:uid="{00000000-0005-0000-0000-00007E1A0000}"/>
    <cellStyle name="Normal 5 2 2 2 4 2 4 2 2" xfId="6782" xr:uid="{00000000-0005-0000-0000-00007F1A0000}"/>
    <cellStyle name="Normal 5 2 2 2 4 2 4 3" xfId="6783" xr:uid="{00000000-0005-0000-0000-0000801A0000}"/>
    <cellStyle name="Normal 5 2 2 2 4 2 5" xfId="6784" xr:uid="{00000000-0005-0000-0000-0000811A0000}"/>
    <cellStyle name="Normal 5 2 2 2 4 2 5 2" xfId="6785" xr:uid="{00000000-0005-0000-0000-0000821A0000}"/>
    <cellStyle name="Normal 5 2 2 2 4 2 6" xfId="6786" xr:uid="{00000000-0005-0000-0000-0000831A0000}"/>
    <cellStyle name="Normal 5 2 2 2 4 3" xfId="6787" xr:uid="{00000000-0005-0000-0000-0000841A0000}"/>
    <cellStyle name="Normal 5 2 2 2 4 3 2" xfId="6788" xr:uid="{00000000-0005-0000-0000-0000851A0000}"/>
    <cellStyle name="Normal 5 2 2 2 4 3 2 2" xfId="6789" xr:uid="{00000000-0005-0000-0000-0000861A0000}"/>
    <cellStyle name="Normal 5 2 2 2 4 3 2 2 2" xfId="6790" xr:uid="{00000000-0005-0000-0000-0000871A0000}"/>
    <cellStyle name="Normal 5 2 2 2 4 3 2 2 2 2" xfId="6791" xr:uid="{00000000-0005-0000-0000-0000881A0000}"/>
    <cellStyle name="Normal 5 2 2 2 4 3 2 2 3" xfId="6792" xr:uid="{00000000-0005-0000-0000-0000891A0000}"/>
    <cellStyle name="Normal 5 2 2 2 4 3 2 3" xfId="6793" xr:uid="{00000000-0005-0000-0000-00008A1A0000}"/>
    <cellStyle name="Normal 5 2 2 2 4 3 2 3 2" xfId="6794" xr:uid="{00000000-0005-0000-0000-00008B1A0000}"/>
    <cellStyle name="Normal 5 2 2 2 4 3 2 4" xfId="6795" xr:uid="{00000000-0005-0000-0000-00008C1A0000}"/>
    <cellStyle name="Normal 5 2 2 2 4 3 3" xfId="6796" xr:uid="{00000000-0005-0000-0000-00008D1A0000}"/>
    <cellStyle name="Normal 5 2 2 2 4 3 3 2" xfId="6797" xr:uid="{00000000-0005-0000-0000-00008E1A0000}"/>
    <cellStyle name="Normal 5 2 2 2 4 3 3 2 2" xfId="6798" xr:uid="{00000000-0005-0000-0000-00008F1A0000}"/>
    <cellStyle name="Normal 5 2 2 2 4 3 3 3" xfId="6799" xr:uid="{00000000-0005-0000-0000-0000901A0000}"/>
    <cellStyle name="Normal 5 2 2 2 4 3 4" xfId="6800" xr:uid="{00000000-0005-0000-0000-0000911A0000}"/>
    <cellStyle name="Normal 5 2 2 2 4 3 4 2" xfId="6801" xr:uid="{00000000-0005-0000-0000-0000921A0000}"/>
    <cellStyle name="Normal 5 2 2 2 4 3 5" xfId="6802" xr:uid="{00000000-0005-0000-0000-0000931A0000}"/>
    <cellStyle name="Normal 5 2 2 2 4 4" xfId="6803" xr:uid="{00000000-0005-0000-0000-0000941A0000}"/>
    <cellStyle name="Normal 5 2 2 2 4 4 2" xfId="6804" xr:uid="{00000000-0005-0000-0000-0000951A0000}"/>
    <cellStyle name="Normal 5 2 2 2 4 4 2 2" xfId="6805" xr:uid="{00000000-0005-0000-0000-0000961A0000}"/>
    <cellStyle name="Normal 5 2 2 2 4 4 2 2 2" xfId="6806" xr:uid="{00000000-0005-0000-0000-0000971A0000}"/>
    <cellStyle name="Normal 5 2 2 2 4 4 2 3" xfId="6807" xr:uid="{00000000-0005-0000-0000-0000981A0000}"/>
    <cellStyle name="Normal 5 2 2 2 4 4 3" xfId="6808" xr:uid="{00000000-0005-0000-0000-0000991A0000}"/>
    <cellStyle name="Normal 5 2 2 2 4 4 3 2" xfId="6809" xr:uid="{00000000-0005-0000-0000-00009A1A0000}"/>
    <cellStyle name="Normal 5 2 2 2 4 4 4" xfId="6810" xr:uid="{00000000-0005-0000-0000-00009B1A0000}"/>
    <cellStyle name="Normal 5 2 2 2 4 5" xfId="6811" xr:uid="{00000000-0005-0000-0000-00009C1A0000}"/>
    <cellStyle name="Normal 5 2 2 2 4 5 2" xfId="6812" xr:uid="{00000000-0005-0000-0000-00009D1A0000}"/>
    <cellStyle name="Normal 5 2 2 2 4 5 2 2" xfId="6813" xr:uid="{00000000-0005-0000-0000-00009E1A0000}"/>
    <cellStyle name="Normal 5 2 2 2 4 5 3" xfId="6814" xr:uid="{00000000-0005-0000-0000-00009F1A0000}"/>
    <cellStyle name="Normal 5 2 2 2 4 6" xfId="6815" xr:uid="{00000000-0005-0000-0000-0000A01A0000}"/>
    <cellStyle name="Normal 5 2 2 2 4 6 2" xfId="6816" xr:uid="{00000000-0005-0000-0000-0000A11A0000}"/>
    <cellStyle name="Normal 5 2 2 2 4 7" xfId="6817" xr:uid="{00000000-0005-0000-0000-0000A21A0000}"/>
    <cellStyle name="Normal 5 2 2 2 5" xfId="6818" xr:uid="{00000000-0005-0000-0000-0000A31A0000}"/>
    <cellStyle name="Normal 5 2 2 2 5 2" xfId="6819" xr:uid="{00000000-0005-0000-0000-0000A41A0000}"/>
    <cellStyle name="Normal 5 2 2 2 5 2 2" xfId="6820" xr:uid="{00000000-0005-0000-0000-0000A51A0000}"/>
    <cellStyle name="Normal 5 2 2 2 5 2 2 2" xfId="6821" xr:uid="{00000000-0005-0000-0000-0000A61A0000}"/>
    <cellStyle name="Normal 5 2 2 2 5 2 2 2 2" xfId="6822" xr:uid="{00000000-0005-0000-0000-0000A71A0000}"/>
    <cellStyle name="Normal 5 2 2 2 5 2 2 2 2 2" xfId="6823" xr:uid="{00000000-0005-0000-0000-0000A81A0000}"/>
    <cellStyle name="Normal 5 2 2 2 5 2 2 2 3" xfId="6824" xr:uid="{00000000-0005-0000-0000-0000A91A0000}"/>
    <cellStyle name="Normal 5 2 2 2 5 2 2 3" xfId="6825" xr:uid="{00000000-0005-0000-0000-0000AA1A0000}"/>
    <cellStyle name="Normal 5 2 2 2 5 2 2 3 2" xfId="6826" xr:uid="{00000000-0005-0000-0000-0000AB1A0000}"/>
    <cellStyle name="Normal 5 2 2 2 5 2 2 4" xfId="6827" xr:uid="{00000000-0005-0000-0000-0000AC1A0000}"/>
    <cellStyle name="Normal 5 2 2 2 5 2 3" xfId="6828" xr:uid="{00000000-0005-0000-0000-0000AD1A0000}"/>
    <cellStyle name="Normal 5 2 2 2 5 2 3 2" xfId="6829" xr:uid="{00000000-0005-0000-0000-0000AE1A0000}"/>
    <cellStyle name="Normal 5 2 2 2 5 2 3 2 2" xfId="6830" xr:uid="{00000000-0005-0000-0000-0000AF1A0000}"/>
    <cellStyle name="Normal 5 2 2 2 5 2 3 3" xfId="6831" xr:uid="{00000000-0005-0000-0000-0000B01A0000}"/>
    <cellStyle name="Normal 5 2 2 2 5 2 4" xfId="6832" xr:uid="{00000000-0005-0000-0000-0000B11A0000}"/>
    <cellStyle name="Normal 5 2 2 2 5 2 4 2" xfId="6833" xr:uid="{00000000-0005-0000-0000-0000B21A0000}"/>
    <cellStyle name="Normal 5 2 2 2 5 2 5" xfId="6834" xr:uid="{00000000-0005-0000-0000-0000B31A0000}"/>
    <cellStyle name="Normal 5 2 2 2 5 3" xfId="6835" xr:uid="{00000000-0005-0000-0000-0000B41A0000}"/>
    <cellStyle name="Normal 5 2 2 2 5 3 2" xfId="6836" xr:uid="{00000000-0005-0000-0000-0000B51A0000}"/>
    <cellStyle name="Normal 5 2 2 2 5 3 2 2" xfId="6837" xr:uid="{00000000-0005-0000-0000-0000B61A0000}"/>
    <cellStyle name="Normal 5 2 2 2 5 3 2 2 2" xfId="6838" xr:uid="{00000000-0005-0000-0000-0000B71A0000}"/>
    <cellStyle name="Normal 5 2 2 2 5 3 2 3" xfId="6839" xr:uid="{00000000-0005-0000-0000-0000B81A0000}"/>
    <cellStyle name="Normal 5 2 2 2 5 3 3" xfId="6840" xr:uid="{00000000-0005-0000-0000-0000B91A0000}"/>
    <cellStyle name="Normal 5 2 2 2 5 3 3 2" xfId="6841" xr:uid="{00000000-0005-0000-0000-0000BA1A0000}"/>
    <cellStyle name="Normal 5 2 2 2 5 3 4" xfId="6842" xr:uid="{00000000-0005-0000-0000-0000BB1A0000}"/>
    <cellStyle name="Normal 5 2 2 2 5 4" xfId="6843" xr:uid="{00000000-0005-0000-0000-0000BC1A0000}"/>
    <cellStyle name="Normal 5 2 2 2 5 4 2" xfId="6844" xr:uid="{00000000-0005-0000-0000-0000BD1A0000}"/>
    <cellStyle name="Normal 5 2 2 2 5 4 2 2" xfId="6845" xr:uid="{00000000-0005-0000-0000-0000BE1A0000}"/>
    <cellStyle name="Normal 5 2 2 2 5 4 3" xfId="6846" xr:uid="{00000000-0005-0000-0000-0000BF1A0000}"/>
    <cellStyle name="Normal 5 2 2 2 5 5" xfId="6847" xr:uid="{00000000-0005-0000-0000-0000C01A0000}"/>
    <cellStyle name="Normal 5 2 2 2 5 5 2" xfId="6848" xr:uid="{00000000-0005-0000-0000-0000C11A0000}"/>
    <cellStyle name="Normal 5 2 2 2 5 6" xfId="6849" xr:uid="{00000000-0005-0000-0000-0000C21A0000}"/>
    <cellStyle name="Normal 5 2 2 2 6" xfId="6850" xr:uid="{00000000-0005-0000-0000-0000C31A0000}"/>
    <cellStyle name="Normal 5 2 2 2 6 2" xfId="6851" xr:uid="{00000000-0005-0000-0000-0000C41A0000}"/>
    <cellStyle name="Normal 5 2 2 2 6 2 2" xfId="6852" xr:uid="{00000000-0005-0000-0000-0000C51A0000}"/>
    <cellStyle name="Normal 5 2 2 2 6 2 2 2" xfId="6853" xr:uid="{00000000-0005-0000-0000-0000C61A0000}"/>
    <cellStyle name="Normal 5 2 2 2 6 2 2 2 2" xfId="6854" xr:uid="{00000000-0005-0000-0000-0000C71A0000}"/>
    <cellStyle name="Normal 5 2 2 2 6 2 2 3" xfId="6855" xr:uid="{00000000-0005-0000-0000-0000C81A0000}"/>
    <cellStyle name="Normal 5 2 2 2 6 2 3" xfId="6856" xr:uid="{00000000-0005-0000-0000-0000C91A0000}"/>
    <cellStyle name="Normal 5 2 2 2 6 2 3 2" xfId="6857" xr:uid="{00000000-0005-0000-0000-0000CA1A0000}"/>
    <cellStyle name="Normal 5 2 2 2 6 2 4" xfId="6858" xr:uid="{00000000-0005-0000-0000-0000CB1A0000}"/>
    <cellStyle name="Normal 5 2 2 2 6 3" xfId="6859" xr:uid="{00000000-0005-0000-0000-0000CC1A0000}"/>
    <cellStyle name="Normal 5 2 2 2 6 3 2" xfId="6860" xr:uid="{00000000-0005-0000-0000-0000CD1A0000}"/>
    <cellStyle name="Normal 5 2 2 2 6 3 2 2" xfId="6861" xr:uid="{00000000-0005-0000-0000-0000CE1A0000}"/>
    <cellStyle name="Normal 5 2 2 2 6 3 3" xfId="6862" xr:uid="{00000000-0005-0000-0000-0000CF1A0000}"/>
    <cellStyle name="Normal 5 2 2 2 6 4" xfId="6863" xr:uid="{00000000-0005-0000-0000-0000D01A0000}"/>
    <cellStyle name="Normal 5 2 2 2 6 4 2" xfId="6864" xr:uid="{00000000-0005-0000-0000-0000D11A0000}"/>
    <cellStyle name="Normal 5 2 2 2 6 5" xfId="6865" xr:uid="{00000000-0005-0000-0000-0000D21A0000}"/>
    <cellStyle name="Normal 5 2 2 2 7" xfId="6866" xr:uid="{00000000-0005-0000-0000-0000D31A0000}"/>
    <cellStyle name="Normal 5 2 2 2 7 2" xfId="6867" xr:uid="{00000000-0005-0000-0000-0000D41A0000}"/>
    <cellStyle name="Normal 5 2 2 2 7 2 2" xfId="6868" xr:uid="{00000000-0005-0000-0000-0000D51A0000}"/>
    <cellStyle name="Normal 5 2 2 2 7 2 2 2" xfId="6869" xr:uid="{00000000-0005-0000-0000-0000D61A0000}"/>
    <cellStyle name="Normal 5 2 2 2 7 2 3" xfId="6870" xr:uid="{00000000-0005-0000-0000-0000D71A0000}"/>
    <cellStyle name="Normal 5 2 2 2 7 3" xfId="6871" xr:uid="{00000000-0005-0000-0000-0000D81A0000}"/>
    <cellStyle name="Normal 5 2 2 2 7 3 2" xfId="6872" xr:uid="{00000000-0005-0000-0000-0000D91A0000}"/>
    <cellStyle name="Normal 5 2 2 2 7 4" xfId="6873" xr:uid="{00000000-0005-0000-0000-0000DA1A0000}"/>
    <cellStyle name="Normal 5 2 2 2 8" xfId="6874" xr:uid="{00000000-0005-0000-0000-0000DB1A0000}"/>
    <cellStyle name="Normal 5 2 2 2 8 2" xfId="6875" xr:uid="{00000000-0005-0000-0000-0000DC1A0000}"/>
    <cellStyle name="Normal 5 2 2 2 8 2 2" xfId="6876" xr:uid="{00000000-0005-0000-0000-0000DD1A0000}"/>
    <cellStyle name="Normal 5 2 2 2 8 3" xfId="6877" xr:uid="{00000000-0005-0000-0000-0000DE1A0000}"/>
    <cellStyle name="Normal 5 2 2 2 9" xfId="6878" xr:uid="{00000000-0005-0000-0000-0000DF1A0000}"/>
    <cellStyle name="Normal 5 2 2 2 9 2" xfId="6879" xr:uid="{00000000-0005-0000-0000-0000E01A0000}"/>
    <cellStyle name="Normal 5 2 2 3" xfId="6880" xr:uid="{00000000-0005-0000-0000-0000E11A0000}"/>
    <cellStyle name="Normal 5 2 2 3 2" xfId="6881" xr:uid="{00000000-0005-0000-0000-0000E21A0000}"/>
    <cellStyle name="Normal 5 2 2 3 2 2" xfId="6882" xr:uid="{00000000-0005-0000-0000-0000E31A0000}"/>
    <cellStyle name="Normal 5 2 2 3 2 2 2" xfId="6883" xr:uid="{00000000-0005-0000-0000-0000E41A0000}"/>
    <cellStyle name="Normal 5 2 2 3 2 2 2 2" xfId="6884" xr:uid="{00000000-0005-0000-0000-0000E51A0000}"/>
    <cellStyle name="Normal 5 2 2 3 2 2 2 2 2" xfId="6885" xr:uid="{00000000-0005-0000-0000-0000E61A0000}"/>
    <cellStyle name="Normal 5 2 2 3 2 2 2 2 2 2" xfId="6886" xr:uid="{00000000-0005-0000-0000-0000E71A0000}"/>
    <cellStyle name="Normal 5 2 2 3 2 2 2 2 2 2 2" xfId="6887" xr:uid="{00000000-0005-0000-0000-0000E81A0000}"/>
    <cellStyle name="Normal 5 2 2 3 2 2 2 2 2 2 2 2" xfId="6888" xr:uid="{00000000-0005-0000-0000-0000E91A0000}"/>
    <cellStyle name="Normal 5 2 2 3 2 2 2 2 2 2 3" xfId="6889" xr:uid="{00000000-0005-0000-0000-0000EA1A0000}"/>
    <cellStyle name="Normal 5 2 2 3 2 2 2 2 2 3" xfId="6890" xr:uid="{00000000-0005-0000-0000-0000EB1A0000}"/>
    <cellStyle name="Normal 5 2 2 3 2 2 2 2 2 3 2" xfId="6891" xr:uid="{00000000-0005-0000-0000-0000EC1A0000}"/>
    <cellStyle name="Normal 5 2 2 3 2 2 2 2 2 4" xfId="6892" xr:uid="{00000000-0005-0000-0000-0000ED1A0000}"/>
    <cellStyle name="Normal 5 2 2 3 2 2 2 2 3" xfId="6893" xr:uid="{00000000-0005-0000-0000-0000EE1A0000}"/>
    <cellStyle name="Normal 5 2 2 3 2 2 2 2 3 2" xfId="6894" xr:uid="{00000000-0005-0000-0000-0000EF1A0000}"/>
    <cellStyle name="Normal 5 2 2 3 2 2 2 2 3 2 2" xfId="6895" xr:uid="{00000000-0005-0000-0000-0000F01A0000}"/>
    <cellStyle name="Normal 5 2 2 3 2 2 2 2 3 3" xfId="6896" xr:uid="{00000000-0005-0000-0000-0000F11A0000}"/>
    <cellStyle name="Normal 5 2 2 3 2 2 2 2 4" xfId="6897" xr:uid="{00000000-0005-0000-0000-0000F21A0000}"/>
    <cellStyle name="Normal 5 2 2 3 2 2 2 2 4 2" xfId="6898" xr:uid="{00000000-0005-0000-0000-0000F31A0000}"/>
    <cellStyle name="Normal 5 2 2 3 2 2 2 2 5" xfId="6899" xr:uid="{00000000-0005-0000-0000-0000F41A0000}"/>
    <cellStyle name="Normal 5 2 2 3 2 2 2 3" xfId="6900" xr:uid="{00000000-0005-0000-0000-0000F51A0000}"/>
    <cellStyle name="Normal 5 2 2 3 2 2 2 3 2" xfId="6901" xr:uid="{00000000-0005-0000-0000-0000F61A0000}"/>
    <cellStyle name="Normal 5 2 2 3 2 2 2 3 2 2" xfId="6902" xr:uid="{00000000-0005-0000-0000-0000F71A0000}"/>
    <cellStyle name="Normal 5 2 2 3 2 2 2 3 2 2 2" xfId="6903" xr:uid="{00000000-0005-0000-0000-0000F81A0000}"/>
    <cellStyle name="Normal 5 2 2 3 2 2 2 3 2 3" xfId="6904" xr:uid="{00000000-0005-0000-0000-0000F91A0000}"/>
    <cellStyle name="Normal 5 2 2 3 2 2 2 3 3" xfId="6905" xr:uid="{00000000-0005-0000-0000-0000FA1A0000}"/>
    <cellStyle name="Normal 5 2 2 3 2 2 2 3 3 2" xfId="6906" xr:uid="{00000000-0005-0000-0000-0000FB1A0000}"/>
    <cellStyle name="Normal 5 2 2 3 2 2 2 3 4" xfId="6907" xr:uid="{00000000-0005-0000-0000-0000FC1A0000}"/>
    <cellStyle name="Normal 5 2 2 3 2 2 2 4" xfId="6908" xr:uid="{00000000-0005-0000-0000-0000FD1A0000}"/>
    <cellStyle name="Normal 5 2 2 3 2 2 2 4 2" xfId="6909" xr:uid="{00000000-0005-0000-0000-0000FE1A0000}"/>
    <cellStyle name="Normal 5 2 2 3 2 2 2 4 2 2" xfId="6910" xr:uid="{00000000-0005-0000-0000-0000FF1A0000}"/>
    <cellStyle name="Normal 5 2 2 3 2 2 2 4 3" xfId="6911" xr:uid="{00000000-0005-0000-0000-0000001B0000}"/>
    <cellStyle name="Normal 5 2 2 3 2 2 2 5" xfId="6912" xr:uid="{00000000-0005-0000-0000-0000011B0000}"/>
    <cellStyle name="Normal 5 2 2 3 2 2 2 5 2" xfId="6913" xr:uid="{00000000-0005-0000-0000-0000021B0000}"/>
    <cellStyle name="Normal 5 2 2 3 2 2 2 6" xfId="6914" xr:uid="{00000000-0005-0000-0000-0000031B0000}"/>
    <cellStyle name="Normal 5 2 2 3 2 2 3" xfId="6915" xr:uid="{00000000-0005-0000-0000-0000041B0000}"/>
    <cellStyle name="Normal 5 2 2 3 2 2 3 2" xfId="6916" xr:uid="{00000000-0005-0000-0000-0000051B0000}"/>
    <cellStyle name="Normal 5 2 2 3 2 2 3 2 2" xfId="6917" xr:uid="{00000000-0005-0000-0000-0000061B0000}"/>
    <cellStyle name="Normal 5 2 2 3 2 2 3 2 2 2" xfId="6918" xr:uid="{00000000-0005-0000-0000-0000071B0000}"/>
    <cellStyle name="Normal 5 2 2 3 2 2 3 2 2 2 2" xfId="6919" xr:uid="{00000000-0005-0000-0000-0000081B0000}"/>
    <cellStyle name="Normal 5 2 2 3 2 2 3 2 2 3" xfId="6920" xr:uid="{00000000-0005-0000-0000-0000091B0000}"/>
    <cellStyle name="Normal 5 2 2 3 2 2 3 2 3" xfId="6921" xr:uid="{00000000-0005-0000-0000-00000A1B0000}"/>
    <cellStyle name="Normal 5 2 2 3 2 2 3 2 3 2" xfId="6922" xr:uid="{00000000-0005-0000-0000-00000B1B0000}"/>
    <cellStyle name="Normal 5 2 2 3 2 2 3 2 4" xfId="6923" xr:uid="{00000000-0005-0000-0000-00000C1B0000}"/>
    <cellStyle name="Normal 5 2 2 3 2 2 3 3" xfId="6924" xr:uid="{00000000-0005-0000-0000-00000D1B0000}"/>
    <cellStyle name="Normal 5 2 2 3 2 2 3 3 2" xfId="6925" xr:uid="{00000000-0005-0000-0000-00000E1B0000}"/>
    <cellStyle name="Normal 5 2 2 3 2 2 3 3 2 2" xfId="6926" xr:uid="{00000000-0005-0000-0000-00000F1B0000}"/>
    <cellStyle name="Normal 5 2 2 3 2 2 3 3 3" xfId="6927" xr:uid="{00000000-0005-0000-0000-0000101B0000}"/>
    <cellStyle name="Normal 5 2 2 3 2 2 3 4" xfId="6928" xr:uid="{00000000-0005-0000-0000-0000111B0000}"/>
    <cellStyle name="Normal 5 2 2 3 2 2 3 4 2" xfId="6929" xr:uid="{00000000-0005-0000-0000-0000121B0000}"/>
    <cellStyle name="Normal 5 2 2 3 2 2 3 5" xfId="6930" xr:uid="{00000000-0005-0000-0000-0000131B0000}"/>
    <cellStyle name="Normal 5 2 2 3 2 2 4" xfId="6931" xr:uid="{00000000-0005-0000-0000-0000141B0000}"/>
    <cellStyle name="Normal 5 2 2 3 2 2 4 2" xfId="6932" xr:uid="{00000000-0005-0000-0000-0000151B0000}"/>
    <cellStyle name="Normal 5 2 2 3 2 2 4 2 2" xfId="6933" xr:uid="{00000000-0005-0000-0000-0000161B0000}"/>
    <cellStyle name="Normal 5 2 2 3 2 2 4 2 2 2" xfId="6934" xr:uid="{00000000-0005-0000-0000-0000171B0000}"/>
    <cellStyle name="Normal 5 2 2 3 2 2 4 2 3" xfId="6935" xr:uid="{00000000-0005-0000-0000-0000181B0000}"/>
    <cellStyle name="Normal 5 2 2 3 2 2 4 3" xfId="6936" xr:uid="{00000000-0005-0000-0000-0000191B0000}"/>
    <cellStyle name="Normal 5 2 2 3 2 2 4 3 2" xfId="6937" xr:uid="{00000000-0005-0000-0000-00001A1B0000}"/>
    <cellStyle name="Normal 5 2 2 3 2 2 4 4" xfId="6938" xr:uid="{00000000-0005-0000-0000-00001B1B0000}"/>
    <cellStyle name="Normal 5 2 2 3 2 2 5" xfId="6939" xr:uid="{00000000-0005-0000-0000-00001C1B0000}"/>
    <cellStyle name="Normal 5 2 2 3 2 2 5 2" xfId="6940" xr:uid="{00000000-0005-0000-0000-00001D1B0000}"/>
    <cellStyle name="Normal 5 2 2 3 2 2 5 2 2" xfId="6941" xr:uid="{00000000-0005-0000-0000-00001E1B0000}"/>
    <cellStyle name="Normal 5 2 2 3 2 2 5 3" xfId="6942" xr:uid="{00000000-0005-0000-0000-00001F1B0000}"/>
    <cellStyle name="Normal 5 2 2 3 2 2 6" xfId="6943" xr:uid="{00000000-0005-0000-0000-0000201B0000}"/>
    <cellStyle name="Normal 5 2 2 3 2 2 6 2" xfId="6944" xr:uid="{00000000-0005-0000-0000-0000211B0000}"/>
    <cellStyle name="Normal 5 2 2 3 2 2 7" xfId="6945" xr:uid="{00000000-0005-0000-0000-0000221B0000}"/>
    <cellStyle name="Normal 5 2 2 3 2 3" xfId="6946" xr:uid="{00000000-0005-0000-0000-0000231B0000}"/>
    <cellStyle name="Normal 5 2 2 3 2 3 2" xfId="6947" xr:uid="{00000000-0005-0000-0000-0000241B0000}"/>
    <cellStyle name="Normal 5 2 2 3 2 3 2 2" xfId="6948" xr:uid="{00000000-0005-0000-0000-0000251B0000}"/>
    <cellStyle name="Normal 5 2 2 3 2 3 2 2 2" xfId="6949" xr:uid="{00000000-0005-0000-0000-0000261B0000}"/>
    <cellStyle name="Normal 5 2 2 3 2 3 2 2 2 2" xfId="6950" xr:uid="{00000000-0005-0000-0000-0000271B0000}"/>
    <cellStyle name="Normal 5 2 2 3 2 3 2 2 2 2 2" xfId="6951" xr:uid="{00000000-0005-0000-0000-0000281B0000}"/>
    <cellStyle name="Normal 5 2 2 3 2 3 2 2 2 3" xfId="6952" xr:uid="{00000000-0005-0000-0000-0000291B0000}"/>
    <cellStyle name="Normal 5 2 2 3 2 3 2 2 3" xfId="6953" xr:uid="{00000000-0005-0000-0000-00002A1B0000}"/>
    <cellStyle name="Normal 5 2 2 3 2 3 2 2 3 2" xfId="6954" xr:uid="{00000000-0005-0000-0000-00002B1B0000}"/>
    <cellStyle name="Normal 5 2 2 3 2 3 2 2 4" xfId="6955" xr:uid="{00000000-0005-0000-0000-00002C1B0000}"/>
    <cellStyle name="Normal 5 2 2 3 2 3 2 3" xfId="6956" xr:uid="{00000000-0005-0000-0000-00002D1B0000}"/>
    <cellStyle name="Normal 5 2 2 3 2 3 2 3 2" xfId="6957" xr:uid="{00000000-0005-0000-0000-00002E1B0000}"/>
    <cellStyle name="Normal 5 2 2 3 2 3 2 3 2 2" xfId="6958" xr:uid="{00000000-0005-0000-0000-00002F1B0000}"/>
    <cellStyle name="Normal 5 2 2 3 2 3 2 3 3" xfId="6959" xr:uid="{00000000-0005-0000-0000-0000301B0000}"/>
    <cellStyle name="Normal 5 2 2 3 2 3 2 4" xfId="6960" xr:uid="{00000000-0005-0000-0000-0000311B0000}"/>
    <cellStyle name="Normal 5 2 2 3 2 3 2 4 2" xfId="6961" xr:uid="{00000000-0005-0000-0000-0000321B0000}"/>
    <cellStyle name="Normal 5 2 2 3 2 3 2 5" xfId="6962" xr:uid="{00000000-0005-0000-0000-0000331B0000}"/>
    <cellStyle name="Normal 5 2 2 3 2 3 3" xfId="6963" xr:uid="{00000000-0005-0000-0000-0000341B0000}"/>
    <cellStyle name="Normal 5 2 2 3 2 3 3 2" xfId="6964" xr:uid="{00000000-0005-0000-0000-0000351B0000}"/>
    <cellStyle name="Normal 5 2 2 3 2 3 3 2 2" xfId="6965" xr:uid="{00000000-0005-0000-0000-0000361B0000}"/>
    <cellStyle name="Normal 5 2 2 3 2 3 3 2 2 2" xfId="6966" xr:uid="{00000000-0005-0000-0000-0000371B0000}"/>
    <cellStyle name="Normal 5 2 2 3 2 3 3 2 3" xfId="6967" xr:uid="{00000000-0005-0000-0000-0000381B0000}"/>
    <cellStyle name="Normal 5 2 2 3 2 3 3 3" xfId="6968" xr:uid="{00000000-0005-0000-0000-0000391B0000}"/>
    <cellStyle name="Normal 5 2 2 3 2 3 3 3 2" xfId="6969" xr:uid="{00000000-0005-0000-0000-00003A1B0000}"/>
    <cellStyle name="Normal 5 2 2 3 2 3 3 4" xfId="6970" xr:uid="{00000000-0005-0000-0000-00003B1B0000}"/>
    <cellStyle name="Normal 5 2 2 3 2 3 4" xfId="6971" xr:uid="{00000000-0005-0000-0000-00003C1B0000}"/>
    <cellStyle name="Normal 5 2 2 3 2 3 4 2" xfId="6972" xr:uid="{00000000-0005-0000-0000-00003D1B0000}"/>
    <cellStyle name="Normal 5 2 2 3 2 3 4 2 2" xfId="6973" xr:uid="{00000000-0005-0000-0000-00003E1B0000}"/>
    <cellStyle name="Normal 5 2 2 3 2 3 4 3" xfId="6974" xr:uid="{00000000-0005-0000-0000-00003F1B0000}"/>
    <cellStyle name="Normal 5 2 2 3 2 3 5" xfId="6975" xr:uid="{00000000-0005-0000-0000-0000401B0000}"/>
    <cellStyle name="Normal 5 2 2 3 2 3 5 2" xfId="6976" xr:uid="{00000000-0005-0000-0000-0000411B0000}"/>
    <cellStyle name="Normal 5 2 2 3 2 3 6" xfId="6977" xr:uid="{00000000-0005-0000-0000-0000421B0000}"/>
    <cellStyle name="Normal 5 2 2 3 2 4" xfId="6978" xr:uid="{00000000-0005-0000-0000-0000431B0000}"/>
    <cellStyle name="Normal 5 2 2 3 2 4 2" xfId="6979" xr:uid="{00000000-0005-0000-0000-0000441B0000}"/>
    <cellStyle name="Normal 5 2 2 3 2 4 2 2" xfId="6980" xr:uid="{00000000-0005-0000-0000-0000451B0000}"/>
    <cellStyle name="Normal 5 2 2 3 2 4 2 2 2" xfId="6981" xr:uid="{00000000-0005-0000-0000-0000461B0000}"/>
    <cellStyle name="Normal 5 2 2 3 2 4 2 2 2 2" xfId="6982" xr:uid="{00000000-0005-0000-0000-0000471B0000}"/>
    <cellStyle name="Normal 5 2 2 3 2 4 2 2 3" xfId="6983" xr:uid="{00000000-0005-0000-0000-0000481B0000}"/>
    <cellStyle name="Normal 5 2 2 3 2 4 2 3" xfId="6984" xr:uid="{00000000-0005-0000-0000-0000491B0000}"/>
    <cellStyle name="Normal 5 2 2 3 2 4 2 3 2" xfId="6985" xr:uid="{00000000-0005-0000-0000-00004A1B0000}"/>
    <cellStyle name="Normal 5 2 2 3 2 4 2 4" xfId="6986" xr:uid="{00000000-0005-0000-0000-00004B1B0000}"/>
    <cellStyle name="Normal 5 2 2 3 2 4 3" xfId="6987" xr:uid="{00000000-0005-0000-0000-00004C1B0000}"/>
    <cellStyle name="Normal 5 2 2 3 2 4 3 2" xfId="6988" xr:uid="{00000000-0005-0000-0000-00004D1B0000}"/>
    <cellStyle name="Normal 5 2 2 3 2 4 3 2 2" xfId="6989" xr:uid="{00000000-0005-0000-0000-00004E1B0000}"/>
    <cellStyle name="Normal 5 2 2 3 2 4 3 3" xfId="6990" xr:uid="{00000000-0005-0000-0000-00004F1B0000}"/>
    <cellStyle name="Normal 5 2 2 3 2 4 4" xfId="6991" xr:uid="{00000000-0005-0000-0000-0000501B0000}"/>
    <cellStyle name="Normal 5 2 2 3 2 4 4 2" xfId="6992" xr:uid="{00000000-0005-0000-0000-0000511B0000}"/>
    <cellStyle name="Normal 5 2 2 3 2 4 5" xfId="6993" xr:uid="{00000000-0005-0000-0000-0000521B0000}"/>
    <cellStyle name="Normal 5 2 2 3 2 5" xfId="6994" xr:uid="{00000000-0005-0000-0000-0000531B0000}"/>
    <cellStyle name="Normal 5 2 2 3 2 5 2" xfId="6995" xr:uid="{00000000-0005-0000-0000-0000541B0000}"/>
    <cellStyle name="Normal 5 2 2 3 2 5 2 2" xfId="6996" xr:uid="{00000000-0005-0000-0000-0000551B0000}"/>
    <cellStyle name="Normal 5 2 2 3 2 5 2 2 2" xfId="6997" xr:uid="{00000000-0005-0000-0000-0000561B0000}"/>
    <cellStyle name="Normal 5 2 2 3 2 5 2 3" xfId="6998" xr:uid="{00000000-0005-0000-0000-0000571B0000}"/>
    <cellStyle name="Normal 5 2 2 3 2 5 3" xfId="6999" xr:uid="{00000000-0005-0000-0000-0000581B0000}"/>
    <cellStyle name="Normal 5 2 2 3 2 5 3 2" xfId="7000" xr:uid="{00000000-0005-0000-0000-0000591B0000}"/>
    <cellStyle name="Normal 5 2 2 3 2 5 4" xfId="7001" xr:uid="{00000000-0005-0000-0000-00005A1B0000}"/>
    <cellStyle name="Normal 5 2 2 3 2 6" xfId="7002" xr:uid="{00000000-0005-0000-0000-00005B1B0000}"/>
    <cellStyle name="Normal 5 2 2 3 2 6 2" xfId="7003" xr:uid="{00000000-0005-0000-0000-00005C1B0000}"/>
    <cellStyle name="Normal 5 2 2 3 2 6 2 2" xfId="7004" xr:uid="{00000000-0005-0000-0000-00005D1B0000}"/>
    <cellStyle name="Normal 5 2 2 3 2 6 3" xfId="7005" xr:uid="{00000000-0005-0000-0000-00005E1B0000}"/>
    <cellStyle name="Normal 5 2 2 3 2 7" xfId="7006" xr:uid="{00000000-0005-0000-0000-00005F1B0000}"/>
    <cellStyle name="Normal 5 2 2 3 2 7 2" xfId="7007" xr:uid="{00000000-0005-0000-0000-0000601B0000}"/>
    <cellStyle name="Normal 5 2 2 3 2 8" xfId="7008" xr:uid="{00000000-0005-0000-0000-0000611B0000}"/>
    <cellStyle name="Normal 5 2 2 3 3" xfId="7009" xr:uid="{00000000-0005-0000-0000-0000621B0000}"/>
    <cellStyle name="Normal 5 2 2 3 3 2" xfId="7010" xr:uid="{00000000-0005-0000-0000-0000631B0000}"/>
    <cellStyle name="Normal 5 2 2 3 3 2 2" xfId="7011" xr:uid="{00000000-0005-0000-0000-0000641B0000}"/>
    <cellStyle name="Normal 5 2 2 3 3 2 2 2" xfId="7012" xr:uid="{00000000-0005-0000-0000-0000651B0000}"/>
    <cellStyle name="Normal 5 2 2 3 3 2 2 2 2" xfId="7013" xr:uid="{00000000-0005-0000-0000-0000661B0000}"/>
    <cellStyle name="Normal 5 2 2 3 3 2 2 2 2 2" xfId="7014" xr:uid="{00000000-0005-0000-0000-0000671B0000}"/>
    <cellStyle name="Normal 5 2 2 3 3 2 2 2 2 2 2" xfId="7015" xr:uid="{00000000-0005-0000-0000-0000681B0000}"/>
    <cellStyle name="Normal 5 2 2 3 3 2 2 2 2 3" xfId="7016" xr:uid="{00000000-0005-0000-0000-0000691B0000}"/>
    <cellStyle name="Normal 5 2 2 3 3 2 2 2 3" xfId="7017" xr:uid="{00000000-0005-0000-0000-00006A1B0000}"/>
    <cellStyle name="Normal 5 2 2 3 3 2 2 2 3 2" xfId="7018" xr:uid="{00000000-0005-0000-0000-00006B1B0000}"/>
    <cellStyle name="Normal 5 2 2 3 3 2 2 2 4" xfId="7019" xr:uid="{00000000-0005-0000-0000-00006C1B0000}"/>
    <cellStyle name="Normal 5 2 2 3 3 2 2 3" xfId="7020" xr:uid="{00000000-0005-0000-0000-00006D1B0000}"/>
    <cellStyle name="Normal 5 2 2 3 3 2 2 3 2" xfId="7021" xr:uid="{00000000-0005-0000-0000-00006E1B0000}"/>
    <cellStyle name="Normal 5 2 2 3 3 2 2 3 2 2" xfId="7022" xr:uid="{00000000-0005-0000-0000-00006F1B0000}"/>
    <cellStyle name="Normal 5 2 2 3 3 2 2 3 3" xfId="7023" xr:uid="{00000000-0005-0000-0000-0000701B0000}"/>
    <cellStyle name="Normal 5 2 2 3 3 2 2 4" xfId="7024" xr:uid="{00000000-0005-0000-0000-0000711B0000}"/>
    <cellStyle name="Normal 5 2 2 3 3 2 2 4 2" xfId="7025" xr:uid="{00000000-0005-0000-0000-0000721B0000}"/>
    <cellStyle name="Normal 5 2 2 3 3 2 2 5" xfId="7026" xr:uid="{00000000-0005-0000-0000-0000731B0000}"/>
    <cellStyle name="Normal 5 2 2 3 3 2 3" xfId="7027" xr:uid="{00000000-0005-0000-0000-0000741B0000}"/>
    <cellStyle name="Normal 5 2 2 3 3 2 3 2" xfId="7028" xr:uid="{00000000-0005-0000-0000-0000751B0000}"/>
    <cellStyle name="Normal 5 2 2 3 3 2 3 2 2" xfId="7029" xr:uid="{00000000-0005-0000-0000-0000761B0000}"/>
    <cellStyle name="Normal 5 2 2 3 3 2 3 2 2 2" xfId="7030" xr:uid="{00000000-0005-0000-0000-0000771B0000}"/>
    <cellStyle name="Normal 5 2 2 3 3 2 3 2 3" xfId="7031" xr:uid="{00000000-0005-0000-0000-0000781B0000}"/>
    <cellStyle name="Normal 5 2 2 3 3 2 3 3" xfId="7032" xr:uid="{00000000-0005-0000-0000-0000791B0000}"/>
    <cellStyle name="Normal 5 2 2 3 3 2 3 3 2" xfId="7033" xr:uid="{00000000-0005-0000-0000-00007A1B0000}"/>
    <cellStyle name="Normal 5 2 2 3 3 2 3 4" xfId="7034" xr:uid="{00000000-0005-0000-0000-00007B1B0000}"/>
    <cellStyle name="Normal 5 2 2 3 3 2 4" xfId="7035" xr:uid="{00000000-0005-0000-0000-00007C1B0000}"/>
    <cellStyle name="Normal 5 2 2 3 3 2 4 2" xfId="7036" xr:uid="{00000000-0005-0000-0000-00007D1B0000}"/>
    <cellStyle name="Normal 5 2 2 3 3 2 4 2 2" xfId="7037" xr:uid="{00000000-0005-0000-0000-00007E1B0000}"/>
    <cellStyle name="Normal 5 2 2 3 3 2 4 3" xfId="7038" xr:uid="{00000000-0005-0000-0000-00007F1B0000}"/>
    <cellStyle name="Normal 5 2 2 3 3 2 5" xfId="7039" xr:uid="{00000000-0005-0000-0000-0000801B0000}"/>
    <cellStyle name="Normal 5 2 2 3 3 2 5 2" xfId="7040" xr:uid="{00000000-0005-0000-0000-0000811B0000}"/>
    <cellStyle name="Normal 5 2 2 3 3 2 6" xfId="7041" xr:uid="{00000000-0005-0000-0000-0000821B0000}"/>
    <cellStyle name="Normal 5 2 2 3 3 3" xfId="7042" xr:uid="{00000000-0005-0000-0000-0000831B0000}"/>
    <cellStyle name="Normal 5 2 2 3 3 3 2" xfId="7043" xr:uid="{00000000-0005-0000-0000-0000841B0000}"/>
    <cellStyle name="Normal 5 2 2 3 3 3 2 2" xfId="7044" xr:uid="{00000000-0005-0000-0000-0000851B0000}"/>
    <cellStyle name="Normal 5 2 2 3 3 3 2 2 2" xfId="7045" xr:uid="{00000000-0005-0000-0000-0000861B0000}"/>
    <cellStyle name="Normal 5 2 2 3 3 3 2 2 2 2" xfId="7046" xr:uid="{00000000-0005-0000-0000-0000871B0000}"/>
    <cellStyle name="Normal 5 2 2 3 3 3 2 2 3" xfId="7047" xr:uid="{00000000-0005-0000-0000-0000881B0000}"/>
    <cellStyle name="Normal 5 2 2 3 3 3 2 3" xfId="7048" xr:uid="{00000000-0005-0000-0000-0000891B0000}"/>
    <cellStyle name="Normal 5 2 2 3 3 3 2 3 2" xfId="7049" xr:uid="{00000000-0005-0000-0000-00008A1B0000}"/>
    <cellStyle name="Normal 5 2 2 3 3 3 2 4" xfId="7050" xr:uid="{00000000-0005-0000-0000-00008B1B0000}"/>
    <cellStyle name="Normal 5 2 2 3 3 3 3" xfId="7051" xr:uid="{00000000-0005-0000-0000-00008C1B0000}"/>
    <cellStyle name="Normal 5 2 2 3 3 3 3 2" xfId="7052" xr:uid="{00000000-0005-0000-0000-00008D1B0000}"/>
    <cellStyle name="Normal 5 2 2 3 3 3 3 2 2" xfId="7053" xr:uid="{00000000-0005-0000-0000-00008E1B0000}"/>
    <cellStyle name="Normal 5 2 2 3 3 3 3 3" xfId="7054" xr:uid="{00000000-0005-0000-0000-00008F1B0000}"/>
    <cellStyle name="Normal 5 2 2 3 3 3 4" xfId="7055" xr:uid="{00000000-0005-0000-0000-0000901B0000}"/>
    <cellStyle name="Normal 5 2 2 3 3 3 4 2" xfId="7056" xr:uid="{00000000-0005-0000-0000-0000911B0000}"/>
    <cellStyle name="Normal 5 2 2 3 3 3 5" xfId="7057" xr:uid="{00000000-0005-0000-0000-0000921B0000}"/>
    <cellStyle name="Normal 5 2 2 3 3 4" xfId="7058" xr:uid="{00000000-0005-0000-0000-0000931B0000}"/>
    <cellStyle name="Normal 5 2 2 3 3 4 2" xfId="7059" xr:uid="{00000000-0005-0000-0000-0000941B0000}"/>
    <cellStyle name="Normal 5 2 2 3 3 4 2 2" xfId="7060" xr:uid="{00000000-0005-0000-0000-0000951B0000}"/>
    <cellStyle name="Normal 5 2 2 3 3 4 2 2 2" xfId="7061" xr:uid="{00000000-0005-0000-0000-0000961B0000}"/>
    <cellStyle name="Normal 5 2 2 3 3 4 2 3" xfId="7062" xr:uid="{00000000-0005-0000-0000-0000971B0000}"/>
    <cellStyle name="Normal 5 2 2 3 3 4 3" xfId="7063" xr:uid="{00000000-0005-0000-0000-0000981B0000}"/>
    <cellStyle name="Normal 5 2 2 3 3 4 3 2" xfId="7064" xr:uid="{00000000-0005-0000-0000-0000991B0000}"/>
    <cellStyle name="Normal 5 2 2 3 3 4 4" xfId="7065" xr:uid="{00000000-0005-0000-0000-00009A1B0000}"/>
    <cellStyle name="Normal 5 2 2 3 3 5" xfId="7066" xr:uid="{00000000-0005-0000-0000-00009B1B0000}"/>
    <cellStyle name="Normal 5 2 2 3 3 5 2" xfId="7067" xr:uid="{00000000-0005-0000-0000-00009C1B0000}"/>
    <cellStyle name="Normal 5 2 2 3 3 5 2 2" xfId="7068" xr:uid="{00000000-0005-0000-0000-00009D1B0000}"/>
    <cellStyle name="Normal 5 2 2 3 3 5 3" xfId="7069" xr:uid="{00000000-0005-0000-0000-00009E1B0000}"/>
    <cellStyle name="Normal 5 2 2 3 3 6" xfId="7070" xr:uid="{00000000-0005-0000-0000-00009F1B0000}"/>
    <cellStyle name="Normal 5 2 2 3 3 6 2" xfId="7071" xr:uid="{00000000-0005-0000-0000-0000A01B0000}"/>
    <cellStyle name="Normal 5 2 2 3 3 7" xfId="7072" xr:uid="{00000000-0005-0000-0000-0000A11B0000}"/>
    <cellStyle name="Normal 5 2 2 3 4" xfId="7073" xr:uid="{00000000-0005-0000-0000-0000A21B0000}"/>
    <cellStyle name="Normal 5 2 2 3 4 2" xfId="7074" xr:uid="{00000000-0005-0000-0000-0000A31B0000}"/>
    <cellStyle name="Normal 5 2 2 3 4 2 2" xfId="7075" xr:uid="{00000000-0005-0000-0000-0000A41B0000}"/>
    <cellStyle name="Normal 5 2 2 3 4 2 2 2" xfId="7076" xr:uid="{00000000-0005-0000-0000-0000A51B0000}"/>
    <cellStyle name="Normal 5 2 2 3 4 2 2 2 2" xfId="7077" xr:uid="{00000000-0005-0000-0000-0000A61B0000}"/>
    <cellStyle name="Normal 5 2 2 3 4 2 2 2 2 2" xfId="7078" xr:uid="{00000000-0005-0000-0000-0000A71B0000}"/>
    <cellStyle name="Normal 5 2 2 3 4 2 2 2 3" xfId="7079" xr:uid="{00000000-0005-0000-0000-0000A81B0000}"/>
    <cellStyle name="Normal 5 2 2 3 4 2 2 3" xfId="7080" xr:uid="{00000000-0005-0000-0000-0000A91B0000}"/>
    <cellStyle name="Normal 5 2 2 3 4 2 2 3 2" xfId="7081" xr:uid="{00000000-0005-0000-0000-0000AA1B0000}"/>
    <cellStyle name="Normal 5 2 2 3 4 2 2 4" xfId="7082" xr:uid="{00000000-0005-0000-0000-0000AB1B0000}"/>
    <cellStyle name="Normal 5 2 2 3 4 2 3" xfId="7083" xr:uid="{00000000-0005-0000-0000-0000AC1B0000}"/>
    <cellStyle name="Normal 5 2 2 3 4 2 3 2" xfId="7084" xr:uid="{00000000-0005-0000-0000-0000AD1B0000}"/>
    <cellStyle name="Normal 5 2 2 3 4 2 3 2 2" xfId="7085" xr:uid="{00000000-0005-0000-0000-0000AE1B0000}"/>
    <cellStyle name="Normal 5 2 2 3 4 2 3 3" xfId="7086" xr:uid="{00000000-0005-0000-0000-0000AF1B0000}"/>
    <cellStyle name="Normal 5 2 2 3 4 2 4" xfId="7087" xr:uid="{00000000-0005-0000-0000-0000B01B0000}"/>
    <cellStyle name="Normal 5 2 2 3 4 2 4 2" xfId="7088" xr:uid="{00000000-0005-0000-0000-0000B11B0000}"/>
    <cellStyle name="Normal 5 2 2 3 4 2 5" xfId="7089" xr:uid="{00000000-0005-0000-0000-0000B21B0000}"/>
    <cellStyle name="Normal 5 2 2 3 4 3" xfId="7090" xr:uid="{00000000-0005-0000-0000-0000B31B0000}"/>
    <cellStyle name="Normal 5 2 2 3 4 3 2" xfId="7091" xr:uid="{00000000-0005-0000-0000-0000B41B0000}"/>
    <cellStyle name="Normal 5 2 2 3 4 3 2 2" xfId="7092" xr:uid="{00000000-0005-0000-0000-0000B51B0000}"/>
    <cellStyle name="Normal 5 2 2 3 4 3 2 2 2" xfId="7093" xr:uid="{00000000-0005-0000-0000-0000B61B0000}"/>
    <cellStyle name="Normal 5 2 2 3 4 3 2 3" xfId="7094" xr:uid="{00000000-0005-0000-0000-0000B71B0000}"/>
    <cellStyle name="Normal 5 2 2 3 4 3 3" xfId="7095" xr:uid="{00000000-0005-0000-0000-0000B81B0000}"/>
    <cellStyle name="Normal 5 2 2 3 4 3 3 2" xfId="7096" xr:uid="{00000000-0005-0000-0000-0000B91B0000}"/>
    <cellStyle name="Normal 5 2 2 3 4 3 4" xfId="7097" xr:uid="{00000000-0005-0000-0000-0000BA1B0000}"/>
    <cellStyle name="Normal 5 2 2 3 4 4" xfId="7098" xr:uid="{00000000-0005-0000-0000-0000BB1B0000}"/>
    <cellStyle name="Normal 5 2 2 3 4 4 2" xfId="7099" xr:uid="{00000000-0005-0000-0000-0000BC1B0000}"/>
    <cellStyle name="Normal 5 2 2 3 4 4 2 2" xfId="7100" xr:uid="{00000000-0005-0000-0000-0000BD1B0000}"/>
    <cellStyle name="Normal 5 2 2 3 4 4 3" xfId="7101" xr:uid="{00000000-0005-0000-0000-0000BE1B0000}"/>
    <cellStyle name="Normal 5 2 2 3 4 5" xfId="7102" xr:uid="{00000000-0005-0000-0000-0000BF1B0000}"/>
    <cellStyle name="Normal 5 2 2 3 4 5 2" xfId="7103" xr:uid="{00000000-0005-0000-0000-0000C01B0000}"/>
    <cellStyle name="Normal 5 2 2 3 4 6" xfId="7104" xr:uid="{00000000-0005-0000-0000-0000C11B0000}"/>
    <cellStyle name="Normal 5 2 2 3 5" xfId="7105" xr:uid="{00000000-0005-0000-0000-0000C21B0000}"/>
    <cellStyle name="Normal 5 2 2 3 5 2" xfId="7106" xr:uid="{00000000-0005-0000-0000-0000C31B0000}"/>
    <cellStyle name="Normal 5 2 2 3 5 2 2" xfId="7107" xr:uid="{00000000-0005-0000-0000-0000C41B0000}"/>
    <cellStyle name="Normal 5 2 2 3 5 2 2 2" xfId="7108" xr:uid="{00000000-0005-0000-0000-0000C51B0000}"/>
    <cellStyle name="Normal 5 2 2 3 5 2 2 2 2" xfId="7109" xr:uid="{00000000-0005-0000-0000-0000C61B0000}"/>
    <cellStyle name="Normal 5 2 2 3 5 2 2 3" xfId="7110" xr:uid="{00000000-0005-0000-0000-0000C71B0000}"/>
    <cellStyle name="Normal 5 2 2 3 5 2 3" xfId="7111" xr:uid="{00000000-0005-0000-0000-0000C81B0000}"/>
    <cellStyle name="Normal 5 2 2 3 5 2 3 2" xfId="7112" xr:uid="{00000000-0005-0000-0000-0000C91B0000}"/>
    <cellStyle name="Normal 5 2 2 3 5 2 4" xfId="7113" xr:uid="{00000000-0005-0000-0000-0000CA1B0000}"/>
    <cellStyle name="Normal 5 2 2 3 5 3" xfId="7114" xr:uid="{00000000-0005-0000-0000-0000CB1B0000}"/>
    <cellStyle name="Normal 5 2 2 3 5 3 2" xfId="7115" xr:uid="{00000000-0005-0000-0000-0000CC1B0000}"/>
    <cellStyle name="Normal 5 2 2 3 5 3 2 2" xfId="7116" xr:uid="{00000000-0005-0000-0000-0000CD1B0000}"/>
    <cellStyle name="Normal 5 2 2 3 5 3 3" xfId="7117" xr:uid="{00000000-0005-0000-0000-0000CE1B0000}"/>
    <cellStyle name="Normal 5 2 2 3 5 4" xfId="7118" xr:uid="{00000000-0005-0000-0000-0000CF1B0000}"/>
    <cellStyle name="Normal 5 2 2 3 5 4 2" xfId="7119" xr:uid="{00000000-0005-0000-0000-0000D01B0000}"/>
    <cellStyle name="Normal 5 2 2 3 5 5" xfId="7120" xr:uid="{00000000-0005-0000-0000-0000D11B0000}"/>
    <cellStyle name="Normal 5 2 2 3 6" xfId="7121" xr:uid="{00000000-0005-0000-0000-0000D21B0000}"/>
    <cellStyle name="Normal 5 2 2 3 6 2" xfId="7122" xr:uid="{00000000-0005-0000-0000-0000D31B0000}"/>
    <cellStyle name="Normal 5 2 2 3 6 2 2" xfId="7123" xr:uid="{00000000-0005-0000-0000-0000D41B0000}"/>
    <cellStyle name="Normal 5 2 2 3 6 2 2 2" xfId="7124" xr:uid="{00000000-0005-0000-0000-0000D51B0000}"/>
    <cellStyle name="Normal 5 2 2 3 6 2 3" xfId="7125" xr:uid="{00000000-0005-0000-0000-0000D61B0000}"/>
    <cellStyle name="Normal 5 2 2 3 6 3" xfId="7126" xr:uid="{00000000-0005-0000-0000-0000D71B0000}"/>
    <cellStyle name="Normal 5 2 2 3 6 3 2" xfId="7127" xr:uid="{00000000-0005-0000-0000-0000D81B0000}"/>
    <cellStyle name="Normal 5 2 2 3 6 4" xfId="7128" xr:uid="{00000000-0005-0000-0000-0000D91B0000}"/>
    <cellStyle name="Normal 5 2 2 3 7" xfId="7129" xr:uid="{00000000-0005-0000-0000-0000DA1B0000}"/>
    <cellStyle name="Normal 5 2 2 3 7 2" xfId="7130" xr:uid="{00000000-0005-0000-0000-0000DB1B0000}"/>
    <cellStyle name="Normal 5 2 2 3 7 2 2" xfId="7131" xr:uid="{00000000-0005-0000-0000-0000DC1B0000}"/>
    <cellStyle name="Normal 5 2 2 3 7 3" xfId="7132" xr:uid="{00000000-0005-0000-0000-0000DD1B0000}"/>
    <cellStyle name="Normal 5 2 2 3 8" xfId="7133" xr:uid="{00000000-0005-0000-0000-0000DE1B0000}"/>
    <cellStyle name="Normal 5 2 2 3 8 2" xfId="7134" xr:uid="{00000000-0005-0000-0000-0000DF1B0000}"/>
    <cellStyle name="Normal 5 2 2 3 9" xfId="7135" xr:uid="{00000000-0005-0000-0000-0000E01B0000}"/>
    <cellStyle name="Normal 5 2 2 4" xfId="7136" xr:uid="{00000000-0005-0000-0000-0000E11B0000}"/>
    <cellStyle name="Normal 5 2 2 4 2" xfId="7137" xr:uid="{00000000-0005-0000-0000-0000E21B0000}"/>
    <cellStyle name="Normal 5 2 2 4 2 2" xfId="7138" xr:uid="{00000000-0005-0000-0000-0000E31B0000}"/>
    <cellStyle name="Normal 5 2 2 4 2 2 2" xfId="7139" xr:uid="{00000000-0005-0000-0000-0000E41B0000}"/>
    <cellStyle name="Normal 5 2 2 4 2 2 2 2" xfId="7140" xr:uid="{00000000-0005-0000-0000-0000E51B0000}"/>
    <cellStyle name="Normal 5 2 2 4 2 2 2 2 2" xfId="7141" xr:uid="{00000000-0005-0000-0000-0000E61B0000}"/>
    <cellStyle name="Normal 5 2 2 4 2 2 2 2 2 2" xfId="7142" xr:uid="{00000000-0005-0000-0000-0000E71B0000}"/>
    <cellStyle name="Normal 5 2 2 4 2 2 2 2 2 2 2" xfId="7143" xr:uid="{00000000-0005-0000-0000-0000E81B0000}"/>
    <cellStyle name="Normal 5 2 2 4 2 2 2 2 2 3" xfId="7144" xr:uid="{00000000-0005-0000-0000-0000E91B0000}"/>
    <cellStyle name="Normal 5 2 2 4 2 2 2 2 3" xfId="7145" xr:uid="{00000000-0005-0000-0000-0000EA1B0000}"/>
    <cellStyle name="Normal 5 2 2 4 2 2 2 2 3 2" xfId="7146" xr:uid="{00000000-0005-0000-0000-0000EB1B0000}"/>
    <cellStyle name="Normal 5 2 2 4 2 2 2 2 4" xfId="7147" xr:uid="{00000000-0005-0000-0000-0000EC1B0000}"/>
    <cellStyle name="Normal 5 2 2 4 2 2 2 3" xfId="7148" xr:uid="{00000000-0005-0000-0000-0000ED1B0000}"/>
    <cellStyle name="Normal 5 2 2 4 2 2 2 3 2" xfId="7149" xr:uid="{00000000-0005-0000-0000-0000EE1B0000}"/>
    <cellStyle name="Normal 5 2 2 4 2 2 2 3 2 2" xfId="7150" xr:uid="{00000000-0005-0000-0000-0000EF1B0000}"/>
    <cellStyle name="Normal 5 2 2 4 2 2 2 3 3" xfId="7151" xr:uid="{00000000-0005-0000-0000-0000F01B0000}"/>
    <cellStyle name="Normal 5 2 2 4 2 2 2 4" xfId="7152" xr:uid="{00000000-0005-0000-0000-0000F11B0000}"/>
    <cellStyle name="Normal 5 2 2 4 2 2 2 4 2" xfId="7153" xr:uid="{00000000-0005-0000-0000-0000F21B0000}"/>
    <cellStyle name="Normal 5 2 2 4 2 2 2 5" xfId="7154" xr:uid="{00000000-0005-0000-0000-0000F31B0000}"/>
    <cellStyle name="Normal 5 2 2 4 2 2 3" xfId="7155" xr:uid="{00000000-0005-0000-0000-0000F41B0000}"/>
    <cellStyle name="Normal 5 2 2 4 2 2 3 2" xfId="7156" xr:uid="{00000000-0005-0000-0000-0000F51B0000}"/>
    <cellStyle name="Normal 5 2 2 4 2 2 3 2 2" xfId="7157" xr:uid="{00000000-0005-0000-0000-0000F61B0000}"/>
    <cellStyle name="Normal 5 2 2 4 2 2 3 2 2 2" xfId="7158" xr:uid="{00000000-0005-0000-0000-0000F71B0000}"/>
    <cellStyle name="Normal 5 2 2 4 2 2 3 2 3" xfId="7159" xr:uid="{00000000-0005-0000-0000-0000F81B0000}"/>
    <cellStyle name="Normal 5 2 2 4 2 2 3 3" xfId="7160" xr:uid="{00000000-0005-0000-0000-0000F91B0000}"/>
    <cellStyle name="Normal 5 2 2 4 2 2 3 3 2" xfId="7161" xr:uid="{00000000-0005-0000-0000-0000FA1B0000}"/>
    <cellStyle name="Normal 5 2 2 4 2 2 3 4" xfId="7162" xr:uid="{00000000-0005-0000-0000-0000FB1B0000}"/>
    <cellStyle name="Normal 5 2 2 4 2 2 4" xfId="7163" xr:uid="{00000000-0005-0000-0000-0000FC1B0000}"/>
    <cellStyle name="Normal 5 2 2 4 2 2 4 2" xfId="7164" xr:uid="{00000000-0005-0000-0000-0000FD1B0000}"/>
    <cellStyle name="Normal 5 2 2 4 2 2 4 2 2" xfId="7165" xr:uid="{00000000-0005-0000-0000-0000FE1B0000}"/>
    <cellStyle name="Normal 5 2 2 4 2 2 4 3" xfId="7166" xr:uid="{00000000-0005-0000-0000-0000FF1B0000}"/>
    <cellStyle name="Normal 5 2 2 4 2 2 5" xfId="7167" xr:uid="{00000000-0005-0000-0000-0000001C0000}"/>
    <cellStyle name="Normal 5 2 2 4 2 2 5 2" xfId="7168" xr:uid="{00000000-0005-0000-0000-0000011C0000}"/>
    <cellStyle name="Normal 5 2 2 4 2 2 6" xfId="7169" xr:uid="{00000000-0005-0000-0000-0000021C0000}"/>
    <cellStyle name="Normal 5 2 2 4 2 3" xfId="7170" xr:uid="{00000000-0005-0000-0000-0000031C0000}"/>
    <cellStyle name="Normal 5 2 2 4 2 3 2" xfId="7171" xr:uid="{00000000-0005-0000-0000-0000041C0000}"/>
    <cellStyle name="Normal 5 2 2 4 2 3 2 2" xfId="7172" xr:uid="{00000000-0005-0000-0000-0000051C0000}"/>
    <cellStyle name="Normal 5 2 2 4 2 3 2 2 2" xfId="7173" xr:uid="{00000000-0005-0000-0000-0000061C0000}"/>
    <cellStyle name="Normal 5 2 2 4 2 3 2 2 2 2" xfId="7174" xr:uid="{00000000-0005-0000-0000-0000071C0000}"/>
    <cellStyle name="Normal 5 2 2 4 2 3 2 2 3" xfId="7175" xr:uid="{00000000-0005-0000-0000-0000081C0000}"/>
    <cellStyle name="Normal 5 2 2 4 2 3 2 3" xfId="7176" xr:uid="{00000000-0005-0000-0000-0000091C0000}"/>
    <cellStyle name="Normal 5 2 2 4 2 3 2 3 2" xfId="7177" xr:uid="{00000000-0005-0000-0000-00000A1C0000}"/>
    <cellStyle name="Normal 5 2 2 4 2 3 2 4" xfId="7178" xr:uid="{00000000-0005-0000-0000-00000B1C0000}"/>
    <cellStyle name="Normal 5 2 2 4 2 3 3" xfId="7179" xr:uid="{00000000-0005-0000-0000-00000C1C0000}"/>
    <cellStyle name="Normal 5 2 2 4 2 3 3 2" xfId="7180" xr:uid="{00000000-0005-0000-0000-00000D1C0000}"/>
    <cellStyle name="Normal 5 2 2 4 2 3 3 2 2" xfId="7181" xr:uid="{00000000-0005-0000-0000-00000E1C0000}"/>
    <cellStyle name="Normal 5 2 2 4 2 3 3 3" xfId="7182" xr:uid="{00000000-0005-0000-0000-00000F1C0000}"/>
    <cellStyle name="Normal 5 2 2 4 2 3 4" xfId="7183" xr:uid="{00000000-0005-0000-0000-0000101C0000}"/>
    <cellStyle name="Normal 5 2 2 4 2 3 4 2" xfId="7184" xr:uid="{00000000-0005-0000-0000-0000111C0000}"/>
    <cellStyle name="Normal 5 2 2 4 2 3 5" xfId="7185" xr:uid="{00000000-0005-0000-0000-0000121C0000}"/>
    <cellStyle name="Normal 5 2 2 4 2 4" xfId="7186" xr:uid="{00000000-0005-0000-0000-0000131C0000}"/>
    <cellStyle name="Normal 5 2 2 4 2 4 2" xfId="7187" xr:uid="{00000000-0005-0000-0000-0000141C0000}"/>
    <cellStyle name="Normal 5 2 2 4 2 4 2 2" xfId="7188" xr:uid="{00000000-0005-0000-0000-0000151C0000}"/>
    <cellStyle name="Normal 5 2 2 4 2 4 2 2 2" xfId="7189" xr:uid="{00000000-0005-0000-0000-0000161C0000}"/>
    <cellStyle name="Normal 5 2 2 4 2 4 2 3" xfId="7190" xr:uid="{00000000-0005-0000-0000-0000171C0000}"/>
    <cellStyle name="Normal 5 2 2 4 2 4 3" xfId="7191" xr:uid="{00000000-0005-0000-0000-0000181C0000}"/>
    <cellStyle name="Normal 5 2 2 4 2 4 3 2" xfId="7192" xr:uid="{00000000-0005-0000-0000-0000191C0000}"/>
    <cellStyle name="Normal 5 2 2 4 2 4 4" xfId="7193" xr:uid="{00000000-0005-0000-0000-00001A1C0000}"/>
    <cellStyle name="Normal 5 2 2 4 2 5" xfId="7194" xr:uid="{00000000-0005-0000-0000-00001B1C0000}"/>
    <cellStyle name="Normal 5 2 2 4 2 5 2" xfId="7195" xr:uid="{00000000-0005-0000-0000-00001C1C0000}"/>
    <cellStyle name="Normal 5 2 2 4 2 5 2 2" xfId="7196" xr:uid="{00000000-0005-0000-0000-00001D1C0000}"/>
    <cellStyle name="Normal 5 2 2 4 2 5 3" xfId="7197" xr:uid="{00000000-0005-0000-0000-00001E1C0000}"/>
    <cellStyle name="Normal 5 2 2 4 2 6" xfId="7198" xr:uid="{00000000-0005-0000-0000-00001F1C0000}"/>
    <cellStyle name="Normal 5 2 2 4 2 6 2" xfId="7199" xr:uid="{00000000-0005-0000-0000-0000201C0000}"/>
    <cellStyle name="Normal 5 2 2 4 2 7" xfId="7200" xr:uid="{00000000-0005-0000-0000-0000211C0000}"/>
    <cellStyle name="Normal 5 2 2 4 3" xfId="7201" xr:uid="{00000000-0005-0000-0000-0000221C0000}"/>
    <cellStyle name="Normal 5 2 2 4 3 2" xfId="7202" xr:uid="{00000000-0005-0000-0000-0000231C0000}"/>
    <cellStyle name="Normal 5 2 2 4 3 2 2" xfId="7203" xr:uid="{00000000-0005-0000-0000-0000241C0000}"/>
    <cellStyle name="Normal 5 2 2 4 3 2 2 2" xfId="7204" xr:uid="{00000000-0005-0000-0000-0000251C0000}"/>
    <cellStyle name="Normal 5 2 2 4 3 2 2 2 2" xfId="7205" xr:uid="{00000000-0005-0000-0000-0000261C0000}"/>
    <cellStyle name="Normal 5 2 2 4 3 2 2 2 2 2" xfId="7206" xr:uid="{00000000-0005-0000-0000-0000271C0000}"/>
    <cellStyle name="Normal 5 2 2 4 3 2 2 2 3" xfId="7207" xr:uid="{00000000-0005-0000-0000-0000281C0000}"/>
    <cellStyle name="Normal 5 2 2 4 3 2 2 3" xfId="7208" xr:uid="{00000000-0005-0000-0000-0000291C0000}"/>
    <cellStyle name="Normal 5 2 2 4 3 2 2 3 2" xfId="7209" xr:uid="{00000000-0005-0000-0000-00002A1C0000}"/>
    <cellStyle name="Normal 5 2 2 4 3 2 2 4" xfId="7210" xr:uid="{00000000-0005-0000-0000-00002B1C0000}"/>
    <cellStyle name="Normal 5 2 2 4 3 2 3" xfId="7211" xr:uid="{00000000-0005-0000-0000-00002C1C0000}"/>
    <cellStyle name="Normal 5 2 2 4 3 2 3 2" xfId="7212" xr:uid="{00000000-0005-0000-0000-00002D1C0000}"/>
    <cellStyle name="Normal 5 2 2 4 3 2 3 2 2" xfId="7213" xr:uid="{00000000-0005-0000-0000-00002E1C0000}"/>
    <cellStyle name="Normal 5 2 2 4 3 2 3 3" xfId="7214" xr:uid="{00000000-0005-0000-0000-00002F1C0000}"/>
    <cellStyle name="Normal 5 2 2 4 3 2 4" xfId="7215" xr:uid="{00000000-0005-0000-0000-0000301C0000}"/>
    <cellStyle name="Normal 5 2 2 4 3 2 4 2" xfId="7216" xr:uid="{00000000-0005-0000-0000-0000311C0000}"/>
    <cellStyle name="Normal 5 2 2 4 3 2 5" xfId="7217" xr:uid="{00000000-0005-0000-0000-0000321C0000}"/>
    <cellStyle name="Normal 5 2 2 4 3 3" xfId="7218" xr:uid="{00000000-0005-0000-0000-0000331C0000}"/>
    <cellStyle name="Normal 5 2 2 4 3 3 2" xfId="7219" xr:uid="{00000000-0005-0000-0000-0000341C0000}"/>
    <cellStyle name="Normal 5 2 2 4 3 3 2 2" xfId="7220" xr:uid="{00000000-0005-0000-0000-0000351C0000}"/>
    <cellStyle name="Normal 5 2 2 4 3 3 2 2 2" xfId="7221" xr:uid="{00000000-0005-0000-0000-0000361C0000}"/>
    <cellStyle name="Normal 5 2 2 4 3 3 2 3" xfId="7222" xr:uid="{00000000-0005-0000-0000-0000371C0000}"/>
    <cellStyle name="Normal 5 2 2 4 3 3 3" xfId="7223" xr:uid="{00000000-0005-0000-0000-0000381C0000}"/>
    <cellStyle name="Normal 5 2 2 4 3 3 3 2" xfId="7224" xr:uid="{00000000-0005-0000-0000-0000391C0000}"/>
    <cellStyle name="Normal 5 2 2 4 3 3 4" xfId="7225" xr:uid="{00000000-0005-0000-0000-00003A1C0000}"/>
    <cellStyle name="Normal 5 2 2 4 3 4" xfId="7226" xr:uid="{00000000-0005-0000-0000-00003B1C0000}"/>
    <cellStyle name="Normal 5 2 2 4 3 4 2" xfId="7227" xr:uid="{00000000-0005-0000-0000-00003C1C0000}"/>
    <cellStyle name="Normal 5 2 2 4 3 4 2 2" xfId="7228" xr:uid="{00000000-0005-0000-0000-00003D1C0000}"/>
    <cellStyle name="Normal 5 2 2 4 3 4 3" xfId="7229" xr:uid="{00000000-0005-0000-0000-00003E1C0000}"/>
    <cellStyle name="Normal 5 2 2 4 3 5" xfId="7230" xr:uid="{00000000-0005-0000-0000-00003F1C0000}"/>
    <cellStyle name="Normal 5 2 2 4 3 5 2" xfId="7231" xr:uid="{00000000-0005-0000-0000-0000401C0000}"/>
    <cellStyle name="Normal 5 2 2 4 3 6" xfId="7232" xr:uid="{00000000-0005-0000-0000-0000411C0000}"/>
    <cellStyle name="Normal 5 2 2 4 4" xfId="7233" xr:uid="{00000000-0005-0000-0000-0000421C0000}"/>
    <cellStyle name="Normal 5 2 2 4 4 2" xfId="7234" xr:uid="{00000000-0005-0000-0000-0000431C0000}"/>
    <cellStyle name="Normal 5 2 2 4 4 2 2" xfId="7235" xr:uid="{00000000-0005-0000-0000-0000441C0000}"/>
    <cellStyle name="Normal 5 2 2 4 4 2 2 2" xfId="7236" xr:uid="{00000000-0005-0000-0000-0000451C0000}"/>
    <cellStyle name="Normal 5 2 2 4 4 2 2 2 2" xfId="7237" xr:uid="{00000000-0005-0000-0000-0000461C0000}"/>
    <cellStyle name="Normal 5 2 2 4 4 2 2 3" xfId="7238" xr:uid="{00000000-0005-0000-0000-0000471C0000}"/>
    <cellStyle name="Normal 5 2 2 4 4 2 3" xfId="7239" xr:uid="{00000000-0005-0000-0000-0000481C0000}"/>
    <cellStyle name="Normal 5 2 2 4 4 2 3 2" xfId="7240" xr:uid="{00000000-0005-0000-0000-0000491C0000}"/>
    <cellStyle name="Normal 5 2 2 4 4 2 4" xfId="7241" xr:uid="{00000000-0005-0000-0000-00004A1C0000}"/>
    <cellStyle name="Normal 5 2 2 4 4 3" xfId="7242" xr:uid="{00000000-0005-0000-0000-00004B1C0000}"/>
    <cellStyle name="Normal 5 2 2 4 4 3 2" xfId="7243" xr:uid="{00000000-0005-0000-0000-00004C1C0000}"/>
    <cellStyle name="Normal 5 2 2 4 4 3 2 2" xfId="7244" xr:uid="{00000000-0005-0000-0000-00004D1C0000}"/>
    <cellStyle name="Normal 5 2 2 4 4 3 3" xfId="7245" xr:uid="{00000000-0005-0000-0000-00004E1C0000}"/>
    <cellStyle name="Normal 5 2 2 4 4 4" xfId="7246" xr:uid="{00000000-0005-0000-0000-00004F1C0000}"/>
    <cellStyle name="Normal 5 2 2 4 4 4 2" xfId="7247" xr:uid="{00000000-0005-0000-0000-0000501C0000}"/>
    <cellStyle name="Normal 5 2 2 4 4 5" xfId="7248" xr:uid="{00000000-0005-0000-0000-0000511C0000}"/>
    <cellStyle name="Normal 5 2 2 4 5" xfId="7249" xr:uid="{00000000-0005-0000-0000-0000521C0000}"/>
    <cellStyle name="Normal 5 2 2 4 5 2" xfId="7250" xr:uid="{00000000-0005-0000-0000-0000531C0000}"/>
    <cellStyle name="Normal 5 2 2 4 5 2 2" xfId="7251" xr:uid="{00000000-0005-0000-0000-0000541C0000}"/>
    <cellStyle name="Normal 5 2 2 4 5 2 2 2" xfId="7252" xr:uid="{00000000-0005-0000-0000-0000551C0000}"/>
    <cellStyle name="Normal 5 2 2 4 5 2 3" xfId="7253" xr:uid="{00000000-0005-0000-0000-0000561C0000}"/>
    <cellStyle name="Normal 5 2 2 4 5 3" xfId="7254" xr:uid="{00000000-0005-0000-0000-0000571C0000}"/>
    <cellStyle name="Normal 5 2 2 4 5 3 2" xfId="7255" xr:uid="{00000000-0005-0000-0000-0000581C0000}"/>
    <cellStyle name="Normal 5 2 2 4 5 4" xfId="7256" xr:uid="{00000000-0005-0000-0000-0000591C0000}"/>
    <cellStyle name="Normal 5 2 2 4 6" xfId="7257" xr:uid="{00000000-0005-0000-0000-00005A1C0000}"/>
    <cellStyle name="Normal 5 2 2 4 6 2" xfId="7258" xr:uid="{00000000-0005-0000-0000-00005B1C0000}"/>
    <cellStyle name="Normal 5 2 2 4 6 2 2" xfId="7259" xr:uid="{00000000-0005-0000-0000-00005C1C0000}"/>
    <cellStyle name="Normal 5 2 2 4 6 3" xfId="7260" xr:uid="{00000000-0005-0000-0000-00005D1C0000}"/>
    <cellStyle name="Normal 5 2 2 4 7" xfId="7261" xr:uid="{00000000-0005-0000-0000-00005E1C0000}"/>
    <cellStyle name="Normal 5 2 2 4 7 2" xfId="7262" xr:uid="{00000000-0005-0000-0000-00005F1C0000}"/>
    <cellStyle name="Normal 5 2 2 4 8" xfId="7263" xr:uid="{00000000-0005-0000-0000-0000601C0000}"/>
    <cellStyle name="Normal 5 2 2 5" xfId="7264" xr:uid="{00000000-0005-0000-0000-0000611C0000}"/>
    <cellStyle name="Normal 5 2 2 5 2" xfId="7265" xr:uid="{00000000-0005-0000-0000-0000621C0000}"/>
    <cellStyle name="Normal 5 2 2 5 2 2" xfId="7266" xr:uid="{00000000-0005-0000-0000-0000631C0000}"/>
    <cellStyle name="Normal 5 2 2 5 2 2 2" xfId="7267" xr:uid="{00000000-0005-0000-0000-0000641C0000}"/>
    <cellStyle name="Normal 5 2 2 5 2 2 2 2" xfId="7268" xr:uid="{00000000-0005-0000-0000-0000651C0000}"/>
    <cellStyle name="Normal 5 2 2 5 2 2 2 2 2" xfId="7269" xr:uid="{00000000-0005-0000-0000-0000661C0000}"/>
    <cellStyle name="Normal 5 2 2 5 2 2 2 2 2 2" xfId="7270" xr:uid="{00000000-0005-0000-0000-0000671C0000}"/>
    <cellStyle name="Normal 5 2 2 5 2 2 2 2 3" xfId="7271" xr:uid="{00000000-0005-0000-0000-0000681C0000}"/>
    <cellStyle name="Normal 5 2 2 5 2 2 2 3" xfId="7272" xr:uid="{00000000-0005-0000-0000-0000691C0000}"/>
    <cellStyle name="Normal 5 2 2 5 2 2 2 3 2" xfId="7273" xr:uid="{00000000-0005-0000-0000-00006A1C0000}"/>
    <cellStyle name="Normal 5 2 2 5 2 2 2 4" xfId="7274" xr:uid="{00000000-0005-0000-0000-00006B1C0000}"/>
    <cellStyle name="Normal 5 2 2 5 2 2 3" xfId="7275" xr:uid="{00000000-0005-0000-0000-00006C1C0000}"/>
    <cellStyle name="Normal 5 2 2 5 2 2 3 2" xfId="7276" xr:uid="{00000000-0005-0000-0000-00006D1C0000}"/>
    <cellStyle name="Normal 5 2 2 5 2 2 3 2 2" xfId="7277" xr:uid="{00000000-0005-0000-0000-00006E1C0000}"/>
    <cellStyle name="Normal 5 2 2 5 2 2 3 3" xfId="7278" xr:uid="{00000000-0005-0000-0000-00006F1C0000}"/>
    <cellStyle name="Normal 5 2 2 5 2 2 4" xfId="7279" xr:uid="{00000000-0005-0000-0000-0000701C0000}"/>
    <cellStyle name="Normal 5 2 2 5 2 2 4 2" xfId="7280" xr:uid="{00000000-0005-0000-0000-0000711C0000}"/>
    <cellStyle name="Normal 5 2 2 5 2 2 5" xfId="7281" xr:uid="{00000000-0005-0000-0000-0000721C0000}"/>
    <cellStyle name="Normal 5 2 2 5 2 3" xfId="7282" xr:uid="{00000000-0005-0000-0000-0000731C0000}"/>
    <cellStyle name="Normal 5 2 2 5 2 3 2" xfId="7283" xr:uid="{00000000-0005-0000-0000-0000741C0000}"/>
    <cellStyle name="Normal 5 2 2 5 2 3 2 2" xfId="7284" xr:uid="{00000000-0005-0000-0000-0000751C0000}"/>
    <cellStyle name="Normal 5 2 2 5 2 3 2 2 2" xfId="7285" xr:uid="{00000000-0005-0000-0000-0000761C0000}"/>
    <cellStyle name="Normal 5 2 2 5 2 3 2 3" xfId="7286" xr:uid="{00000000-0005-0000-0000-0000771C0000}"/>
    <cellStyle name="Normal 5 2 2 5 2 3 3" xfId="7287" xr:uid="{00000000-0005-0000-0000-0000781C0000}"/>
    <cellStyle name="Normal 5 2 2 5 2 3 3 2" xfId="7288" xr:uid="{00000000-0005-0000-0000-0000791C0000}"/>
    <cellStyle name="Normal 5 2 2 5 2 3 4" xfId="7289" xr:uid="{00000000-0005-0000-0000-00007A1C0000}"/>
    <cellStyle name="Normal 5 2 2 5 2 4" xfId="7290" xr:uid="{00000000-0005-0000-0000-00007B1C0000}"/>
    <cellStyle name="Normal 5 2 2 5 2 4 2" xfId="7291" xr:uid="{00000000-0005-0000-0000-00007C1C0000}"/>
    <cellStyle name="Normal 5 2 2 5 2 4 2 2" xfId="7292" xr:uid="{00000000-0005-0000-0000-00007D1C0000}"/>
    <cellStyle name="Normal 5 2 2 5 2 4 3" xfId="7293" xr:uid="{00000000-0005-0000-0000-00007E1C0000}"/>
    <cellStyle name="Normal 5 2 2 5 2 5" xfId="7294" xr:uid="{00000000-0005-0000-0000-00007F1C0000}"/>
    <cellStyle name="Normal 5 2 2 5 2 5 2" xfId="7295" xr:uid="{00000000-0005-0000-0000-0000801C0000}"/>
    <cellStyle name="Normal 5 2 2 5 2 6" xfId="7296" xr:uid="{00000000-0005-0000-0000-0000811C0000}"/>
    <cellStyle name="Normal 5 2 2 5 3" xfId="7297" xr:uid="{00000000-0005-0000-0000-0000821C0000}"/>
    <cellStyle name="Normal 5 2 2 5 3 2" xfId="7298" xr:uid="{00000000-0005-0000-0000-0000831C0000}"/>
    <cellStyle name="Normal 5 2 2 5 3 2 2" xfId="7299" xr:uid="{00000000-0005-0000-0000-0000841C0000}"/>
    <cellStyle name="Normal 5 2 2 5 3 2 2 2" xfId="7300" xr:uid="{00000000-0005-0000-0000-0000851C0000}"/>
    <cellStyle name="Normal 5 2 2 5 3 2 2 2 2" xfId="7301" xr:uid="{00000000-0005-0000-0000-0000861C0000}"/>
    <cellStyle name="Normal 5 2 2 5 3 2 2 3" xfId="7302" xr:uid="{00000000-0005-0000-0000-0000871C0000}"/>
    <cellStyle name="Normal 5 2 2 5 3 2 3" xfId="7303" xr:uid="{00000000-0005-0000-0000-0000881C0000}"/>
    <cellStyle name="Normal 5 2 2 5 3 2 3 2" xfId="7304" xr:uid="{00000000-0005-0000-0000-0000891C0000}"/>
    <cellStyle name="Normal 5 2 2 5 3 2 4" xfId="7305" xr:uid="{00000000-0005-0000-0000-00008A1C0000}"/>
    <cellStyle name="Normal 5 2 2 5 3 3" xfId="7306" xr:uid="{00000000-0005-0000-0000-00008B1C0000}"/>
    <cellStyle name="Normal 5 2 2 5 3 3 2" xfId="7307" xr:uid="{00000000-0005-0000-0000-00008C1C0000}"/>
    <cellStyle name="Normal 5 2 2 5 3 3 2 2" xfId="7308" xr:uid="{00000000-0005-0000-0000-00008D1C0000}"/>
    <cellStyle name="Normal 5 2 2 5 3 3 3" xfId="7309" xr:uid="{00000000-0005-0000-0000-00008E1C0000}"/>
    <cellStyle name="Normal 5 2 2 5 3 4" xfId="7310" xr:uid="{00000000-0005-0000-0000-00008F1C0000}"/>
    <cellStyle name="Normal 5 2 2 5 3 4 2" xfId="7311" xr:uid="{00000000-0005-0000-0000-0000901C0000}"/>
    <cellStyle name="Normal 5 2 2 5 3 5" xfId="7312" xr:uid="{00000000-0005-0000-0000-0000911C0000}"/>
    <cellStyle name="Normal 5 2 2 5 4" xfId="7313" xr:uid="{00000000-0005-0000-0000-0000921C0000}"/>
    <cellStyle name="Normal 5 2 2 5 4 2" xfId="7314" xr:uid="{00000000-0005-0000-0000-0000931C0000}"/>
    <cellStyle name="Normal 5 2 2 5 4 2 2" xfId="7315" xr:uid="{00000000-0005-0000-0000-0000941C0000}"/>
    <cellStyle name="Normal 5 2 2 5 4 2 2 2" xfId="7316" xr:uid="{00000000-0005-0000-0000-0000951C0000}"/>
    <cellStyle name="Normal 5 2 2 5 4 2 3" xfId="7317" xr:uid="{00000000-0005-0000-0000-0000961C0000}"/>
    <cellStyle name="Normal 5 2 2 5 4 3" xfId="7318" xr:uid="{00000000-0005-0000-0000-0000971C0000}"/>
    <cellStyle name="Normal 5 2 2 5 4 3 2" xfId="7319" xr:uid="{00000000-0005-0000-0000-0000981C0000}"/>
    <cellStyle name="Normal 5 2 2 5 4 4" xfId="7320" xr:uid="{00000000-0005-0000-0000-0000991C0000}"/>
    <cellStyle name="Normal 5 2 2 5 5" xfId="7321" xr:uid="{00000000-0005-0000-0000-00009A1C0000}"/>
    <cellStyle name="Normal 5 2 2 5 5 2" xfId="7322" xr:uid="{00000000-0005-0000-0000-00009B1C0000}"/>
    <cellStyle name="Normal 5 2 2 5 5 2 2" xfId="7323" xr:uid="{00000000-0005-0000-0000-00009C1C0000}"/>
    <cellStyle name="Normal 5 2 2 5 5 3" xfId="7324" xr:uid="{00000000-0005-0000-0000-00009D1C0000}"/>
    <cellStyle name="Normal 5 2 2 5 6" xfId="7325" xr:uid="{00000000-0005-0000-0000-00009E1C0000}"/>
    <cellStyle name="Normal 5 2 2 5 6 2" xfId="7326" xr:uid="{00000000-0005-0000-0000-00009F1C0000}"/>
    <cellStyle name="Normal 5 2 2 5 7" xfId="7327" xr:uid="{00000000-0005-0000-0000-0000A01C0000}"/>
    <cellStyle name="Normal 5 2 2 6" xfId="7328" xr:uid="{00000000-0005-0000-0000-0000A11C0000}"/>
    <cellStyle name="Normal 5 2 2 6 2" xfId="7329" xr:uid="{00000000-0005-0000-0000-0000A21C0000}"/>
    <cellStyle name="Normal 5 2 2 6 2 2" xfId="7330" xr:uid="{00000000-0005-0000-0000-0000A31C0000}"/>
    <cellStyle name="Normal 5 2 2 6 2 2 2" xfId="7331" xr:uid="{00000000-0005-0000-0000-0000A41C0000}"/>
    <cellStyle name="Normal 5 2 2 6 2 2 2 2" xfId="7332" xr:uid="{00000000-0005-0000-0000-0000A51C0000}"/>
    <cellStyle name="Normal 5 2 2 6 2 2 2 2 2" xfId="7333" xr:uid="{00000000-0005-0000-0000-0000A61C0000}"/>
    <cellStyle name="Normal 5 2 2 6 2 2 2 3" xfId="7334" xr:uid="{00000000-0005-0000-0000-0000A71C0000}"/>
    <cellStyle name="Normal 5 2 2 6 2 2 3" xfId="7335" xr:uid="{00000000-0005-0000-0000-0000A81C0000}"/>
    <cellStyle name="Normal 5 2 2 6 2 2 3 2" xfId="7336" xr:uid="{00000000-0005-0000-0000-0000A91C0000}"/>
    <cellStyle name="Normal 5 2 2 6 2 2 4" xfId="7337" xr:uid="{00000000-0005-0000-0000-0000AA1C0000}"/>
    <cellStyle name="Normal 5 2 2 6 2 3" xfId="7338" xr:uid="{00000000-0005-0000-0000-0000AB1C0000}"/>
    <cellStyle name="Normal 5 2 2 6 2 3 2" xfId="7339" xr:uid="{00000000-0005-0000-0000-0000AC1C0000}"/>
    <cellStyle name="Normal 5 2 2 6 2 3 2 2" xfId="7340" xr:uid="{00000000-0005-0000-0000-0000AD1C0000}"/>
    <cellStyle name="Normal 5 2 2 6 2 3 3" xfId="7341" xr:uid="{00000000-0005-0000-0000-0000AE1C0000}"/>
    <cellStyle name="Normal 5 2 2 6 2 4" xfId="7342" xr:uid="{00000000-0005-0000-0000-0000AF1C0000}"/>
    <cellStyle name="Normal 5 2 2 6 2 4 2" xfId="7343" xr:uid="{00000000-0005-0000-0000-0000B01C0000}"/>
    <cellStyle name="Normal 5 2 2 6 2 5" xfId="7344" xr:uid="{00000000-0005-0000-0000-0000B11C0000}"/>
    <cellStyle name="Normal 5 2 2 6 3" xfId="7345" xr:uid="{00000000-0005-0000-0000-0000B21C0000}"/>
    <cellStyle name="Normal 5 2 2 6 3 2" xfId="7346" xr:uid="{00000000-0005-0000-0000-0000B31C0000}"/>
    <cellStyle name="Normal 5 2 2 6 3 2 2" xfId="7347" xr:uid="{00000000-0005-0000-0000-0000B41C0000}"/>
    <cellStyle name="Normal 5 2 2 6 3 2 2 2" xfId="7348" xr:uid="{00000000-0005-0000-0000-0000B51C0000}"/>
    <cellStyle name="Normal 5 2 2 6 3 2 3" xfId="7349" xr:uid="{00000000-0005-0000-0000-0000B61C0000}"/>
    <cellStyle name="Normal 5 2 2 6 3 3" xfId="7350" xr:uid="{00000000-0005-0000-0000-0000B71C0000}"/>
    <cellStyle name="Normal 5 2 2 6 3 3 2" xfId="7351" xr:uid="{00000000-0005-0000-0000-0000B81C0000}"/>
    <cellStyle name="Normal 5 2 2 6 3 4" xfId="7352" xr:uid="{00000000-0005-0000-0000-0000B91C0000}"/>
    <cellStyle name="Normal 5 2 2 6 4" xfId="7353" xr:uid="{00000000-0005-0000-0000-0000BA1C0000}"/>
    <cellStyle name="Normal 5 2 2 6 4 2" xfId="7354" xr:uid="{00000000-0005-0000-0000-0000BB1C0000}"/>
    <cellStyle name="Normal 5 2 2 6 4 2 2" xfId="7355" xr:uid="{00000000-0005-0000-0000-0000BC1C0000}"/>
    <cellStyle name="Normal 5 2 2 6 4 3" xfId="7356" xr:uid="{00000000-0005-0000-0000-0000BD1C0000}"/>
    <cellStyle name="Normal 5 2 2 6 5" xfId="7357" xr:uid="{00000000-0005-0000-0000-0000BE1C0000}"/>
    <cellStyle name="Normal 5 2 2 6 5 2" xfId="7358" xr:uid="{00000000-0005-0000-0000-0000BF1C0000}"/>
    <cellStyle name="Normal 5 2 2 6 6" xfId="7359" xr:uid="{00000000-0005-0000-0000-0000C01C0000}"/>
    <cellStyle name="Normal 5 2 2 7" xfId="7360" xr:uid="{00000000-0005-0000-0000-0000C11C0000}"/>
    <cellStyle name="Normal 5 2 2 7 2" xfId="7361" xr:uid="{00000000-0005-0000-0000-0000C21C0000}"/>
    <cellStyle name="Normal 5 2 2 7 2 2" xfId="7362" xr:uid="{00000000-0005-0000-0000-0000C31C0000}"/>
    <cellStyle name="Normal 5 2 2 7 2 2 2" xfId="7363" xr:uid="{00000000-0005-0000-0000-0000C41C0000}"/>
    <cellStyle name="Normal 5 2 2 7 2 2 2 2" xfId="7364" xr:uid="{00000000-0005-0000-0000-0000C51C0000}"/>
    <cellStyle name="Normal 5 2 2 7 2 2 3" xfId="7365" xr:uid="{00000000-0005-0000-0000-0000C61C0000}"/>
    <cellStyle name="Normal 5 2 2 7 2 3" xfId="7366" xr:uid="{00000000-0005-0000-0000-0000C71C0000}"/>
    <cellStyle name="Normal 5 2 2 7 2 3 2" xfId="7367" xr:uid="{00000000-0005-0000-0000-0000C81C0000}"/>
    <cellStyle name="Normal 5 2 2 7 2 4" xfId="7368" xr:uid="{00000000-0005-0000-0000-0000C91C0000}"/>
    <cellStyle name="Normal 5 2 2 7 3" xfId="7369" xr:uid="{00000000-0005-0000-0000-0000CA1C0000}"/>
    <cellStyle name="Normal 5 2 2 7 3 2" xfId="7370" xr:uid="{00000000-0005-0000-0000-0000CB1C0000}"/>
    <cellStyle name="Normal 5 2 2 7 3 2 2" xfId="7371" xr:uid="{00000000-0005-0000-0000-0000CC1C0000}"/>
    <cellStyle name="Normal 5 2 2 7 3 3" xfId="7372" xr:uid="{00000000-0005-0000-0000-0000CD1C0000}"/>
    <cellStyle name="Normal 5 2 2 7 4" xfId="7373" xr:uid="{00000000-0005-0000-0000-0000CE1C0000}"/>
    <cellStyle name="Normal 5 2 2 7 4 2" xfId="7374" xr:uid="{00000000-0005-0000-0000-0000CF1C0000}"/>
    <cellStyle name="Normal 5 2 2 7 5" xfId="7375" xr:uid="{00000000-0005-0000-0000-0000D01C0000}"/>
    <cellStyle name="Normal 5 2 2 8" xfId="7376" xr:uid="{00000000-0005-0000-0000-0000D11C0000}"/>
    <cellStyle name="Normal 5 2 2 8 2" xfId="7377" xr:uid="{00000000-0005-0000-0000-0000D21C0000}"/>
    <cellStyle name="Normal 5 2 2 8 2 2" xfId="7378" xr:uid="{00000000-0005-0000-0000-0000D31C0000}"/>
    <cellStyle name="Normal 5 2 2 8 2 2 2" xfId="7379" xr:uid="{00000000-0005-0000-0000-0000D41C0000}"/>
    <cellStyle name="Normal 5 2 2 8 2 3" xfId="7380" xr:uid="{00000000-0005-0000-0000-0000D51C0000}"/>
    <cellStyle name="Normal 5 2 2 8 3" xfId="7381" xr:uid="{00000000-0005-0000-0000-0000D61C0000}"/>
    <cellStyle name="Normal 5 2 2 8 3 2" xfId="7382" xr:uid="{00000000-0005-0000-0000-0000D71C0000}"/>
    <cellStyle name="Normal 5 2 2 8 4" xfId="7383" xr:uid="{00000000-0005-0000-0000-0000D81C0000}"/>
    <cellStyle name="Normal 5 2 2 9" xfId="7384" xr:uid="{00000000-0005-0000-0000-0000D91C0000}"/>
    <cellStyle name="Normal 5 2 2 9 2" xfId="7385" xr:uid="{00000000-0005-0000-0000-0000DA1C0000}"/>
    <cellStyle name="Normal 5 2 2 9 2 2" xfId="7386" xr:uid="{00000000-0005-0000-0000-0000DB1C0000}"/>
    <cellStyle name="Normal 5 2 2 9 3" xfId="7387" xr:uid="{00000000-0005-0000-0000-0000DC1C0000}"/>
    <cellStyle name="Normal 5 2 3" xfId="7388" xr:uid="{00000000-0005-0000-0000-0000DD1C0000}"/>
    <cellStyle name="Normal 5 2 3 10" xfId="7389" xr:uid="{00000000-0005-0000-0000-0000DE1C0000}"/>
    <cellStyle name="Normal 5 2 3 10 2" xfId="7390" xr:uid="{00000000-0005-0000-0000-0000DF1C0000}"/>
    <cellStyle name="Normal 5 2 3 11" xfId="7391" xr:uid="{00000000-0005-0000-0000-0000E01C0000}"/>
    <cellStyle name="Normal 5 2 3 2" xfId="7392" xr:uid="{00000000-0005-0000-0000-0000E11C0000}"/>
    <cellStyle name="Normal 5 2 3 2 10" xfId="7393" xr:uid="{00000000-0005-0000-0000-0000E21C0000}"/>
    <cellStyle name="Normal 5 2 3 2 2" xfId="7394" xr:uid="{00000000-0005-0000-0000-0000E31C0000}"/>
    <cellStyle name="Normal 5 2 3 2 2 2" xfId="7395" xr:uid="{00000000-0005-0000-0000-0000E41C0000}"/>
    <cellStyle name="Normal 5 2 3 2 2 2 2" xfId="7396" xr:uid="{00000000-0005-0000-0000-0000E51C0000}"/>
    <cellStyle name="Normal 5 2 3 2 2 2 2 2" xfId="7397" xr:uid="{00000000-0005-0000-0000-0000E61C0000}"/>
    <cellStyle name="Normal 5 2 3 2 2 2 2 2 2" xfId="7398" xr:uid="{00000000-0005-0000-0000-0000E71C0000}"/>
    <cellStyle name="Normal 5 2 3 2 2 2 2 2 2 2" xfId="7399" xr:uid="{00000000-0005-0000-0000-0000E81C0000}"/>
    <cellStyle name="Normal 5 2 3 2 2 2 2 2 2 2 2" xfId="7400" xr:uid="{00000000-0005-0000-0000-0000E91C0000}"/>
    <cellStyle name="Normal 5 2 3 2 2 2 2 2 2 2 2 2" xfId="7401" xr:uid="{00000000-0005-0000-0000-0000EA1C0000}"/>
    <cellStyle name="Normal 5 2 3 2 2 2 2 2 2 2 2 2 2" xfId="7402" xr:uid="{00000000-0005-0000-0000-0000EB1C0000}"/>
    <cellStyle name="Normal 5 2 3 2 2 2 2 2 2 2 2 3" xfId="7403" xr:uid="{00000000-0005-0000-0000-0000EC1C0000}"/>
    <cellStyle name="Normal 5 2 3 2 2 2 2 2 2 2 3" xfId="7404" xr:uid="{00000000-0005-0000-0000-0000ED1C0000}"/>
    <cellStyle name="Normal 5 2 3 2 2 2 2 2 2 2 3 2" xfId="7405" xr:uid="{00000000-0005-0000-0000-0000EE1C0000}"/>
    <cellStyle name="Normal 5 2 3 2 2 2 2 2 2 2 4" xfId="7406" xr:uid="{00000000-0005-0000-0000-0000EF1C0000}"/>
    <cellStyle name="Normal 5 2 3 2 2 2 2 2 2 3" xfId="7407" xr:uid="{00000000-0005-0000-0000-0000F01C0000}"/>
    <cellStyle name="Normal 5 2 3 2 2 2 2 2 2 3 2" xfId="7408" xr:uid="{00000000-0005-0000-0000-0000F11C0000}"/>
    <cellStyle name="Normal 5 2 3 2 2 2 2 2 2 3 2 2" xfId="7409" xr:uid="{00000000-0005-0000-0000-0000F21C0000}"/>
    <cellStyle name="Normal 5 2 3 2 2 2 2 2 2 3 3" xfId="7410" xr:uid="{00000000-0005-0000-0000-0000F31C0000}"/>
    <cellStyle name="Normal 5 2 3 2 2 2 2 2 2 4" xfId="7411" xr:uid="{00000000-0005-0000-0000-0000F41C0000}"/>
    <cellStyle name="Normal 5 2 3 2 2 2 2 2 2 4 2" xfId="7412" xr:uid="{00000000-0005-0000-0000-0000F51C0000}"/>
    <cellStyle name="Normal 5 2 3 2 2 2 2 2 2 5" xfId="7413" xr:uid="{00000000-0005-0000-0000-0000F61C0000}"/>
    <cellStyle name="Normal 5 2 3 2 2 2 2 2 3" xfId="7414" xr:uid="{00000000-0005-0000-0000-0000F71C0000}"/>
    <cellStyle name="Normal 5 2 3 2 2 2 2 2 3 2" xfId="7415" xr:uid="{00000000-0005-0000-0000-0000F81C0000}"/>
    <cellStyle name="Normal 5 2 3 2 2 2 2 2 3 2 2" xfId="7416" xr:uid="{00000000-0005-0000-0000-0000F91C0000}"/>
    <cellStyle name="Normal 5 2 3 2 2 2 2 2 3 2 2 2" xfId="7417" xr:uid="{00000000-0005-0000-0000-0000FA1C0000}"/>
    <cellStyle name="Normal 5 2 3 2 2 2 2 2 3 2 3" xfId="7418" xr:uid="{00000000-0005-0000-0000-0000FB1C0000}"/>
    <cellStyle name="Normal 5 2 3 2 2 2 2 2 3 3" xfId="7419" xr:uid="{00000000-0005-0000-0000-0000FC1C0000}"/>
    <cellStyle name="Normal 5 2 3 2 2 2 2 2 3 3 2" xfId="7420" xr:uid="{00000000-0005-0000-0000-0000FD1C0000}"/>
    <cellStyle name="Normal 5 2 3 2 2 2 2 2 3 4" xfId="7421" xr:uid="{00000000-0005-0000-0000-0000FE1C0000}"/>
    <cellStyle name="Normal 5 2 3 2 2 2 2 2 4" xfId="7422" xr:uid="{00000000-0005-0000-0000-0000FF1C0000}"/>
    <cellStyle name="Normal 5 2 3 2 2 2 2 2 4 2" xfId="7423" xr:uid="{00000000-0005-0000-0000-0000001D0000}"/>
    <cellStyle name="Normal 5 2 3 2 2 2 2 2 4 2 2" xfId="7424" xr:uid="{00000000-0005-0000-0000-0000011D0000}"/>
    <cellStyle name="Normal 5 2 3 2 2 2 2 2 4 3" xfId="7425" xr:uid="{00000000-0005-0000-0000-0000021D0000}"/>
    <cellStyle name="Normal 5 2 3 2 2 2 2 2 5" xfId="7426" xr:uid="{00000000-0005-0000-0000-0000031D0000}"/>
    <cellStyle name="Normal 5 2 3 2 2 2 2 2 5 2" xfId="7427" xr:uid="{00000000-0005-0000-0000-0000041D0000}"/>
    <cellStyle name="Normal 5 2 3 2 2 2 2 2 6" xfId="7428" xr:uid="{00000000-0005-0000-0000-0000051D0000}"/>
    <cellStyle name="Normal 5 2 3 2 2 2 2 3" xfId="7429" xr:uid="{00000000-0005-0000-0000-0000061D0000}"/>
    <cellStyle name="Normal 5 2 3 2 2 2 2 3 2" xfId="7430" xr:uid="{00000000-0005-0000-0000-0000071D0000}"/>
    <cellStyle name="Normal 5 2 3 2 2 2 2 3 2 2" xfId="7431" xr:uid="{00000000-0005-0000-0000-0000081D0000}"/>
    <cellStyle name="Normal 5 2 3 2 2 2 2 3 2 2 2" xfId="7432" xr:uid="{00000000-0005-0000-0000-0000091D0000}"/>
    <cellStyle name="Normal 5 2 3 2 2 2 2 3 2 2 2 2" xfId="7433" xr:uid="{00000000-0005-0000-0000-00000A1D0000}"/>
    <cellStyle name="Normal 5 2 3 2 2 2 2 3 2 2 3" xfId="7434" xr:uid="{00000000-0005-0000-0000-00000B1D0000}"/>
    <cellStyle name="Normal 5 2 3 2 2 2 2 3 2 3" xfId="7435" xr:uid="{00000000-0005-0000-0000-00000C1D0000}"/>
    <cellStyle name="Normal 5 2 3 2 2 2 2 3 2 3 2" xfId="7436" xr:uid="{00000000-0005-0000-0000-00000D1D0000}"/>
    <cellStyle name="Normal 5 2 3 2 2 2 2 3 2 4" xfId="7437" xr:uid="{00000000-0005-0000-0000-00000E1D0000}"/>
    <cellStyle name="Normal 5 2 3 2 2 2 2 3 3" xfId="7438" xr:uid="{00000000-0005-0000-0000-00000F1D0000}"/>
    <cellStyle name="Normal 5 2 3 2 2 2 2 3 3 2" xfId="7439" xr:uid="{00000000-0005-0000-0000-0000101D0000}"/>
    <cellStyle name="Normal 5 2 3 2 2 2 2 3 3 2 2" xfId="7440" xr:uid="{00000000-0005-0000-0000-0000111D0000}"/>
    <cellStyle name="Normal 5 2 3 2 2 2 2 3 3 3" xfId="7441" xr:uid="{00000000-0005-0000-0000-0000121D0000}"/>
    <cellStyle name="Normal 5 2 3 2 2 2 2 3 4" xfId="7442" xr:uid="{00000000-0005-0000-0000-0000131D0000}"/>
    <cellStyle name="Normal 5 2 3 2 2 2 2 3 4 2" xfId="7443" xr:uid="{00000000-0005-0000-0000-0000141D0000}"/>
    <cellStyle name="Normal 5 2 3 2 2 2 2 3 5" xfId="7444" xr:uid="{00000000-0005-0000-0000-0000151D0000}"/>
    <cellStyle name="Normal 5 2 3 2 2 2 2 4" xfId="7445" xr:uid="{00000000-0005-0000-0000-0000161D0000}"/>
    <cellStyle name="Normal 5 2 3 2 2 2 2 4 2" xfId="7446" xr:uid="{00000000-0005-0000-0000-0000171D0000}"/>
    <cellStyle name="Normal 5 2 3 2 2 2 2 4 2 2" xfId="7447" xr:uid="{00000000-0005-0000-0000-0000181D0000}"/>
    <cellStyle name="Normal 5 2 3 2 2 2 2 4 2 2 2" xfId="7448" xr:uid="{00000000-0005-0000-0000-0000191D0000}"/>
    <cellStyle name="Normal 5 2 3 2 2 2 2 4 2 3" xfId="7449" xr:uid="{00000000-0005-0000-0000-00001A1D0000}"/>
    <cellStyle name="Normal 5 2 3 2 2 2 2 4 3" xfId="7450" xr:uid="{00000000-0005-0000-0000-00001B1D0000}"/>
    <cellStyle name="Normal 5 2 3 2 2 2 2 4 3 2" xfId="7451" xr:uid="{00000000-0005-0000-0000-00001C1D0000}"/>
    <cellStyle name="Normal 5 2 3 2 2 2 2 4 4" xfId="7452" xr:uid="{00000000-0005-0000-0000-00001D1D0000}"/>
    <cellStyle name="Normal 5 2 3 2 2 2 2 5" xfId="7453" xr:uid="{00000000-0005-0000-0000-00001E1D0000}"/>
    <cellStyle name="Normal 5 2 3 2 2 2 2 5 2" xfId="7454" xr:uid="{00000000-0005-0000-0000-00001F1D0000}"/>
    <cellStyle name="Normal 5 2 3 2 2 2 2 5 2 2" xfId="7455" xr:uid="{00000000-0005-0000-0000-0000201D0000}"/>
    <cellStyle name="Normal 5 2 3 2 2 2 2 5 3" xfId="7456" xr:uid="{00000000-0005-0000-0000-0000211D0000}"/>
    <cellStyle name="Normal 5 2 3 2 2 2 2 6" xfId="7457" xr:uid="{00000000-0005-0000-0000-0000221D0000}"/>
    <cellStyle name="Normal 5 2 3 2 2 2 2 6 2" xfId="7458" xr:uid="{00000000-0005-0000-0000-0000231D0000}"/>
    <cellStyle name="Normal 5 2 3 2 2 2 2 7" xfId="7459" xr:uid="{00000000-0005-0000-0000-0000241D0000}"/>
    <cellStyle name="Normal 5 2 3 2 2 2 3" xfId="7460" xr:uid="{00000000-0005-0000-0000-0000251D0000}"/>
    <cellStyle name="Normal 5 2 3 2 2 2 3 2" xfId="7461" xr:uid="{00000000-0005-0000-0000-0000261D0000}"/>
    <cellStyle name="Normal 5 2 3 2 2 2 3 2 2" xfId="7462" xr:uid="{00000000-0005-0000-0000-0000271D0000}"/>
    <cellStyle name="Normal 5 2 3 2 2 2 3 2 2 2" xfId="7463" xr:uid="{00000000-0005-0000-0000-0000281D0000}"/>
    <cellStyle name="Normal 5 2 3 2 2 2 3 2 2 2 2" xfId="7464" xr:uid="{00000000-0005-0000-0000-0000291D0000}"/>
    <cellStyle name="Normal 5 2 3 2 2 2 3 2 2 2 2 2" xfId="7465" xr:uid="{00000000-0005-0000-0000-00002A1D0000}"/>
    <cellStyle name="Normal 5 2 3 2 2 2 3 2 2 2 3" xfId="7466" xr:uid="{00000000-0005-0000-0000-00002B1D0000}"/>
    <cellStyle name="Normal 5 2 3 2 2 2 3 2 2 3" xfId="7467" xr:uid="{00000000-0005-0000-0000-00002C1D0000}"/>
    <cellStyle name="Normal 5 2 3 2 2 2 3 2 2 3 2" xfId="7468" xr:uid="{00000000-0005-0000-0000-00002D1D0000}"/>
    <cellStyle name="Normal 5 2 3 2 2 2 3 2 2 4" xfId="7469" xr:uid="{00000000-0005-0000-0000-00002E1D0000}"/>
    <cellStyle name="Normal 5 2 3 2 2 2 3 2 3" xfId="7470" xr:uid="{00000000-0005-0000-0000-00002F1D0000}"/>
    <cellStyle name="Normal 5 2 3 2 2 2 3 2 3 2" xfId="7471" xr:uid="{00000000-0005-0000-0000-0000301D0000}"/>
    <cellStyle name="Normal 5 2 3 2 2 2 3 2 3 2 2" xfId="7472" xr:uid="{00000000-0005-0000-0000-0000311D0000}"/>
    <cellStyle name="Normal 5 2 3 2 2 2 3 2 3 3" xfId="7473" xr:uid="{00000000-0005-0000-0000-0000321D0000}"/>
    <cellStyle name="Normal 5 2 3 2 2 2 3 2 4" xfId="7474" xr:uid="{00000000-0005-0000-0000-0000331D0000}"/>
    <cellStyle name="Normal 5 2 3 2 2 2 3 2 4 2" xfId="7475" xr:uid="{00000000-0005-0000-0000-0000341D0000}"/>
    <cellStyle name="Normal 5 2 3 2 2 2 3 2 5" xfId="7476" xr:uid="{00000000-0005-0000-0000-0000351D0000}"/>
    <cellStyle name="Normal 5 2 3 2 2 2 3 3" xfId="7477" xr:uid="{00000000-0005-0000-0000-0000361D0000}"/>
    <cellStyle name="Normal 5 2 3 2 2 2 3 3 2" xfId="7478" xr:uid="{00000000-0005-0000-0000-0000371D0000}"/>
    <cellStyle name="Normal 5 2 3 2 2 2 3 3 2 2" xfId="7479" xr:uid="{00000000-0005-0000-0000-0000381D0000}"/>
    <cellStyle name="Normal 5 2 3 2 2 2 3 3 2 2 2" xfId="7480" xr:uid="{00000000-0005-0000-0000-0000391D0000}"/>
    <cellStyle name="Normal 5 2 3 2 2 2 3 3 2 3" xfId="7481" xr:uid="{00000000-0005-0000-0000-00003A1D0000}"/>
    <cellStyle name="Normal 5 2 3 2 2 2 3 3 3" xfId="7482" xr:uid="{00000000-0005-0000-0000-00003B1D0000}"/>
    <cellStyle name="Normal 5 2 3 2 2 2 3 3 3 2" xfId="7483" xr:uid="{00000000-0005-0000-0000-00003C1D0000}"/>
    <cellStyle name="Normal 5 2 3 2 2 2 3 3 4" xfId="7484" xr:uid="{00000000-0005-0000-0000-00003D1D0000}"/>
    <cellStyle name="Normal 5 2 3 2 2 2 3 4" xfId="7485" xr:uid="{00000000-0005-0000-0000-00003E1D0000}"/>
    <cellStyle name="Normal 5 2 3 2 2 2 3 4 2" xfId="7486" xr:uid="{00000000-0005-0000-0000-00003F1D0000}"/>
    <cellStyle name="Normal 5 2 3 2 2 2 3 4 2 2" xfId="7487" xr:uid="{00000000-0005-0000-0000-0000401D0000}"/>
    <cellStyle name="Normal 5 2 3 2 2 2 3 4 3" xfId="7488" xr:uid="{00000000-0005-0000-0000-0000411D0000}"/>
    <cellStyle name="Normal 5 2 3 2 2 2 3 5" xfId="7489" xr:uid="{00000000-0005-0000-0000-0000421D0000}"/>
    <cellStyle name="Normal 5 2 3 2 2 2 3 5 2" xfId="7490" xr:uid="{00000000-0005-0000-0000-0000431D0000}"/>
    <cellStyle name="Normal 5 2 3 2 2 2 3 6" xfId="7491" xr:uid="{00000000-0005-0000-0000-0000441D0000}"/>
    <cellStyle name="Normal 5 2 3 2 2 2 4" xfId="7492" xr:uid="{00000000-0005-0000-0000-0000451D0000}"/>
    <cellStyle name="Normal 5 2 3 2 2 2 4 2" xfId="7493" xr:uid="{00000000-0005-0000-0000-0000461D0000}"/>
    <cellStyle name="Normal 5 2 3 2 2 2 4 2 2" xfId="7494" xr:uid="{00000000-0005-0000-0000-0000471D0000}"/>
    <cellStyle name="Normal 5 2 3 2 2 2 4 2 2 2" xfId="7495" xr:uid="{00000000-0005-0000-0000-0000481D0000}"/>
    <cellStyle name="Normal 5 2 3 2 2 2 4 2 2 2 2" xfId="7496" xr:uid="{00000000-0005-0000-0000-0000491D0000}"/>
    <cellStyle name="Normal 5 2 3 2 2 2 4 2 2 3" xfId="7497" xr:uid="{00000000-0005-0000-0000-00004A1D0000}"/>
    <cellStyle name="Normal 5 2 3 2 2 2 4 2 3" xfId="7498" xr:uid="{00000000-0005-0000-0000-00004B1D0000}"/>
    <cellStyle name="Normal 5 2 3 2 2 2 4 2 3 2" xfId="7499" xr:uid="{00000000-0005-0000-0000-00004C1D0000}"/>
    <cellStyle name="Normal 5 2 3 2 2 2 4 2 4" xfId="7500" xr:uid="{00000000-0005-0000-0000-00004D1D0000}"/>
    <cellStyle name="Normal 5 2 3 2 2 2 4 3" xfId="7501" xr:uid="{00000000-0005-0000-0000-00004E1D0000}"/>
    <cellStyle name="Normal 5 2 3 2 2 2 4 3 2" xfId="7502" xr:uid="{00000000-0005-0000-0000-00004F1D0000}"/>
    <cellStyle name="Normal 5 2 3 2 2 2 4 3 2 2" xfId="7503" xr:uid="{00000000-0005-0000-0000-0000501D0000}"/>
    <cellStyle name="Normal 5 2 3 2 2 2 4 3 3" xfId="7504" xr:uid="{00000000-0005-0000-0000-0000511D0000}"/>
    <cellStyle name="Normal 5 2 3 2 2 2 4 4" xfId="7505" xr:uid="{00000000-0005-0000-0000-0000521D0000}"/>
    <cellStyle name="Normal 5 2 3 2 2 2 4 4 2" xfId="7506" xr:uid="{00000000-0005-0000-0000-0000531D0000}"/>
    <cellStyle name="Normal 5 2 3 2 2 2 4 5" xfId="7507" xr:uid="{00000000-0005-0000-0000-0000541D0000}"/>
    <cellStyle name="Normal 5 2 3 2 2 2 5" xfId="7508" xr:uid="{00000000-0005-0000-0000-0000551D0000}"/>
    <cellStyle name="Normal 5 2 3 2 2 2 5 2" xfId="7509" xr:uid="{00000000-0005-0000-0000-0000561D0000}"/>
    <cellStyle name="Normal 5 2 3 2 2 2 5 2 2" xfId="7510" xr:uid="{00000000-0005-0000-0000-0000571D0000}"/>
    <cellStyle name="Normal 5 2 3 2 2 2 5 2 2 2" xfId="7511" xr:uid="{00000000-0005-0000-0000-0000581D0000}"/>
    <cellStyle name="Normal 5 2 3 2 2 2 5 2 3" xfId="7512" xr:uid="{00000000-0005-0000-0000-0000591D0000}"/>
    <cellStyle name="Normal 5 2 3 2 2 2 5 3" xfId="7513" xr:uid="{00000000-0005-0000-0000-00005A1D0000}"/>
    <cellStyle name="Normal 5 2 3 2 2 2 5 3 2" xfId="7514" xr:uid="{00000000-0005-0000-0000-00005B1D0000}"/>
    <cellStyle name="Normal 5 2 3 2 2 2 5 4" xfId="7515" xr:uid="{00000000-0005-0000-0000-00005C1D0000}"/>
    <cellStyle name="Normal 5 2 3 2 2 2 6" xfId="7516" xr:uid="{00000000-0005-0000-0000-00005D1D0000}"/>
    <cellStyle name="Normal 5 2 3 2 2 2 6 2" xfId="7517" xr:uid="{00000000-0005-0000-0000-00005E1D0000}"/>
    <cellStyle name="Normal 5 2 3 2 2 2 6 2 2" xfId="7518" xr:uid="{00000000-0005-0000-0000-00005F1D0000}"/>
    <cellStyle name="Normal 5 2 3 2 2 2 6 3" xfId="7519" xr:uid="{00000000-0005-0000-0000-0000601D0000}"/>
    <cellStyle name="Normal 5 2 3 2 2 2 7" xfId="7520" xr:uid="{00000000-0005-0000-0000-0000611D0000}"/>
    <cellStyle name="Normal 5 2 3 2 2 2 7 2" xfId="7521" xr:uid="{00000000-0005-0000-0000-0000621D0000}"/>
    <cellStyle name="Normal 5 2 3 2 2 2 8" xfId="7522" xr:uid="{00000000-0005-0000-0000-0000631D0000}"/>
    <cellStyle name="Normal 5 2 3 2 2 3" xfId="7523" xr:uid="{00000000-0005-0000-0000-0000641D0000}"/>
    <cellStyle name="Normal 5 2 3 2 2 3 2" xfId="7524" xr:uid="{00000000-0005-0000-0000-0000651D0000}"/>
    <cellStyle name="Normal 5 2 3 2 2 3 2 2" xfId="7525" xr:uid="{00000000-0005-0000-0000-0000661D0000}"/>
    <cellStyle name="Normal 5 2 3 2 2 3 2 2 2" xfId="7526" xr:uid="{00000000-0005-0000-0000-0000671D0000}"/>
    <cellStyle name="Normal 5 2 3 2 2 3 2 2 2 2" xfId="7527" xr:uid="{00000000-0005-0000-0000-0000681D0000}"/>
    <cellStyle name="Normal 5 2 3 2 2 3 2 2 2 2 2" xfId="7528" xr:uid="{00000000-0005-0000-0000-0000691D0000}"/>
    <cellStyle name="Normal 5 2 3 2 2 3 2 2 2 2 2 2" xfId="7529" xr:uid="{00000000-0005-0000-0000-00006A1D0000}"/>
    <cellStyle name="Normal 5 2 3 2 2 3 2 2 2 2 3" xfId="7530" xr:uid="{00000000-0005-0000-0000-00006B1D0000}"/>
    <cellStyle name="Normal 5 2 3 2 2 3 2 2 2 3" xfId="7531" xr:uid="{00000000-0005-0000-0000-00006C1D0000}"/>
    <cellStyle name="Normal 5 2 3 2 2 3 2 2 2 3 2" xfId="7532" xr:uid="{00000000-0005-0000-0000-00006D1D0000}"/>
    <cellStyle name="Normal 5 2 3 2 2 3 2 2 2 4" xfId="7533" xr:uid="{00000000-0005-0000-0000-00006E1D0000}"/>
    <cellStyle name="Normal 5 2 3 2 2 3 2 2 3" xfId="7534" xr:uid="{00000000-0005-0000-0000-00006F1D0000}"/>
    <cellStyle name="Normal 5 2 3 2 2 3 2 2 3 2" xfId="7535" xr:uid="{00000000-0005-0000-0000-0000701D0000}"/>
    <cellStyle name="Normal 5 2 3 2 2 3 2 2 3 2 2" xfId="7536" xr:uid="{00000000-0005-0000-0000-0000711D0000}"/>
    <cellStyle name="Normal 5 2 3 2 2 3 2 2 3 3" xfId="7537" xr:uid="{00000000-0005-0000-0000-0000721D0000}"/>
    <cellStyle name="Normal 5 2 3 2 2 3 2 2 4" xfId="7538" xr:uid="{00000000-0005-0000-0000-0000731D0000}"/>
    <cellStyle name="Normal 5 2 3 2 2 3 2 2 4 2" xfId="7539" xr:uid="{00000000-0005-0000-0000-0000741D0000}"/>
    <cellStyle name="Normal 5 2 3 2 2 3 2 2 5" xfId="7540" xr:uid="{00000000-0005-0000-0000-0000751D0000}"/>
    <cellStyle name="Normal 5 2 3 2 2 3 2 3" xfId="7541" xr:uid="{00000000-0005-0000-0000-0000761D0000}"/>
    <cellStyle name="Normal 5 2 3 2 2 3 2 3 2" xfId="7542" xr:uid="{00000000-0005-0000-0000-0000771D0000}"/>
    <cellStyle name="Normal 5 2 3 2 2 3 2 3 2 2" xfId="7543" xr:uid="{00000000-0005-0000-0000-0000781D0000}"/>
    <cellStyle name="Normal 5 2 3 2 2 3 2 3 2 2 2" xfId="7544" xr:uid="{00000000-0005-0000-0000-0000791D0000}"/>
    <cellStyle name="Normal 5 2 3 2 2 3 2 3 2 3" xfId="7545" xr:uid="{00000000-0005-0000-0000-00007A1D0000}"/>
    <cellStyle name="Normal 5 2 3 2 2 3 2 3 3" xfId="7546" xr:uid="{00000000-0005-0000-0000-00007B1D0000}"/>
    <cellStyle name="Normal 5 2 3 2 2 3 2 3 3 2" xfId="7547" xr:uid="{00000000-0005-0000-0000-00007C1D0000}"/>
    <cellStyle name="Normal 5 2 3 2 2 3 2 3 4" xfId="7548" xr:uid="{00000000-0005-0000-0000-00007D1D0000}"/>
    <cellStyle name="Normal 5 2 3 2 2 3 2 4" xfId="7549" xr:uid="{00000000-0005-0000-0000-00007E1D0000}"/>
    <cellStyle name="Normal 5 2 3 2 2 3 2 4 2" xfId="7550" xr:uid="{00000000-0005-0000-0000-00007F1D0000}"/>
    <cellStyle name="Normal 5 2 3 2 2 3 2 4 2 2" xfId="7551" xr:uid="{00000000-0005-0000-0000-0000801D0000}"/>
    <cellStyle name="Normal 5 2 3 2 2 3 2 4 3" xfId="7552" xr:uid="{00000000-0005-0000-0000-0000811D0000}"/>
    <cellStyle name="Normal 5 2 3 2 2 3 2 5" xfId="7553" xr:uid="{00000000-0005-0000-0000-0000821D0000}"/>
    <cellStyle name="Normal 5 2 3 2 2 3 2 5 2" xfId="7554" xr:uid="{00000000-0005-0000-0000-0000831D0000}"/>
    <cellStyle name="Normal 5 2 3 2 2 3 2 6" xfId="7555" xr:uid="{00000000-0005-0000-0000-0000841D0000}"/>
    <cellStyle name="Normal 5 2 3 2 2 3 3" xfId="7556" xr:uid="{00000000-0005-0000-0000-0000851D0000}"/>
    <cellStyle name="Normal 5 2 3 2 2 3 3 2" xfId="7557" xr:uid="{00000000-0005-0000-0000-0000861D0000}"/>
    <cellStyle name="Normal 5 2 3 2 2 3 3 2 2" xfId="7558" xr:uid="{00000000-0005-0000-0000-0000871D0000}"/>
    <cellStyle name="Normal 5 2 3 2 2 3 3 2 2 2" xfId="7559" xr:uid="{00000000-0005-0000-0000-0000881D0000}"/>
    <cellStyle name="Normal 5 2 3 2 2 3 3 2 2 2 2" xfId="7560" xr:uid="{00000000-0005-0000-0000-0000891D0000}"/>
    <cellStyle name="Normal 5 2 3 2 2 3 3 2 2 3" xfId="7561" xr:uid="{00000000-0005-0000-0000-00008A1D0000}"/>
    <cellStyle name="Normal 5 2 3 2 2 3 3 2 3" xfId="7562" xr:uid="{00000000-0005-0000-0000-00008B1D0000}"/>
    <cellStyle name="Normal 5 2 3 2 2 3 3 2 3 2" xfId="7563" xr:uid="{00000000-0005-0000-0000-00008C1D0000}"/>
    <cellStyle name="Normal 5 2 3 2 2 3 3 2 4" xfId="7564" xr:uid="{00000000-0005-0000-0000-00008D1D0000}"/>
    <cellStyle name="Normal 5 2 3 2 2 3 3 3" xfId="7565" xr:uid="{00000000-0005-0000-0000-00008E1D0000}"/>
    <cellStyle name="Normal 5 2 3 2 2 3 3 3 2" xfId="7566" xr:uid="{00000000-0005-0000-0000-00008F1D0000}"/>
    <cellStyle name="Normal 5 2 3 2 2 3 3 3 2 2" xfId="7567" xr:uid="{00000000-0005-0000-0000-0000901D0000}"/>
    <cellStyle name="Normal 5 2 3 2 2 3 3 3 3" xfId="7568" xr:uid="{00000000-0005-0000-0000-0000911D0000}"/>
    <cellStyle name="Normal 5 2 3 2 2 3 3 4" xfId="7569" xr:uid="{00000000-0005-0000-0000-0000921D0000}"/>
    <cellStyle name="Normal 5 2 3 2 2 3 3 4 2" xfId="7570" xr:uid="{00000000-0005-0000-0000-0000931D0000}"/>
    <cellStyle name="Normal 5 2 3 2 2 3 3 5" xfId="7571" xr:uid="{00000000-0005-0000-0000-0000941D0000}"/>
    <cellStyle name="Normal 5 2 3 2 2 3 4" xfId="7572" xr:uid="{00000000-0005-0000-0000-0000951D0000}"/>
    <cellStyle name="Normal 5 2 3 2 2 3 4 2" xfId="7573" xr:uid="{00000000-0005-0000-0000-0000961D0000}"/>
    <cellStyle name="Normal 5 2 3 2 2 3 4 2 2" xfId="7574" xr:uid="{00000000-0005-0000-0000-0000971D0000}"/>
    <cellStyle name="Normal 5 2 3 2 2 3 4 2 2 2" xfId="7575" xr:uid="{00000000-0005-0000-0000-0000981D0000}"/>
    <cellStyle name="Normal 5 2 3 2 2 3 4 2 3" xfId="7576" xr:uid="{00000000-0005-0000-0000-0000991D0000}"/>
    <cellStyle name="Normal 5 2 3 2 2 3 4 3" xfId="7577" xr:uid="{00000000-0005-0000-0000-00009A1D0000}"/>
    <cellStyle name="Normal 5 2 3 2 2 3 4 3 2" xfId="7578" xr:uid="{00000000-0005-0000-0000-00009B1D0000}"/>
    <cellStyle name="Normal 5 2 3 2 2 3 4 4" xfId="7579" xr:uid="{00000000-0005-0000-0000-00009C1D0000}"/>
    <cellStyle name="Normal 5 2 3 2 2 3 5" xfId="7580" xr:uid="{00000000-0005-0000-0000-00009D1D0000}"/>
    <cellStyle name="Normal 5 2 3 2 2 3 5 2" xfId="7581" xr:uid="{00000000-0005-0000-0000-00009E1D0000}"/>
    <cellStyle name="Normal 5 2 3 2 2 3 5 2 2" xfId="7582" xr:uid="{00000000-0005-0000-0000-00009F1D0000}"/>
    <cellStyle name="Normal 5 2 3 2 2 3 5 3" xfId="7583" xr:uid="{00000000-0005-0000-0000-0000A01D0000}"/>
    <cellStyle name="Normal 5 2 3 2 2 3 6" xfId="7584" xr:uid="{00000000-0005-0000-0000-0000A11D0000}"/>
    <cellStyle name="Normal 5 2 3 2 2 3 6 2" xfId="7585" xr:uid="{00000000-0005-0000-0000-0000A21D0000}"/>
    <cellStyle name="Normal 5 2 3 2 2 3 7" xfId="7586" xr:uid="{00000000-0005-0000-0000-0000A31D0000}"/>
    <cellStyle name="Normal 5 2 3 2 2 4" xfId="7587" xr:uid="{00000000-0005-0000-0000-0000A41D0000}"/>
    <cellStyle name="Normal 5 2 3 2 2 4 2" xfId="7588" xr:uid="{00000000-0005-0000-0000-0000A51D0000}"/>
    <cellStyle name="Normal 5 2 3 2 2 4 2 2" xfId="7589" xr:uid="{00000000-0005-0000-0000-0000A61D0000}"/>
    <cellStyle name="Normal 5 2 3 2 2 4 2 2 2" xfId="7590" xr:uid="{00000000-0005-0000-0000-0000A71D0000}"/>
    <cellStyle name="Normal 5 2 3 2 2 4 2 2 2 2" xfId="7591" xr:uid="{00000000-0005-0000-0000-0000A81D0000}"/>
    <cellStyle name="Normal 5 2 3 2 2 4 2 2 2 2 2" xfId="7592" xr:uid="{00000000-0005-0000-0000-0000A91D0000}"/>
    <cellStyle name="Normal 5 2 3 2 2 4 2 2 2 3" xfId="7593" xr:uid="{00000000-0005-0000-0000-0000AA1D0000}"/>
    <cellStyle name="Normal 5 2 3 2 2 4 2 2 3" xfId="7594" xr:uid="{00000000-0005-0000-0000-0000AB1D0000}"/>
    <cellStyle name="Normal 5 2 3 2 2 4 2 2 3 2" xfId="7595" xr:uid="{00000000-0005-0000-0000-0000AC1D0000}"/>
    <cellStyle name="Normal 5 2 3 2 2 4 2 2 4" xfId="7596" xr:uid="{00000000-0005-0000-0000-0000AD1D0000}"/>
    <cellStyle name="Normal 5 2 3 2 2 4 2 3" xfId="7597" xr:uid="{00000000-0005-0000-0000-0000AE1D0000}"/>
    <cellStyle name="Normal 5 2 3 2 2 4 2 3 2" xfId="7598" xr:uid="{00000000-0005-0000-0000-0000AF1D0000}"/>
    <cellStyle name="Normal 5 2 3 2 2 4 2 3 2 2" xfId="7599" xr:uid="{00000000-0005-0000-0000-0000B01D0000}"/>
    <cellStyle name="Normal 5 2 3 2 2 4 2 3 3" xfId="7600" xr:uid="{00000000-0005-0000-0000-0000B11D0000}"/>
    <cellStyle name="Normal 5 2 3 2 2 4 2 4" xfId="7601" xr:uid="{00000000-0005-0000-0000-0000B21D0000}"/>
    <cellStyle name="Normal 5 2 3 2 2 4 2 4 2" xfId="7602" xr:uid="{00000000-0005-0000-0000-0000B31D0000}"/>
    <cellStyle name="Normal 5 2 3 2 2 4 2 5" xfId="7603" xr:uid="{00000000-0005-0000-0000-0000B41D0000}"/>
    <cellStyle name="Normal 5 2 3 2 2 4 3" xfId="7604" xr:uid="{00000000-0005-0000-0000-0000B51D0000}"/>
    <cellStyle name="Normal 5 2 3 2 2 4 3 2" xfId="7605" xr:uid="{00000000-0005-0000-0000-0000B61D0000}"/>
    <cellStyle name="Normal 5 2 3 2 2 4 3 2 2" xfId="7606" xr:uid="{00000000-0005-0000-0000-0000B71D0000}"/>
    <cellStyle name="Normal 5 2 3 2 2 4 3 2 2 2" xfId="7607" xr:uid="{00000000-0005-0000-0000-0000B81D0000}"/>
    <cellStyle name="Normal 5 2 3 2 2 4 3 2 3" xfId="7608" xr:uid="{00000000-0005-0000-0000-0000B91D0000}"/>
    <cellStyle name="Normal 5 2 3 2 2 4 3 3" xfId="7609" xr:uid="{00000000-0005-0000-0000-0000BA1D0000}"/>
    <cellStyle name="Normal 5 2 3 2 2 4 3 3 2" xfId="7610" xr:uid="{00000000-0005-0000-0000-0000BB1D0000}"/>
    <cellStyle name="Normal 5 2 3 2 2 4 3 4" xfId="7611" xr:uid="{00000000-0005-0000-0000-0000BC1D0000}"/>
    <cellStyle name="Normal 5 2 3 2 2 4 4" xfId="7612" xr:uid="{00000000-0005-0000-0000-0000BD1D0000}"/>
    <cellStyle name="Normal 5 2 3 2 2 4 4 2" xfId="7613" xr:uid="{00000000-0005-0000-0000-0000BE1D0000}"/>
    <cellStyle name="Normal 5 2 3 2 2 4 4 2 2" xfId="7614" xr:uid="{00000000-0005-0000-0000-0000BF1D0000}"/>
    <cellStyle name="Normal 5 2 3 2 2 4 4 3" xfId="7615" xr:uid="{00000000-0005-0000-0000-0000C01D0000}"/>
    <cellStyle name="Normal 5 2 3 2 2 4 5" xfId="7616" xr:uid="{00000000-0005-0000-0000-0000C11D0000}"/>
    <cellStyle name="Normal 5 2 3 2 2 4 5 2" xfId="7617" xr:uid="{00000000-0005-0000-0000-0000C21D0000}"/>
    <cellStyle name="Normal 5 2 3 2 2 4 6" xfId="7618" xr:uid="{00000000-0005-0000-0000-0000C31D0000}"/>
    <cellStyle name="Normal 5 2 3 2 2 5" xfId="7619" xr:uid="{00000000-0005-0000-0000-0000C41D0000}"/>
    <cellStyle name="Normal 5 2 3 2 2 5 2" xfId="7620" xr:uid="{00000000-0005-0000-0000-0000C51D0000}"/>
    <cellStyle name="Normal 5 2 3 2 2 5 2 2" xfId="7621" xr:uid="{00000000-0005-0000-0000-0000C61D0000}"/>
    <cellStyle name="Normal 5 2 3 2 2 5 2 2 2" xfId="7622" xr:uid="{00000000-0005-0000-0000-0000C71D0000}"/>
    <cellStyle name="Normal 5 2 3 2 2 5 2 2 2 2" xfId="7623" xr:uid="{00000000-0005-0000-0000-0000C81D0000}"/>
    <cellStyle name="Normal 5 2 3 2 2 5 2 2 3" xfId="7624" xr:uid="{00000000-0005-0000-0000-0000C91D0000}"/>
    <cellStyle name="Normal 5 2 3 2 2 5 2 3" xfId="7625" xr:uid="{00000000-0005-0000-0000-0000CA1D0000}"/>
    <cellStyle name="Normal 5 2 3 2 2 5 2 3 2" xfId="7626" xr:uid="{00000000-0005-0000-0000-0000CB1D0000}"/>
    <cellStyle name="Normal 5 2 3 2 2 5 2 4" xfId="7627" xr:uid="{00000000-0005-0000-0000-0000CC1D0000}"/>
    <cellStyle name="Normal 5 2 3 2 2 5 3" xfId="7628" xr:uid="{00000000-0005-0000-0000-0000CD1D0000}"/>
    <cellStyle name="Normal 5 2 3 2 2 5 3 2" xfId="7629" xr:uid="{00000000-0005-0000-0000-0000CE1D0000}"/>
    <cellStyle name="Normal 5 2 3 2 2 5 3 2 2" xfId="7630" xr:uid="{00000000-0005-0000-0000-0000CF1D0000}"/>
    <cellStyle name="Normal 5 2 3 2 2 5 3 3" xfId="7631" xr:uid="{00000000-0005-0000-0000-0000D01D0000}"/>
    <cellStyle name="Normal 5 2 3 2 2 5 4" xfId="7632" xr:uid="{00000000-0005-0000-0000-0000D11D0000}"/>
    <cellStyle name="Normal 5 2 3 2 2 5 4 2" xfId="7633" xr:uid="{00000000-0005-0000-0000-0000D21D0000}"/>
    <cellStyle name="Normal 5 2 3 2 2 5 5" xfId="7634" xr:uid="{00000000-0005-0000-0000-0000D31D0000}"/>
    <cellStyle name="Normal 5 2 3 2 2 6" xfId="7635" xr:uid="{00000000-0005-0000-0000-0000D41D0000}"/>
    <cellStyle name="Normal 5 2 3 2 2 6 2" xfId="7636" xr:uid="{00000000-0005-0000-0000-0000D51D0000}"/>
    <cellStyle name="Normal 5 2 3 2 2 6 2 2" xfId="7637" xr:uid="{00000000-0005-0000-0000-0000D61D0000}"/>
    <cellStyle name="Normal 5 2 3 2 2 6 2 2 2" xfId="7638" xr:uid="{00000000-0005-0000-0000-0000D71D0000}"/>
    <cellStyle name="Normal 5 2 3 2 2 6 2 3" xfId="7639" xr:uid="{00000000-0005-0000-0000-0000D81D0000}"/>
    <cellStyle name="Normal 5 2 3 2 2 6 3" xfId="7640" xr:uid="{00000000-0005-0000-0000-0000D91D0000}"/>
    <cellStyle name="Normal 5 2 3 2 2 6 3 2" xfId="7641" xr:uid="{00000000-0005-0000-0000-0000DA1D0000}"/>
    <cellStyle name="Normal 5 2 3 2 2 6 4" xfId="7642" xr:uid="{00000000-0005-0000-0000-0000DB1D0000}"/>
    <cellStyle name="Normal 5 2 3 2 2 7" xfId="7643" xr:uid="{00000000-0005-0000-0000-0000DC1D0000}"/>
    <cellStyle name="Normal 5 2 3 2 2 7 2" xfId="7644" xr:uid="{00000000-0005-0000-0000-0000DD1D0000}"/>
    <cellStyle name="Normal 5 2 3 2 2 7 2 2" xfId="7645" xr:uid="{00000000-0005-0000-0000-0000DE1D0000}"/>
    <cellStyle name="Normal 5 2 3 2 2 7 3" xfId="7646" xr:uid="{00000000-0005-0000-0000-0000DF1D0000}"/>
    <cellStyle name="Normal 5 2 3 2 2 8" xfId="7647" xr:uid="{00000000-0005-0000-0000-0000E01D0000}"/>
    <cellStyle name="Normal 5 2 3 2 2 8 2" xfId="7648" xr:uid="{00000000-0005-0000-0000-0000E11D0000}"/>
    <cellStyle name="Normal 5 2 3 2 2 9" xfId="7649" xr:uid="{00000000-0005-0000-0000-0000E21D0000}"/>
    <cellStyle name="Normal 5 2 3 2 3" xfId="7650" xr:uid="{00000000-0005-0000-0000-0000E31D0000}"/>
    <cellStyle name="Normal 5 2 3 2 3 2" xfId="7651" xr:uid="{00000000-0005-0000-0000-0000E41D0000}"/>
    <cellStyle name="Normal 5 2 3 2 3 2 2" xfId="7652" xr:uid="{00000000-0005-0000-0000-0000E51D0000}"/>
    <cellStyle name="Normal 5 2 3 2 3 2 2 2" xfId="7653" xr:uid="{00000000-0005-0000-0000-0000E61D0000}"/>
    <cellStyle name="Normal 5 2 3 2 3 2 2 2 2" xfId="7654" xr:uid="{00000000-0005-0000-0000-0000E71D0000}"/>
    <cellStyle name="Normal 5 2 3 2 3 2 2 2 2 2" xfId="7655" xr:uid="{00000000-0005-0000-0000-0000E81D0000}"/>
    <cellStyle name="Normal 5 2 3 2 3 2 2 2 2 2 2" xfId="7656" xr:uid="{00000000-0005-0000-0000-0000E91D0000}"/>
    <cellStyle name="Normal 5 2 3 2 3 2 2 2 2 2 2 2" xfId="7657" xr:uid="{00000000-0005-0000-0000-0000EA1D0000}"/>
    <cellStyle name="Normal 5 2 3 2 3 2 2 2 2 2 3" xfId="7658" xr:uid="{00000000-0005-0000-0000-0000EB1D0000}"/>
    <cellStyle name="Normal 5 2 3 2 3 2 2 2 2 3" xfId="7659" xr:uid="{00000000-0005-0000-0000-0000EC1D0000}"/>
    <cellStyle name="Normal 5 2 3 2 3 2 2 2 2 3 2" xfId="7660" xr:uid="{00000000-0005-0000-0000-0000ED1D0000}"/>
    <cellStyle name="Normal 5 2 3 2 3 2 2 2 2 4" xfId="7661" xr:uid="{00000000-0005-0000-0000-0000EE1D0000}"/>
    <cellStyle name="Normal 5 2 3 2 3 2 2 2 3" xfId="7662" xr:uid="{00000000-0005-0000-0000-0000EF1D0000}"/>
    <cellStyle name="Normal 5 2 3 2 3 2 2 2 3 2" xfId="7663" xr:uid="{00000000-0005-0000-0000-0000F01D0000}"/>
    <cellStyle name="Normal 5 2 3 2 3 2 2 2 3 2 2" xfId="7664" xr:uid="{00000000-0005-0000-0000-0000F11D0000}"/>
    <cellStyle name="Normal 5 2 3 2 3 2 2 2 3 3" xfId="7665" xr:uid="{00000000-0005-0000-0000-0000F21D0000}"/>
    <cellStyle name="Normal 5 2 3 2 3 2 2 2 4" xfId="7666" xr:uid="{00000000-0005-0000-0000-0000F31D0000}"/>
    <cellStyle name="Normal 5 2 3 2 3 2 2 2 4 2" xfId="7667" xr:uid="{00000000-0005-0000-0000-0000F41D0000}"/>
    <cellStyle name="Normal 5 2 3 2 3 2 2 2 5" xfId="7668" xr:uid="{00000000-0005-0000-0000-0000F51D0000}"/>
    <cellStyle name="Normal 5 2 3 2 3 2 2 3" xfId="7669" xr:uid="{00000000-0005-0000-0000-0000F61D0000}"/>
    <cellStyle name="Normal 5 2 3 2 3 2 2 3 2" xfId="7670" xr:uid="{00000000-0005-0000-0000-0000F71D0000}"/>
    <cellStyle name="Normal 5 2 3 2 3 2 2 3 2 2" xfId="7671" xr:uid="{00000000-0005-0000-0000-0000F81D0000}"/>
    <cellStyle name="Normal 5 2 3 2 3 2 2 3 2 2 2" xfId="7672" xr:uid="{00000000-0005-0000-0000-0000F91D0000}"/>
    <cellStyle name="Normal 5 2 3 2 3 2 2 3 2 3" xfId="7673" xr:uid="{00000000-0005-0000-0000-0000FA1D0000}"/>
    <cellStyle name="Normal 5 2 3 2 3 2 2 3 3" xfId="7674" xr:uid="{00000000-0005-0000-0000-0000FB1D0000}"/>
    <cellStyle name="Normal 5 2 3 2 3 2 2 3 3 2" xfId="7675" xr:uid="{00000000-0005-0000-0000-0000FC1D0000}"/>
    <cellStyle name="Normal 5 2 3 2 3 2 2 3 4" xfId="7676" xr:uid="{00000000-0005-0000-0000-0000FD1D0000}"/>
    <cellStyle name="Normal 5 2 3 2 3 2 2 4" xfId="7677" xr:uid="{00000000-0005-0000-0000-0000FE1D0000}"/>
    <cellStyle name="Normal 5 2 3 2 3 2 2 4 2" xfId="7678" xr:uid="{00000000-0005-0000-0000-0000FF1D0000}"/>
    <cellStyle name="Normal 5 2 3 2 3 2 2 4 2 2" xfId="7679" xr:uid="{00000000-0005-0000-0000-0000001E0000}"/>
    <cellStyle name="Normal 5 2 3 2 3 2 2 4 3" xfId="7680" xr:uid="{00000000-0005-0000-0000-0000011E0000}"/>
    <cellStyle name="Normal 5 2 3 2 3 2 2 5" xfId="7681" xr:uid="{00000000-0005-0000-0000-0000021E0000}"/>
    <cellStyle name="Normal 5 2 3 2 3 2 2 5 2" xfId="7682" xr:uid="{00000000-0005-0000-0000-0000031E0000}"/>
    <cellStyle name="Normal 5 2 3 2 3 2 2 6" xfId="7683" xr:uid="{00000000-0005-0000-0000-0000041E0000}"/>
    <cellStyle name="Normal 5 2 3 2 3 2 3" xfId="7684" xr:uid="{00000000-0005-0000-0000-0000051E0000}"/>
    <cellStyle name="Normal 5 2 3 2 3 2 3 2" xfId="7685" xr:uid="{00000000-0005-0000-0000-0000061E0000}"/>
    <cellStyle name="Normal 5 2 3 2 3 2 3 2 2" xfId="7686" xr:uid="{00000000-0005-0000-0000-0000071E0000}"/>
    <cellStyle name="Normal 5 2 3 2 3 2 3 2 2 2" xfId="7687" xr:uid="{00000000-0005-0000-0000-0000081E0000}"/>
    <cellStyle name="Normal 5 2 3 2 3 2 3 2 2 2 2" xfId="7688" xr:uid="{00000000-0005-0000-0000-0000091E0000}"/>
    <cellStyle name="Normal 5 2 3 2 3 2 3 2 2 3" xfId="7689" xr:uid="{00000000-0005-0000-0000-00000A1E0000}"/>
    <cellStyle name="Normal 5 2 3 2 3 2 3 2 3" xfId="7690" xr:uid="{00000000-0005-0000-0000-00000B1E0000}"/>
    <cellStyle name="Normal 5 2 3 2 3 2 3 2 3 2" xfId="7691" xr:uid="{00000000-0005-0000-0000-00000C1E0000}"/>
    <cellStyle name="Normal 5 2 3 2 3 2 3 2 4" xfId="7692" xr:uid="{00000000-0005-0000-0000-00000D1E0000}"/>
    <cellStyle name="Normal 5 2 3 2 3 2 3 3" xfId="7693" xr:uid="{00000000-0005-0000-0000-00000E1E0000}"/>
    <cellStyle name="Normal 5 2 3 2 3 2 3 3 2" xfId="7694" xr:uid="{00000000-0005-0000-0000-00000F1E0000}"/>
    <cellStyle name="Normal 5 2 3 2 3 2 3 3 2 2" xfId="7695" xr:uid="{00000000-0005-0000-0000-0000101E0000}"/>
    <cellStyle name="Normal 5 2 3 2 3 2 3 3 3" xfId="7696" xr:uid="{00000000-0005-0000-0000-0000111E0000}"/>
    <cellStyle name="Normal 5 2 3 2 3 2 3 4" xfId="7697" xr:uid="{00000000-0005-0000-0000-0000121E0000}"/>
    <cellStyle name="Normal 5 2 3 2 3 2 3 4 2" xfId="7698" xr:uid="{00000000-0005-0000-0000-0000131E0000}"/>
    <cellStyle name="Normal 5 2 3 2 3 2 3 5" xfId="7699" xr:uid="{00000000-0005-0000-0000-0000141E0000}"/>
    <cellStyle name="Normal 5 2 3 2 3 2 4" xfId="7700" xr:uid="{00000000-0005-0000-0000-0000151E0000}"/>
    <cellStyle name="Normal 5 2 3 2 3 2 4 2" xfId="7701" xr:uid="{00000000-0005-0000-0000-0000161E0000}"/>
    <cellStyle name="Normal 5 2 3 2 3 2 4 2 2" xfId="7702" xr:uid="{00000000-0005-0000-0000-0000171E0000}"/>
    <cellStyle name="Normal 5 2 3 2 3 2 4 2 2 2" xfId="7703" xr:uid="{00000000-0005-0000-0000-0000181E0000}"/>
    <cellStyle name="Normal 5 2 3 2 3 2 4 2 3" xfId="7704" xr:uid="{00000000-0005-0000-0000-0000191E0000}"/>
    <cellStyle name="Normal 5 2 3 2 3 2 4 3" xfId="7705" xr:uid="{00000000-0005-0000-0000-00001A1E0000}"/>
    <cellStyle name="Normal 5 2 3 2 3 2 4 3 2" xfId="7706" xr:uid="{00000000-0005-0000-0000-00001B1E0000}"/>
    <cellStyle name="Normal 5 2 3 2 3 2 4 4" xfId="7707" xr:uid="{00000000-0005-0000-0000-00001C1E0000}"/>
    <cellStyle name="Normal 5 2 3 2 3 2 5" xfId="7708" xr:uid="{00000000-0005-0000-0000-00001D1E0000}"/>
    <cellStyle name="Normal 5 2 3 2 3 2 5 2" xfId="7709" xr:uid="{00000000-0005-0000-0000-00001E1E0000}"/>
    <cellStyle name="Normal 5 2 3 2 3 2 5 2 2" xfId="7710" xr:uid="{00000000-0005-0000-0000-00001F1E0000}"/>
    <cellStyle name="Normal 5 2 3 2 3 2 5 3" xfId="7711" xr:uid="{00000000-0005-0000-0000-0000201E0000}"/>
    <cellStyle name="Normal 5 2 3 2 3 2 6" xfId="7712" xr:uid="{00000000-0005-0000-0000-0000211E0000}"/>
    <cellStyle name="Normal 5 2 3 2 3 2 6 2" xfId="7713" xr:uid="{00000000-0005-0000-0000-0000221E0000}"/>
    <cellStyle name="Normal 5 2 3 2 3 2 7" xfId="7714" xr:uid="{00000000-0005-0000-0000-0000231E0000}"/>
    <cellStyle name="Normal 5 2 3 2 3 3" xfId="7715" xr:uid="{00000000-0005-0000-0000-0000241E0000}"/>
    <cellStyle name="Normal 5 2 3 2 3 3 2" xfId="7716" xr:uid="{00000000-0005-0000-0000-0000251E0000}"/>
    <cellStyle name="Normal 5 2 3 2 3 3 2 2" xfId="7717" xr:uid="{00000000-0005-0000-0000-0000261E0000}"/>
    <cellStyle name="Normal 5 2 3 2 3 3 2 2 2" xfId="7718" xr:uid="{00000000-0005-0000-0000-0000271E0000}"/>
    <cellStyle name="Normal 5 2 3 2 3 3 2 2 2 2" xfId="7719" xr:uid="{00000000-0005-0000-0000-0000281E0000}"/>
    <cellStyle name="Normal 5 2 3 2 3 3 2 2 2 2 2" xfId="7720" xr:uid="{00000000-0005-0000-0000-0000291E0000}"/>
    <cellStyle name="Normal 5 2 3 2 3 3 2 2 2 3" xfId="7721" xr:uid="{00000000-0005-0000-0000-00002A1E0000}"/>
    <cellStyle name="Normal 5 2 3 2 3 3 2 2 3" xfId="7722" xr:uid="{00000000-0005-0000-0000-00002B1E0000}"/>
    <cellStyle name="Normal 5 2 3 2 3 3 2 2 3 2" xfId="7723" xr:uid="{00000000-0005-0000-0000-00002C1E0000}"/>
    <cellStyle name="Normal 5 2 3 2 3 3 2 2 4" xfId="7724" xr:uid="{00000000-0005-0000-0000-00002D1E0000}"/>
    <cellStyle name="Normal 5 2 3 2 3 3 2 3" xfId="7725" xr:uid="{00000000-0005-0000-0000-00002E1E0000}"/>
    <cellStyle name="Normal 5 2 3 2 3 3 2 3 2" xfId="7726" xr:uid="{00000000-0005-0000-0000-00002F1E0000}"/>
    <cellStyle name="Normal 5 2 3 2 3 3 2 3 2 2" xfId="7727" xr:uid="{00000000-0005-0000-0000-0000301E0000}"/>
    <cellStyle name="Normal 5 2 3 2 3 3 2 3 3" xfId="7728" xr:uid="{00000000-0005-0000-0000-0000311E0000}"/>
    <cellStyle name="Normal 5 2 3 2 3 3 2 4" xfId="7729" xr:uid="{00000000-0005-0000-0000-0000321E0000}"/>
    <cellStyle name="Normal 5 2 3 2 3 3 2 4 2" xfId="7730" xr:uid="{00000000-0005-0000-0000-0000331E0000}"/>
    <cellStyle name="Normal 5 2 3 2 3 3 2 5" xfId="7731" xr:uid="{00000000-0005-0000-0000-0000341E0000}"/>
    <cellStyle name="Normal 5 2 3 2 3 3 3" xfId="7732" xr:uid="{00000000-0005-0000-0000-0000351E0000}"/>
    <cellStyle name="Normal 5 2 3 2 3 3 3 2" xfId="7733" xr:uid="{00000000-0005-0000-0000-0000361E0000}"/>
    <cellStyle name="Normal 5 2 3 2 3 3 3 2 2" xfId="7734" xr:uid="{00000000-0005-0000-0000-0000371E0000}"/>
    <cellStyle name="Normal 5 2 3 2 3 3 3 2 2 2" xfId="7735" xr:uid="{00000000-0005-0000-0000-0000381E0000}"/>
    <cellStyle name="Normal 5 2 3 2 3 3 3 2 3" xfId="7736" xr:uid="{00000000-0005-0000-0000-0000391E0000}"/>
    <cellStyle name="Normal 5 2 3 2 3 3 3 3" xfId="7737" xr:uid="{00000000-0005-0000-0000-00003A1E0000}"/>
    <cellStyle name="Normal 5 2 3 2 3 3 3 3 2" xfId="7738" xr:uid="{00000000-0005-0000-0000-00003B1E0000}"/>
    <cellStyle name="Normal 5 2 3 2 3 3 3 4" xfId="7739" xr:uid="{00000000-0005-0000-0000-00003C1E0000}"/>
    <cellStyle name="Normal 5 2 3 2 3 3 4" xfId="7740" xr:uid="{00000000-0005-0000-0000-00003D1E0000}"/>
    <cellStyle name="Normal 5 2 3 2 3 3 4 2" xfId="7741" xr:uid="{00000000-0005-0000-0000-00003E1E0000}"/>
    <cellStyle name="Normal 5 2 3 2 3 3 4 2 2" xfId="7742" xr:uid="{00000000-0005-0000-0000-00003F1E0000}"/>
    <cellStyle name="Normal 5 2 3 2 3 3 4 3" xfId="7743" xr:uid="{00000000-0005-0000-0000-0000401E0000}"/>
    <cellStyle name="Normal 5 2 3 2 3 3 5" xfId="7744" xr:uid="{00000000-0005-0000-0000-0000411E0000}"/>
    <cellStyle name="Normal 5 2 3 2 3 3 5 2" xfId="7745" xr:uid="{00000000-0005-0000-0000-0000421E0000}"/>
    <cellStyle name="Normal 5 2 3 2 3 3 6" xfId="7746" xr:uid="{00000000-0005-0000-0000-0000431E0000}"/>
    <cellStyle name="Normal 5 2 3 2 3 4" xfId="7747" xr:uid="{00000000-0005-0000-0000-0000441E0000}"/>
    <cellStyle name="Normal 5 2 3 2 3 4 2" xfId="7748" xr:uid="{00000000-0005-0000-0000-0000451E0000}"/>
    <cellStyle name="Normal 5 2 3 2 3 4 2 2" xfId="7749" xr:uid="{00000000-0005-0000-0000-0000461E0000}"/>
    <cellStyle name="Normal 5 2 3 2 3 4 2 2 2" xfId="7750" xr:uid="{00000000-0005-0000-0000-0000471E0000}"/>
    <cellStyle name="Normal 5 2 3 2 3 4 2 2 2 2" xfId="7751" xr:uid="{00000000-0005-0000-0000-0000481E0000}"/>
    <cellStyle name="Normal 5 2 3 2 3 4 2 2 3" xfId="7752" xr:uid="{00000000-0005-0000-0000-0000491E0000}"/>
    <cellStyle name="Normal 5 2 3 2 3 4 2 3" xfId="7753" xr:uid="{00000000-0005-0000-0000-00004A1E0000}"/>
    <cellStyle name="Normal 5 2 3 2 3 4 2 3 2" xfId="7754" xr:uid="{00000000-0005-0000-0000-00004B1E0000}"/>
    <cellStyle name="Normal 5 2 3 2 3 4 2 4" xfId="7755" xr:uid="{00000000-0005-0000-0000-00004C1E0000}"/>
    <cellStyle name="Normal 5 2 3 2 3 4 3" xfId="7756" xr:uid="{00000000-0005-0000-0000-00004D1E0000}"/>
    <cellStyle name="Normal 5 2 3 2 3 4 3 2" xfId="7757" xr:uid="{00000000-0005-0000-0000-00004E1E0000}"/>
    <cellStyle name="Normal 5 2 3 2 3 4 3 2 2" xfId="7758" xr:uid="{00000000-0005-0000-0000-00004F1E0000}"/>
    <cellStyle name="Normal 5 2 3 2 3 4 3 3" xfId="7759" xr:uid="{00000000-0005-0000-0000-0000501E0000}"/>
    <cellStyle name="Normal 5 2 3 2 3 4 4" xfId="7760" xr:uid="{00000000-0005-0000-0000-0000511E0000}"/>
    <cellStyle name="Normal 5 2 3 2 3 4 4 2" xfId="7761" xr:uid="{00000000-0005-0000-0000-0000521E0000}"/>
    <cellStyle name="Normal 5 2 3 2 3 4 5" xfId="7762" xr:uid="{00000000-0005-0000-0000-0000531E0000}"/>
    <cellStyle name="Normal 5 2 3 2 3 5" xfId="7763" xr:uid="{00000000-0005-0000-0000-0000541E0000}"/>
    <cellStyle name="Normal 5 2 3 2 3 5 2" xfId="7764" xr:uid="{00000000-0005-0000-0000-0000551E0000}"/>
    <cellStyle name="Normal 5 2 3 2 3 5 2 2" xfId="7765" xr:uid="{00000000-0005-0000-0000-0000561E0000}"/>
    <cellStyle name="Normal 5 2 3 2 3 5 2 2 2" xfId="7766" xr:uid="{00000000-0005-0000-0000-0000571E0000}"/>
    <cellStyle name="Normal 5 2 3 2 3 5 2 3" xfId="7767" xr:uid="{00000000-0005-0000-0000-0000581E0000}"/>
    <cellStyle name="Normal 5 2 3 2 3 5 3" xfId="7768" xr:uid="{00000000-0005-0000-0000-0000591E0000}"/>
    <cellStyle name="Normal 5 2 3 2 3 5 3 2" xfId="7769" xr:uid="{00000000-0005-0000-0000-00005A1E0000}"/>
    <cellStyle name="Normal 5 2 3 2 3 5 4" xfId="7770" xr:uid="{00000000-0005-0000-0000-00005B1E0000}"/>
    <cellStyle name="Normal 5 2 3 2 3 6" xfId="7771" xr:uid="{00000000-0005-0000-0000-00005C1E0000}"/>
    <cellStyle name="Normal 5 2 3 2 3 6 2" xfId="7772" xr:uid="{00000000-0005-0000-0000-00005D1E0000}"/>
    <cellStyle name="Normal 5 2 3 2 3 6 2 2" xfId="7773" xr:uid="{00000000-0005-0000-0000-00005E1E0000}"/>
    <cellStyle name="Normal 5 2 3 2 3 6 3" xfId="7774" xr:uid="{00000000-0005-0000-0000-00005F1E0000}"/>
    <cellStyle name="Normal 5 2 3 2 3 7" xfId="7775" xr:uid="{00000000-0005-0000-0000-0000601E0000}"/>
    <cellStyle name="Normal 5 2 3 2 3 7 2" xfId="7776" xr:uid="{00000000-0005-0000-0000-0000611E0000}"/>
    <cellStyle name="Normal 5 2 3 2 3 8" xfId="7777" xr:uid="{00000000-0005-0000-0000-0000621E0000}"/>
    <cellStyle name="Normal 5 2 3 2 4" xfId="7778" xr:uid="{00000000-0005-0000-0000-0000631E0000}"/>
    <cellStyle name="Normal 5 2 3 2 4 2" xfId="7779" xr:uid="{00000000-0005-0000-0000-0000641E0000}"/>
    <cellStyle name="Normal 5 2 3 2 4 2 2" xfId="7780" xr:uid="{00000000-0005-0000-0000-0000651E0000}"/>
    <cellStyle name="Normal 5 2 3 2 4 2 2 2" xfId="7781" xr:uid="{00000000-0005-0000-0000-0000661E0000}"/>
    <cellStyle name="Normal 5 2 3 2 4 2 2 2 2" xfId="7782" xr:uid="{00000000-0005-0000-0000-0000671E0000}"/>
    <cellStyle name="Normal 5 2 3 2 4 2 2 2 2 2" xfId="7783" xr:uid="{00000000-0005-0000-0000-0000681E0000}"/>
    <cellStyle name="Normal 5 2 3 2 4 2 2 2 2 2 2" xfId="7784" xr:uid="{00000000-0005-0000-0000-0000691E0000}"/>
    <cellStyle name="Normal 5 2 3 2 4 2 2 2 2 3" xfId="7785" xr:uid="{00000000-0005-0000-0000-00006A1E0000}"/>
    <cellStyle name="Normal 5 2 3 2 4 2 2 2 3" xfId="7786" xr:uid="{00000000-0005-0000-0000-00006B1E0000}"/>
    <cellStyle name="Normal 5 2 3 2 4 2 2 2 3 2" xfId="7787" xr:uid="{00000000-0005-0000-0000-00006C1E0000}"/>
    <cellStyle name="Normal 5 2 3 2 4 2 2 2 4" xfId="7788" xr:uid="{00000000-0005-0000-0000-00006D1E0000}"/>
    <cellStyle name="Normal 5 2 3 2 4 2 2 3" xfId="7789" xr:uid="{00000000-0005-0000-0000-00006E1E0000}"/>
    <cellStyle name="Normal 5 2 3 2 4 2 2 3 2" xfId="7790" xr:uid="{00000000-0005-0000-0000-00006F1E0000}"/>
    <cellStyle name="Normal 5 2 3 2 4 2 2 3 2 2" xfId="7791" xr:uid="{00000000-0005-0000-0000-0000701E0000}"/>
    <cellStyle name="Normal 5 2 3 2 4 2 2 3 3" xfId="7792" xr:uid="{00000000-0005-0000-0000-0000711E0000}"/>
    <cellStyle name="Normal 5 2 3 2 4 2 2 4" xfId="7793" xr:uid="{00000000-0005-0000-0000-0000721E0000}"/>
    <cellStyle name="Normal 5 2 3 2 4 2 2 4 2" xfId="7794" xr:uid="{00000000-0005-0000-0000-0000731E0000}"/>
    <cellStyle name="Normal 5 2 3 2 4 2 2 5" xfId="7795" xr:uid="{00000000-0005-0000-0000-0000741E0000}"/>
    <cellStyle name="Normal 5 2 3 2 4 2 3" xfId="7796" xr:uid="{00000000-0005-0000-0000-0000751E0000}"/>
    <cellStyle name="Normal 5 2 3 2 4 2 3 2" xfId="7797" xr:uid="{00000000-0005-0000-0000-0000761E0000}"/>
    <cellStyle name="Normal 5 2 3 2 4 2 3 2 2" xfId="7798" xr:uid="{00000000-0005-0000-0000-0000771E0000}"/>
    <cellStyle name="Normal 5 2 3 2 4 2 3 2 2 2" xfId="7799" xr:uid="{00000000-0005-0000-0000-0000781E0000}"/>
    <cellStyle name="Normal 5 2 3 2 4 2 3 2 3" xfId="7800" xr:uid="{00000000-0005-0000-0000-0000791E0000}"/>
    <cellStyle name="Normal 5 2 3 2 4 2 3 3" xfId="7801" xr:uid="{00000000-0005-0000-0000-00007A1E0000}"/>
    <cellStyle name="Normal 5 2 3 2 4 2 3 3 2" xfId="7802" xr:uid="{00000000-0005-0000-0000-00007B1E0000}"/>
    <cellStyle name="Normal 5 2 3 2 4 2 3 4" xfId="7803" xr:uid="{00000000-0005-0000-0000-00007C1E0000}"/>
    <cellStyle name="Normal 5 2 3 2 4 2 4" xfId="7804" xr:uid="{00000000-0005-0000-0000-00007D1E0000}"/>
    <cellStyle name="Normal 5 2 3 2 4 2 4 2" xfId="7805" xr:uid="{00000000-0005-0000-0000-00007E1E0000}"/>
    <cellStyle name="Normal 5 2 3 2 4 2 4 2 2" xfId="7806" xr:uid="{00000000-0005-0000-0000-00007F1E0000}"/>
    <cellStyle name="Normal 5 2 3 2 4 2 4 3" xfId="7807" xr:uid="{00000000-0005-0000-0000-0000801E0000}"/>
    <cellStyle name="Normal 5 2 3 2 4 2 5" xfId="7808" xr:uid="{00000000-0005-0000-0000-0000811E0000}"/>
    <cellStyle name="Normal 5 2 3 2 4 2 5 2" xfId="7809" xr:uid="{00000000-0005-0000-0000-0000821E0000}"/>
    <cellStyle name="Normal 5 2 3 2 4 2 6" xfId="7810" xr:uid="{00000000-0005-0000-0000-0000831E0000}"/>
    <cellStyle name="Normal 5 2 3 2 4 3" xfId="7811" xr:uid="{00000000-0005-0000-0000-0000841E0000}"/>
    <cellStyle name="Normal 5 2 3 2 4 3 2" xfId="7812" xr:uid="{00000000-0005-0000-0000-0000851E0000}"/>
    <cellStyle name="Normal 5 2 3 2 4 3 2 2" xfId="7813" xr:uid="{00000000-0005-0000-0000-0000861E0000}"/>
    <cellStyle name="Normal 5 2 3 2 4 3 2 2 2" xfId="7814" xr:uid="{00000000-0005-0000-0000-0000871E0000}"/>
    <cellStyle name="Normal 5 2 3 2 4 3 2 2 2 2" xfId="7815" xr:uid="{00000000-0005-0000-0000-0000881E0000}"/>
    <cellStyle name="Normal 5 2 3 2 4 3 2 2 3" xfId="7816" xr:uid="{00000000-0005-0000-0000-0000891E0000}"/>
    <cellStyle name="Normal 5 2 3 2 4 3 2 3" xfId="7817" xr:uid="{00000000-0005-0000-0000-00008A1E0000}"/>
    <cellStyle name="Normal 5 2 3 2 4 3 2 3 2" xfId="7818" xr:uid="{00000000-0005-0000-0000-00008B1E0000}"/>
    <cellStyle name="Normal 5 2 3 2 4 3 2 4" xfId="7819" xr:uid="{00000000-0005-0000-0000-00008C1E0000}"/>
    <cellStyle name="Normal 5 2 3 2 4 3 3" xfId="7820" xr:uid="{00000000-0005-0000-0000-00008D1E0000}"/>
    <cellStyle name="Normal 5 2 3 2 4 3 3 2" xfId="7821" xr:uid="{00000000-0005-0000-0000-00008E1E0000}"/>
    <cellStyle name="Normal 5 2 3 2 4 3 3 2 2" xfId="7822" xr:uid="{00000000-0005-0000-0000-00008F1E0000}"/>
    <cellStyle name="Normal 5 2 3 2 4 3 3 3" xfId="7823" xr:uid="{00000000-0005-0000-0000-0000901E0000}"/>
    <cellStyle name="Normal 5 2 3 2 4 3 4" xfId="7824" xr:uid="{00000000-0005-0000-0000-0000911E0000}"/>
    <cellStyle name="Normal 5 2 3 2 4 3 4 2" xfId="7825" xr:uid="{00000000-0005-0000-0000-0000921E0000}"/>
    <cellStyle name="Normal 5 2 3 2 4 3 5" xfId="7826" xr:uid="{00000000-0005-0000-0000-0000931E0000}"/>
    <cellStyle name="Normal 5 2 3 2 4 4" xfId="7827" xr:uid="{00000000-0005-0000-0000-0000941E0000}"/>
    <cellStyle name="Normal 5 2 3 2 4 4 2" xfId="7828" xr:uid="{00000000-0005-0000-0000-0000951E0000}"/>
    <cellStyle name="Normal 5 2 3 2 4 4 2 2" xfId="7829" xr:uid="{00000000-0005-0000-0000-0000961E0000}"/>
    <cellStyle name="Normal 5 2 3 2 4 4 2 2 2" xfId="7830" xr:uid="{00000000-0005-0000-0000-0000971E0000}"/>
    <cellStyle name="Normal 5 2 3 2 4 4 2 3" xfId="7831" xr:uid="{00000000-0005-0000-0000-0000981E0000}"/>
    <cellStyle name="Normal 5 2 3 2 4 4 3" xfId="7832" xr:uid="{00000000-0005-0000-0000-0000991E0000}"/>
    <cellStyle name="Normal 5 2 3 2 4 4 3 2" xfId="7833" xr:uid="{00000000-0005-0000-0000-00009A1E0000}"/>
    <cellStyle name="Normal 5 2 3 2 4 4 4" xfId="7834" xr:uid="{00000000-0005-0000-0000-00009B1E0000}"/>
    <cellStyle name="Normal 5 2 3 2 4 5" xfId="7835" xr:uid="{00000000-0005-0000-0000-00009C1E0000}"/>
    <cellStyle name="Normal 5 2 3 2 4 5 2" xfId="7836" xr:uid="{00000000-0005-0000-0000-00009D1E0000}"/>
    <cellStyle name="Normal 5 2 3 2 4 5 2 2" xfId="7837" xr:uid="{00000000-0005-0000-0000-00009E1E0000}"/>
    <cellStyle name="Normal 5 2 3 2 4 5 3" xfId="7838" xr:uid="{00000000-0005-0000-0000-00009F1E0000}"/>
    <cellStyle name="Normal 5 2 3 2 4 6" xfId="7839" xr:uid="{00000000-0005-0000-0000-0000A01E0000}"/>
    <cellStyle name="Normal 5 2 3 2 4 6 2" xfId="7840" xr:uid="{00000000-0005-0000-0000-0000A11E0000}"/>
    <cellStyle name="Normal 5 2 3 2 4 7" xfId="7841" xr:uid="{00000000-0005-0000-0000-0000A21E0000}"/>
    <cellStyle name="Normal 5 2 3 2 5" xfId="7842" xr:uid="{00000000-0005-0000-0000-0000A31E0000}"/>
    <cellStyle name="Normal 5 2 3 2 5 2" xfId="7843" xr:uid="{00000000-0005-0000-0000-0000A41E0000}"/>
    <cellStyle name="Normal 5 2 3 2 5 2 2" xfId="7844" xr:uid="{00000000-0005-0000-0000-0000A51E0000}"/>
    <cellStyle name="Normal 5 2 3 2 5 2 2 2" xfId="7845" xr:uid="{00000000-0005-0000-0000-0000A61E0000}"/>
    <cellStyle name="Normal 5 2 3 2 5 2 2 2 2" xfId="7846" xr:uid="{00000000-0005-0000-0000-0000A71E0000}"/>
    <cellStyle name="Normal 5 2 3 2 5 2 2 2 2 2" xfId="7847" xr:uid="{00000000-0005-0000-0000-0000A81E0000}"/>
    <cellStyle name="Normal 5 2 3 2 5 2 2 2 3" xfId="7848" xr:uid="{00000000-0005-0000-0000-0000A91E0000}"/>
    <cellStyle name="Normal 5 2 3 2 5 2 2 3" xfId="7849" xr:uid="{00000000-0005-0000-0000-0000AA1E0000}"/>
    <cellStyle name="Normal 5 2 3 2 5 2 2 3 2" xfId="7850" xr:uid="{00000000-0005-0000-0000-0000AB1E0000}"/>
    <cellStyle name="Normal 5 2 3 2 5 2 2 4" xfId="7851" xr:uid="{00000000-0005-0000-0000-0000AC1E0000}"/>
    <cellStyle name="Normal 5 2 3 2 5 2 3" xfId="7852" xr:uid="{00000000-0005-0000-0000-0000AD1E0000}"/>
    <cellStyle name="Normal 5 2 3 2 5 2 3 2" xfId="7853" xr:uid="{00000000-0005-0000-0000-0000AE1E0000}"/>
    <cellStyle name="Normal 5 2 3 2 5 2 3 2 2" xfId="7854" xr:uid="{00000000-0005-0000-0000-0000AF1E0000}"/>
    <cellStyle name="Normal 5 2 3 2 5 2 3 3" xfId="7855" xr:uid="{00000000-0005-0000-0000-0000B01E0000}"/>
    <cellStyle name="Normal 5 2 3 2 5 2 4" xfId="7856" xr:uid="{00000000-0005-0000-0000-0000B11E0000}"/>
    <cellStyle name="Normal 5 2 3 2 5 2 4 2" xfId="7857" xr:uid="{00000000-0005-0000-0000-0000B21E0000}"/>
    <cellStyle name="Normal 5 2 3 2 5 2 5" xfId="7858" xr:uid="{00000000-0005-0000-0000-0000B31E0000}"/>
    <cellStyle name="Normal 5 2 3 2 5 3" xfId="7859" xr:uid="{00000000-0005-0000-0000-0000B41E0000}"/>
    <cellStyle name="Normal 5 2 3 2 5 3 2" xfId="7860" xr:uid="{00000000-0005-0000-0000-0000B51E0000}"/>
    <cellStyle name="Normal 5 2 3 2 5 3 2 2" xfId="7861" xr:uid="{00000000-0005-0000-0000-0000B61E0000}"/>
    <cellStyle name="Normal 5 2 3 2 5 3 2 2 2" xfId="7862" xr:uid="{00000000-0005-0000-0000-0000B71E0000}"/>
    <cellStyle name="Normal 5 2 3 2 5 3 2 3" xfId="7863" xr:uid="{00000000-0005-0000-0000-0000B81E0000}"/>
    <cellStyle name="Normal 5 2 3 2 5 3 3" xfId="7864" xr:uid="{00000000-0005-0000-0000-0000B91E0000}"/>
    <cellStyle name="Normal 5 2 3 2 5 3 3 2" xfId="7865" xr:uid="{00000000-0005-0000-0000-0000BA1E0000}"/>
    <cellStyle name="Normal 5 2 3 2 5 3 4" xfId="7866" xr:uid="{00000000-0005-0000-0000-0000BB1E0000}"/>
    <cellStyle name="Normal 5 2 3 2 5 4" xfId="7867" xr:uid="{00000000-0005-0000-0000-0000BC1E0000}"/>
    <cellStyle name="Normal 5 2 3 2 5 4 2" xfId="7868" xr:uid="{00000000-0005-0000-0000-0000BD1E0000}"/>
    <cellStyle name="Normal 5 2 3 2 5 4 2 2" xfId="7869" xr:uid="{00000000-0005-0000-0000-0000BE1E0000}"/>
    <cellStyle name="Normal 5 2 3 2 5 4 3" xfId="7870" xr:uid="{00000000-0005-0000-0000-0000BF1E0000}"/>
    <cellStyle name="Normal 5 2 3 2 5 5" xfId="7871" xr:uid="{00000000-0005-0000-0000-0000C01E0000}"/>
    <cellStyle name="Normal 5 2 3 2 5 5 2" xfId="7872" xr:uid="{00000000-0005-0000-0000-0000C11E0000}"/>
    <cellStyle name="Normal 5 2 3 2 5 6" xfId="7873" xr:uid="{00000000-0005-0000-0000-0000C21E0000}"/>
    <cellStyle name="Normal 5 2 3 2 6" xfId="7874" xr:uid="{00000000-0005-0000-0000-0000C31E0000}"/>
    <cellStyle name="Normal 5 2 3 2 6 2" xfId="7875" xr:uid="{00000000-0005-0000-0000-0000C41E0000}"/>
    <cellStyle name="Normal 5 2 3 2 6 2 2" xfId="7876" xr:uid="{00000000-0005-0000-0000-0000C51E0000}"/>
    <cellStyle name="Normal 5 2 3 2 6 2 2 2" xfId="7877" xr:uid="{00000000-0005-0000-0000-0000C61E0000}"/>
    <cellStyle name="Normal 5 2 3 2 6 2 2 2 2" xfId="7878" xr:uid="{00000000-0005-0000-0000-0000C71E0000}"/>
    <cellStyle name="Normal 5 2 3 2 6 2 2 3" xfId="7879" xr:uid="{00000000-0005-0000-0000-0000C81E0000}"/>
    <cellStyle name="Normal 5 2 3 2 6 2 3" xfId="7880" xr:uid="{00000000-0005-0000-0000-0000C91E0000}"/>
    <cellStyle name="Normal 5 2 3 2 6 2 3 2" xfId="7881" xr:uid="{00000000-0005-0000-0000-0000CA1E0000}"/>
    <cellStyle name="Normal 5 2 3 2 6 2 4" xfId="7882" xr:uid="{00000000-0005-0000-0000-0000CB1E0000}"/>
    <cellStyle name="Normal 5 2 3 2 6 3" xfId="7883" xr:uid="{00000000-0005-0000-0000-0000CC1E0000}"/>
    <cellStyle name="Normal 5 2 3 2 6 3 2" xfId="7884" xr:uid="{00000000-0005-0000-0000-0000CD1E0000}"/>
    <cellStyle name="Normal 5 2 3 2 6 3 2 2" xfId="7885" xr:uid="{00000000-0005-0000-0000-0000CE1E0000}"/>
    <cellStyle name="Normal 5 2 3 2 6 3 3" xfId="7886" xr:uid="{00000000-0005-0000-0000-0000CF1E0000}"/>
    <cellStyle name="Normal 5 2 3 2 6 4" xfId="7887" xr:uid="{00000000-0005-0000-0000-0000D01E0000}"/>
    <cellStyle name="Normal 5 2 3 2 6 4 2" xfId="7888" xr:uid="{00000000-0005-0000-0000-0000D11E0000}"/>
    <cellStyle name="Normal 5 2 3 2 6 5" xfId="7889" xr:uid="{00000000-0005-0000-0000-0000D21E0000}"/>
    <cellStyle name="Normal 5 2 3 2 7" xfId="7890" xr:uid="{00000000-0005-0000-0000-0000D31E0000}"/>
    <cellStyle name="Normal 5 2 3 2 7 2" xfId="7891" xr:uid="{00000000-0005-0000-0000-0000D41E0000}"/>
    <cellStyle name="Normal 5 2 3 2 7 2 2" xfId="7892" xr:uid="{00000000-0005-0000-0000-0000D51E0000}"/>
    <cellStyle name="Normal 5 2 3 2 7 2 2 2" xfId="7893" xr:uid="{00000000-0005-0000-0000-0000D61E0000}"/>
    <cellStyle name="Normal 5 2 3 2 7 2 3" xfId="7894" xr:uid="{00000000-0005-0000-0000-0000D71E0000}"/>
    <cellStyle name="Normal 5 2 3 2 7 3" xfId="7895" xr:uid="{00000000-0005-0000-0000-0000D81E0000}"/>
    <cellStyle name="Normal 5 2 3 2 7 3 2" xfId="7896" xr:uid="{00000000-0005-0000-0000-0000D91E0000}"/>
    <cellStyle name="Normal 5 2 3 2 7 4" xfId="7897" xr:uid="{00000000-0005-0000-0000-0000DA1E0000}"/>
    <cellStyle name="Normal 5 2 3 2 8" xfId="7898" xr:uid="{00000000-0005-0000-0000-0000DB1E0000}"/>
    <cellStyle name="Normal 5 2 3 2 8 2" xfId="7899" xr:uid="{00000000-0005-0000-0000-0000DC1E0000}"/>
    <cellStyle name="Normal 5 2 3 2 8 2 2" xfId="7900" xr:uid="{00000000-0005-0000-0000-0000DD1E0000}"/>
    <cellStyle name="Normal 5 2 3 2 8 3" xfId="7901" xr:uid="{00000000-0005-0000-0000-0000DE1E0000}"/>
    <cellStyle name="Normal 5 2 3 2 9" xfId="7902" xr:uid="{00000000-0005-0000-0000-0000DF1E0000}"/>
    <cellStyle name="Normal 5 2 3 2 9 2" xfId="7903" xr:uid="{00000000-0005-0000-0000-0000E01E0000}"/>
    <cellStyle name="Normal 5 2 3 3" xfId="7904" xr:uid="{00000000-0005-0000-0000-0000E11E0000}"/>
    <cellStyle name="Normal 5 2 3 3 2" xfId="7905" xr:uid="{00000000-0005-0000-0000-0000E21E0000}"/>
    <cellStyle name="Normal 5 2 3 3 2 2" xfId="7906" xr:uid="{00000000-0005-0000-0000-0000E31E0000}"/>
    <cellStyle name="Normal 5 2 3 3 2 2 2" xfId="7907" xr:uid="{00000000-0005-0000-0000-0000E41E0000}"/>
    <cellStyle name="Normal 5 2 3 3 2 2 2 2" xfId="7908" xr:uid="{00000000-0005-0000-0000-0000E51E0000}"/>
    <cellStyle name="Normal 5 2 3 3 2 2 2 2 2" xfId="7909" xr:uid="{00000000-0005-0000-0000-0000E61E0000}"/>
    <cellStyle name="Normal 5 2 3 3 2 2 2 2 2 2" xfId="7910" xr:uid="{00000000-0005-0000-0000-0000E71E0000}"/>
    <cellStyle name="Normal 5 2 3 3 2 2 2 2 2 2 2" xfId="7911" xr:uid="{00000000-0005-0000-0000-0000E81E0000}"/>
    <cellStyle name="Normal 5 2 3 3 2 2 2 2 2 2 2 2" xfId="7912" xr:uid="{00000000-0005-0000-0000-0000E91E0000}"/>
    <cellStyle name="Normal 5 2 3 3 2 2 2 2 2 2 3" xfId="7913" xr:uid="{00000000-0005-0000-0000-0000EA1E0000}"/>
    <cellStyle name="Normal 5 2 3 3 2 2 2 2 2 3" xfId="7914" xr:uid="{00000000-0005-0000-0000-0000EB1E0000}"/>
    <cellStyle name="Normal 5 2 3 3 2 2 2 2 2 3 2" xfId="7915" xr:uid="{00000000-0005-0000-0000-0000EC1E0000}"/>
    <cellStyle name="Normal 5 2 3 3 2 2 2 2 2 4" xfId="7916" xr:uid="{00000000-0005-0000-0000-0000ED1E0000}"/>
    <cellStyle name="Normal 5 2 3 3 2 2 2 2 3" xfId="7917" xr:uid="{00000000-0005-0000-0000-0000EE1E0000}"/>
    <cellStyle name="Normal 5 2 3 3 2 2 2 2 3 2" xfId="7918" xr:uid="{00000000-0005-0000-0000-0000EF1E0000}"/>
    <cellStyle name="Normal 5 2 3 3 2 2 2 2 3 2 2" xfId="7919" xr:uid="{00000000-0005-0000-0000-0000F01E0000}"/>
    <cellStyle name="Normal 5 2 3 3 2 2 2 2 3 3" xfId="7920" xr:uid="{00000000-0005-0000-0000-0000F11E0000}"/>
    <cellStyle name="Normal 5 2 3 3 2 2 2 2 4" xfId="7921" xr:uid="{00000000-0005-0000-0000-0000F21E0000}"/>
    <cellStyle name="Normal 5 2 3 3 2 2 2 2 4 2" xfId="7922" xr:uid="{00000000-0005-0000-0000-0000F31E0000}"/>
    <cellStyle name="Normal 5 2 3 3 2 2 2 2 5" xfId="7923" xr:uid="{00000000-0005-0000-0000-0000F41E0000}"/>
    <cellStyle name="Normal 5 2 3 3 2 2 2 3" xfId="7924" xr:uid="{00000000-0005-0000-0000-0000F51E0000}"/>
    <cellStyle name="Normal 5 2 3 3 2 2 2 3 2" xfId="7925" xr:uid="{00000000-0005-0000-0000-0000F61E0000}"/>
    <cellStyle name="Normal 5 2 3 3 2 2 2 3 2 2" xfId="7926" xr:uid="{00000000-0005-0000-0000-0000F71E0000}"/>
    <cellStyle name="Normal 5 2 3 3 2 2 2 3 2 2 2" xfId="7927" xr:uid="{00000000-0005-0000-0000-0000F81E0000}"/>
    <cellStyle name="Normal 5 2 3 3 2 2 2 3 2 3" xfId="7928" xr:uid="{00000000-0005-0000-0000-0000F91E0000}"/>
    <cellStyle name="Normal 5 2 3 3 2 2 2 3 3" xfId="7929" xr:uid="{00000000-0005-0000-0000-0000FA1E0000}"/>
    <cellStyle name="Normal 5 2 3 3 2 2 2 3 3 2" xfId="7930" xr:uid="{00000000-0005-0000-0000-0000FB1E0000}"/>
    <cellStyle name="Normal 5 2 3 3 2 2 2 3 4" xfId="7931" xr:uid="{00000000-0005-0000-0000-0000FC1E0000}"/>
    <cellStyle name="Normal 5 2 3 3 2 2 2 4" xfId="7932" xr:uid="{00000000-0005-0000-0000-0000FD1E0000}"/>
    <cellStyle name="Normal 5 2 3 3 2 2 2 4 2" xfId="7933" xr:uid="{00000000-0005-0000-0000-0000FE1E0000}"/>
    <cellStyle name="Normal 5 2 3 3 2 2 2 4 2 2" xfId="7934" xr:uid="{00000000-0005-0000-0000-0000FF1E0000}"/>
    <cellStyle name="Normal 5 2 3 3 2 2 2 4 3" xfId="7935" xr:uid="{00000000-0005-0000-0000-0000001F0000}"/>
    <cellStyle name="Normal 5 2 3 3 2 2 2 5" xfId="7936" xr:uid="{00000000-0005-0000-0000-0000011F0000}"/>
    <cellStyle name="Normal 5 2 3 3 2 2 2 5 2" xfId="7937" xr:uid="{00000000-0005-0000-0000-0000021F0000}"/>
    <cellStyle name="Normal 5 2 3 3 2 2 2 6" xfId="7938" xr:uid="{00000000-0005-0000-0000-0000031F0000}"/>
    <cellStyle name="Normal 5 2 3 3 2 2 3" xfId="7939" xr:uid="{00000000-0005-0000-0000-0000041F0000}"/>
    <cellStyle name="Normal 5 2 3 3 2 2 3 2" xfId="7940" xr:uid="{00000000-0005-0000-0000-0000051F0000}"/>
    <cellStyle name="Normal 5 2 3 3 2 2 3 2 2" xfId="7941" xr:uid="{00000000-0005-0000-0000-0000061F0000}"/>
    <cellStyle name="Normal 5 2 3 3 2 2 3 2 2 2" xfId="7942" xr:uid="{00000000-0005-0000-0000-0000071F0000}"/>
    <cellStyle name="Normal 5 2 3 3 2 2 3 2 2 2 2" xfId="7943" xr:uid="{00000000-0005-0000-0000-0000081F0000}"/>
    <cellStyle name="Normal 5 2 3 3 2 2 3 2 2 3" xfId="7944" xr:uid="{00000000-0005-0000-0000-0000091F0000}"/>
    <cellStyle name="Normal 5 2 3 3 2 2 3 2 3" xfId="7945" xr:uid="{00000000-0005-0000-0000-00000A1F0000}"/>
    <cellStyle name="Normal 5 2 3 3 2 2 3 2 3 2" xfId="7946" xr:uid="{00000000-0005-0000-0000-00000B1F0000}"/>
    <cellStyle name="Normal 5 2 3 3 2 2 3 2 4" xfId="7947" xr:uid="{00000000-0005-0000-0000-00000C1F0000}"/>
    <cellStyle name="Normal 5 2 3 3 2 2 3 3" xfId="7948" xr:uid="{00000000-0005-0000-0000-00000D1F0000}"/>
    <cellStyle name="Normal 5 2 3 3 2 2 3 3 2" xfId="7949" xr:uid="{00000000-0005-0000-0000-00000E1F0000}"/>
    <cellStyle name="Normal 5 2 3 3 2 2 3 3 2 2" xfId="7950" xr:uid="{00000000-0005-0000-0000-00000F1F0000}"/>
    <cellStyle name="Normal 5 2 3 3 2 2 3 3 3" xfId="7951" xr:uid="{00000000-0005-0000-0000-0000101F0000}"/>
    <cellStyle name="Normal 5 2 3 3 2 2 3 4" xfId="7952" xr:uid="{00000000-0005-0000-0000-0000111F0000}"/>
    <cellStyle name="Normal 5 2 3 3 2 2 3 4 2" xfId="7953" xr:uid="{00000000-0005-0000-0000-0000121F0000}"/>
    <cellStyle name="Normal 5 2 3 3 2 2 3 5" xfId="7954" xr:uid="{00000000-0005-0000-0000-0000131F0000}"/>
    <cellStyle name="Normal 5 2 3 3 2 2 4" xfId="7955" xr:uid="{00000000-0005-0000-0000-0000141F0000}"/>
    <cellStyle name="Normal 5 2 3 3 2 2 4 2" xfId="7956" xr:uid="{00000000-0005-0000-0000-0000151F0000}"/>
    <cellStyle name="Normal 5 2 3 3 2 2 4 2 2" xfId="7957" xr:uid="{00000000-0005-0000-0000-0000161F0000}"/>
    <cellStyle name="Normal 5 2 3 3 2 2 4 2 2 2" xfId="7958" xr:uid="{00000000-0005-0000-0000-0000171F0000}"/>
    <cellStyle name="Normal 5 2 3 3 2 2 4 2 3" xfId="7959" xr:uid="{00000000-0005-0000-0000-0000181F0000}"/>
    <cellStyle name="Normal 5 2 3 3 2 2 4 3" xfId="7960" xr:uid="{00000000-0005-0000-0000-0000191F0000}"/>
    <cellStyle name="Normal 5 2 3 3 2 2 4 3 2" xfId="7961" xr:uid="{00000000-0005-0000-0000-00001A1F0000}"/>
    <cellStyle name="Normal 5 2 3 3 2 2 4 4" xfId="7962" xr:uid="{00000000-0005-0000-0000-00001B1F0000}"/>
    <cellStyle name="Normal 5 2 3 3 2 2 5" xfId="7963" xr:uid="{00000000-0005-0000-0000-00001C1F0000}"/>
    <cellStyle name="Normal 5 2 3 3 2 2 5 2" xfId="7964" xr:uid="{00000000-0005-0000-0000-00001D1F0000}"/>
    <cellStyle name="Normal 5 2 3 3 2 2 5 2 2" xfId="7965" xr:uid="{00000000-0005-0000-0000-00001E1F0000}"/>
    <cellStyle name="Normal 5 2 3 3 2 2 5 3" xfId="7966" xr:uid="{00000000-0005-0000-0000-00001F1F0000}"/>
    <cellStyle name="Normal 5 2 3 3 2 2 6" xfId="7967" xr:uid="{00000000-0005-0000-0000-0000201F0000}"/>
    <cellStyle name="Normal 5 2 3 3 2 2 6 2" xfId="7968" xr:uid="{00000000-0005-0000-0000-0000211F0000}"/>
    <cellStyle name="Normal 5 2 3 3 2 2 7" xfId="7969" xr:uid="{00000000-0005-0000-0000-0000221F0000}"/>
    <cellStyle name="Normal 5 2 3 3 2 3" xfId="7970" xr:uid="{00000000-0005-0000-0000-0000231F0000}"/>
    <cellStyle name="Normal 5 2 3 3 2 3 2" xfId="7971" xr:uid="{00000000-0005-0000-0000-0000241F0000}"/>
    <cellStyle name="Normal 5 2 3 3 2 3 2 2" xfId="7972" xr:uid="{00000000-0005-0000-0000-0000251F0000}"/>
    <cellStyle name="Normal 5 2 3 3 2 3 2 2 2" xfId="7973" xr:uid="{00000000-0005-0000-0000-0000261F0000}"/>
    <cellStyle name="Normal 5 2 3 3 2 3 2 2 2 2" xfId="7974" xr:uid="{00000000-0005-0000-0000-0000271F0000}"/>
    <cellStyle name="Normal 5 2 3 3 2 3 2 2 2 2 2" xfId="7975" xr:uid="{00000000-0005-0000-0000-0000281F0000}"/>
    <cellStyle name="Normal 5 2 3 3 2 3 2 2 2 3" xfId="7976" xr:uid="{00000000-0005-0000-0000-0000291F0000}"/>
    <cellStyle name="Normal 5 2 3 3 2 3 2 2 3" xfId="7977" xr:uid="{00000000-0005-0000-0000-00002A1F0000}"/>
    <cellStyle name="Normal 5 2 3 3 2 3 2 2 3 2" xfId="7978" xr:uid="{00000000-0005-0000-0000-00002B1F0000}"/>
    <cellStyle name="Normal 5 2 3 3 2 3 2 2 4" xfId="7979" xr:uid="{00000000-0005-0000-0000-00002C1F0000}"/>
    <cellStyle name="Normal 5 2 3 3 2 3 2 3" xfId="7980" xr:uid="{00000000-0005-0000-0000-00002D1F0000}"/>
    <cellStyle name="Normal 5 2 3 3 2 3 2 3 2" xfId="7981" xr:uid="{00000000-0005-0000-0000-00002E1F0000}"/>
    <cellStyle name="Normal 5 2 3 3 2 3 2 3 2 2" xfId="7982" xr:uid="{00000000-0005-0000-0000-00002F1F0000}"/>
    <cellStyle name="Normal 5 2 3 3 2 3 2 3 3" xfId="7983" xr:uid="{00000000-0005-0000-0000-0000301F0000}"/>
    <cellStyle name="Normal 5 2 3 3 2 3 2 4" xfId="7984" xr:uid="{00000000-0005-0000-0000-0000311F0000}"/>
    <cellStyle name="Normal 5 2 3 3 2 3 2 4 2" xfId="7985" xr:uid="{00000000-0005-0000-0000-0000321F0000}"/>
    <cellStyle name="Normal 5 2 3 3 2 3 2 5" xfId="7986" xr:uid="{00000000-0005-0000-0000-0000331F0000}"/>
    <cellStyle name="Normal 5 2 3 3 2 3 3" xfId="7987" xr:uid="{00000000-0005-0000-0000-0000341F0000}"/>
    <cellStyle name="Normal 5 2 3 3 2 3 3 2" xfId="7988" xr:uid="{00000000-0005-0000-0000-0000351F0000}"/>
    <cellStyle name="Normal 5 2 3 3 2 3 3 2 2" xfId="7989" xr:uid="{00000000-0005-0000-0000-0000361F0000}"/>
    <cellStyle name="Normal 5 2 3 3 2 3 3 2 2 2" xfId="7990" xr:uid="{00000000-0005-0000-0000-0000371F0000}"/>
    <cellStyle name="Normal 5 2 3 3 2 3 3 2 3" xfId="7991" xr:uid="{00000000-0005-0000-0000-0000381F0000}"/>
    <cellStyle name="Normal 5 2 3 3 2 3 3 3" xfId="7992" xr:uid="{00000000-0005-0000-0000-0000391F0000}"/>
    <cellStyle name="Normal 5 2 3 3 2 3 3 3 2" xfId="7993" xr:uid="{00000000-0005-0000-0000-00003A1F0000}"/>
    <cellStyle name="Normal 5 2 3 3 2 3 3 4" xfId="7994" xr:uid="{00000000-0005-0000-0000-00003B1F0000}"/>
    <cellStyle name="Normal 5 2 3 3 2 3 4" xfId="7995" xr:uid="{00000000-0005-0000-0000-00003C1F0000}"/>
    <cellStyle name="Normal 5 2 3 3 2 3 4 2" xfId="7996" xr:uid="{00000000-0005-0000-0000-00003D1F0000}"/>
    <cellStyle name="Normal 5 2 3 3 2 3 4 2 2" xfId="7997" xr:uid="{00000000-0005-0000-0000-00003E1F0000}"/>
    <cellStyle name="Normal 5 2 3 3 2 3 4 3" xfId="7998" xr:uid="{00000000-0005-0000-0000-00003F1F0000}"/>
    <cellStyle name="Normal 5 2 3 3 2 3 5" xfId="7999" xr:uid="{00000000-0005-0000-0000-0000401F0000}"/>
    <cellStyle name="Normal 5 2 3 3 2 3 5 2" xfId="8000" xr:uid="{00000000-0005-0000-0000-0000411F0000}"/>
    <cellStyle name="Normal 5 2 3 3 2 3 6" xfId="8001" xr:uid="{00000000-0005-0000-0000-0000421F0000}"/>
    <cellStyle name="Normal 5 2 3 3 2 4" xfId="8002" xr:uid="{00000000-0005-0000-0000-0000431F0000}"/>
    <cellStyle name="Normal 5 2 3 3 2 4 2" xfId="8003" xr:uid="{00000000-0005-0000-0000-0000441F0000}"/>
    <cellStyle name="Normal 5 2 3 3 2 4 2 2" xfId="8004" xr:uid="{00000000-0005-0000-0000-0000451F0000}"/>
    <cellStyle name="Normal 5 2 3 3 2 4 2 2 2" xfId="8005" xr:uid="{00000000-0005-0000-0000-0000461F0000}"/>
    <cellStyle name="Normal 5 2 3 3 2 4 2 2 2 2" xfId="8006" xr:uid="{00000000-0005-0000-0000-0000471F0000}"/>
    <cellStyle name="Normal 5 2 3 3 2 4 2 2 3" xfId="8007" xr:uid="{00000000-0005-0000-0000-0000481F0000}"/>
    <cellStyle name="Normal 5 2 3 3 2 4 2 3" xfId="8008" xr:uid="{00000000-0005-0000-0000-0000491F0000}"/>
    <cellStyle name="Normal 5 2 3 3 2 4 2 3 2" xfId="8009" xr:uid="{00000000-0005-0000-0000-00004A1F0000}"/>
    <cellStyle name="Normal 5 2 3 3 2 4 2 4" xfId="8010" xr:uid="{00000000-0005-0000-0000-00004B1F0000}"/>
    <cellStyle name="Normal 5 2 3 3 2 4 3" xfId="8011" xr:uid="{00000000-0005-0000-0000-00004C1F0000}"/>
    <cellStyle name="Normal 5 2 3 3 2 4 3 2" xfId="8012" xr:uid="{00000000-0005-0000-0000-00004D1F0000}"/>
    <cellStyle name="Normal 5 2 3 3 2 4 3 2 2" xfId="8013" xr:uid="{00000000-0005-0000-0000-00004E1F0000}"/>
    <cellStyle name="Normal 5 2 3 3 2 4 3 3" xfId="8014" xr:uid="{00000000-0005-0000-0000-00004F1F0000}"/>
    <cellStyle name="Normal 5 2 3 3 2 4 4" xfId="8015" xr:uid="{00000000-0005-0000-0000-0000501F0000}"/>
    <cellStyle name="Normal 5 2 3 3 2 4 4 2" xfId="8016" xr:uid="{00000000-0005-0000-0000-0000511F0000}"/>
    <cellStyle name="Normal 5 2 3 3 2 4 5" xfId="8017" xr:uid="{00000000-0005-0000-0000-0000521F0000}"/>
    <cellStyle name="Normal 5 2 3 3 2 5" xfId="8018" xr:uid="{00000000-0005-0000-0000-0000531F0000}"/>
    <cellStyle name="Normal 5 2 3 3 2 5 2" xfId="8019" xr:uid="{00000000-0005-0000-0000-0000541F0000}"/>
    <cellStyle name="Normal 5 2 3 3 2 5 2 2" xfId="8020" xr:uid="{00000000-0005-0000-0000-0000551F0000}"/>
    <cellStyle name="Normal 5 2 3 3 2 5 2 2 2" xfId="8021" xr:uid="{00000000-0005-0000-0000-0000561F0000}"/>
    <cellStyle name="Normal 5 2 3 3 2 5 2 3" xfId="8022" xr:uid="{00000000-0005-0000-0000-0000571F0000}"/>
    <cellStyle name="Normal 5 2 3 3 2 5 3" xfId="8023" xr:uid="{00000000-0005-0000-0000-0000581F0000}"/>
    <cellStyle name="Normal 5 2 3 3 2 5 3 2" xfId="8024" xr:uid="{00000000-0005-0000-0000-0000591F0000}"/>
    <cellStyle name="Normal 5 2 3 3 2 5 4" xfId="8025" xr:uid="{00000000-0005-0000-0000-00005A1F0000}"/>
    <cellStyle name="Normal 5 2 3 3 2 6" xfId="8026" xr:uid="{00000000-0005-0000-0000-00005B1F0000}"/>
    <cellStyle name="Normal 5 2 3 3 2 6 2" xfId="8027" xr:uid="{00000000-0005-0000-0000-00005C1F0000}"/>
    <cellStyle name="Normal 5 2 3 3 2 6 2 2" xfId="8028" xr:uid="{00000000-0005-0000-0000-00005D1F0000}"/>
    <cellStyle name="Normal 5 2 3 3 2 6 3" xfId="8029" xr:uid="{00000000-0005-0000-0000-00005E1F0000}"/>
    <cellStyle name="Normal 5 2 3 3 2 7" xfId="8030" xr:uid="{00000000-0005-0000-0000-00005F1F0000}"/>
    <cellStyle name="Normal 5 2 3 3 2 7 2" xfId="8031" xr:uid="{00000000-0005-0000-0000-0000601F0000}"/>
    <cellStyle name="Normal 5 2 3 3 2 8" xfId="8032" xr:uid="{00000000-0005-0000-0000-0000611F0000}"/>
    <cellStyle name="Normal 5 2 3 3 3" xfId="8033" xr:uid="{00000000-0005-0000-0000-0000621F0000}"/>
    <cellStyle name="Normal 5 2 3 3 3 2" xfId="8034" xr:uid="{00000000-0005-0000-0000-0000631F0000}"/>
    <cellStyle name="Normal 5 2 3 3 3 2 2" xfId="8035" xr:uid="{00000000-0005-0000-0000-0000641F0000}"/>
    <cellStyle name="Normal 5 2 3 3 3 2 2 2" xfId="8036" xr:uid="{00000000-0005-0000-0000-0000651F0000}"/>
    <cellStyle name="Normal 5 2 3 3 3 2 2 2 2" xfId="8037" xr:uid="{00000000-0005-0000-0000-0000661F0000}"/>
    <cellStyle name="Normal 5 2 3 3 3 2 2 2 2 2" xfId="8038" xr:uid="{00000000-0005-0000-0000-0000671F0000}"/>
    <cellStyle name="Normal 5 2 3 3 3 2 2 2 2 2 2" xfId="8039" xr:uid="{00000000-0005-0000-0000-0000681F0000}"/>
    <cellStyle name="Normal 5 2 3 3 3 2 2 2 2 3" xfId="8040" xr:uid="{00000000-0005-0000-0000-0000691F0000}"/>
    <cellStyle name="Normal 5 2 3 3 3 2 2 2 3" xfId="8041" xr:uid="{00000000-0005-0000-0000-00006A1F0000}"/>
    <cellStyle name="Normal 5 2 3 3 3 2 2 2 3 2" xfId="8042" xr:uid="{00000000-0005-0000-0000-00006B1F0000}"/>
    <cellStyle name="Normal 5 2 3 3 3 2 2 2 4" xfId="8043" xr:uid="{00000000-0005-0000-0000-00006C1F0000}"/>
    <cellStyle name="Normal 5 2 3 3 3 2 2 3" xfId="8044" xr:uid="{00000000-0005-0000-0000-00006D1F0000}"/>
    <cellStyle name="Normal 5 2 3 3 3 2 2 3 2" xfId="8045" xr:uid="{00000000-0005-0000-0000-00006E1F0000}"/>
    <cellStyle name="Normal 5 2 3 3 3 2 2 3 2 2" xfId="8046" xr:uid="{00000000-0005-0000-0000-00006F1F0000}"/>
    <cellStyle name="Normal 5 2 3 3 3 2 2 3 3" xfId="8047" xr:uid="{00000000-0005-0000-0000-0000701F0000}"/>
    <cellStyle name="Normal 5 2 3 3 3 2 2 4" xfId="8048" xr:uid="{00000000-0005-0000-0000-0000711F0000}"/>
    <cellStyle name="Normal 5 2 3 3 3 2 2 4 2" xfId="8049" xr:uid="{00000000-0005-0000-0000-0000721F0000}"/>
    <cellStyle name="Normal 5 2 3 3 3 2 2 5" xfId="8050" xr:uid="{00000000-0005-0000-0000-0000731F0000}"/>
    <cellStyle name="Normal 5 2 3 3 3 2 3" xfId="8051" xr:uid="{00000000-0005-0000-0000-0000741F0000}"/>
    <cellStyle name="Normal 5 2 3 3 3 2 3 2" xfId="8052" xr:uid="{00000000-0005-0000-0000-0000751F0000}"/>
    <cellStyle name="Normal 5 2 3 3 3 2 3 2 2" xfId="8053" xr:uid="{00000000-0005-0000-0000-0000761F0000}"/>
    <cellStyle name="Normal 5 2 3 3 3 2 3 2 2 2" xfId="8054" xr:uid="{00000000-0005-0000-0000-0000771F0000}"/>
    <cellStyle name="Normal 5 2 3 3 3 2 3 2 3" xfId="8055" xr:uid="{00000000-0005-0000-0000-0000781F0000}"/>
    <cellStyle name="Normal 5 2 3 3 3 2 3 3" xfId="8056" xr:uid="{00000000-0005-0000-0000-0000791F0000}"/>
    <cellStyle name="Normal 5 2 3 3 3 2 3 3 2" xfId="8057" xr:uid="{00000000-0005-0000-0000-00007A1F0000}"/>
    <cellStyle name="Normal 5 2 3 3 3 2 3 4" xfId="8058" xr:uid="{00000000-0005-0000-0000-00007B1F0000}"/>
    <cellStyle name="Normal 5 2 3 3 3 2 4" xfId="8059" xr:uid="{00000000-0005-0000-0000-00007C1F0000}"/>
    <cellStyle name="Normal 5 2 3 3 3 2 4 2" xfId="8060" xr:uid="{00000000-0005-0000-0000-00007D1F0000}"/>
    <cellStyle name="Normal 5 2 3 3 3 2 4 2 2" xfId="8061" xr:uid="{00000000-0005-0000-0000-00007E1F0000}"/>
    <cellStyle name="Normal 5 2 3 3 3 2 4 3" xfId="8062" xr:uid="{00000000-0005-0000-0000-00007F1F0000}"/>
    <cellStyle name="Normal 5 2 3 3 3 2 5" xfId="8063" xr:uid="{00000000-0005-0000-0000-0000801F0000}"/>
    <cellStyle name="Normal 5 2 3 3 3 2 5 2" xfId="8064" xr:uid="{00000000-0005-0000-0000-0000811F0000}"/>
    <cellStyle name="Normal 5 2 3 3 3 2 6" xfId="8065" xr:uid="{00000000-0005-0000-0000-0000821F0000}"/>
    <cellStyle name="Normal 5 2 3 3 3 3" xfId="8066" xr:uid="{00000000-0005-0000-0000-0000831F0000}"/>
    <cellStyle name="Normal 5 2 3 3 3 3 2" xfId="8067" xr:uid="{00000000-0005-0000-0000-0000841F0000}"/>
    <cellStyle name="Normal 5 2 3 3 3 3 2 2" xfId="8068" xr:uid="{00000000-0005-0000-0000-0000851F0000}"/>
    <cellStyle name="Normal 5 2 3 3 3 3 2 2 2" xfId="8069" xr:uid="{00000000-0005-0000-0000-0000861F0000}"/>
    <cellStyle name="Normal 5 2 3 3 3 3 2 2 2 2" xfId="8070" xr:uid="{00000000-0005-0000-0000-0000871F0000}"/>
    <cellStyle name="Normal 5 2 3 3 3 3 2 2 3" xfId="8071" xr:uid="{00000000-0005-0000-0000-0000881F0000}"/>
    <cellStyle name="Normal 5 2 3 3 3 3 2 3" xfId="8072" xr:uid="{00000000-0005-0000-0000-0000891F0000}"/>
    <cellStyle name="Normal 5 2 3 3 3 3 2 3 2" xfId="8073" xr:uid="{00000000-0005-0000-0000-00008A1F0000}"/>
    <cellStyle name="Normal 5 2 3 3 3 3 2 4" xfId="8074" xr:uid="{00000000-0005-0000-0000-00008B1F0000}"/>
    <cellStyle name="Normal 5 2 3 3 3 3 3" xfId="8075" xr:uid="{00000000-0005-0000-0000-00008C1F0000}"/>
    <cellStyle name="Normal 5 2 3 3 3 3 3 2" xfId="8076" xr:uid="{00000000-0005-0000-0000-00008D1F0000}"/>
    <cellStyle name="Normal 5 2 3 3 3 3 3 2 2" xfId="8077" xr:uid="{00000000-0005-0000-0000-00008E1F0000}"/>
    <cellStyle name="Normal 5 2 3 3 3 3 3 3" xfId="8078" xr:uid="{00000000-0005-0000-0000-00008F1F0000}"/>
    <cellStyle name="Normal 5 2 3 3 3 3 4" xfId="8079" xr:uid="{00000000-0005-0000-0000-0000901F0000}"/>
    <cellStyle name="Normal 5 2 3 3 3 3 4 2" xfId="8080" xr:uid="{00000000-0005-0000-0000-0000911F0000}"/>
    <cellStyle name="Normal 5 2 3 3 3 3 5" xfId="8081" xr:uid="{00000000-0005-0000-0000-0000921F0000}"/>
    <cellStyle name="Normal 5 2 3 3 3 4" xfId="8082" xr:uid="{00000000-0005-0000-0000-0000931F0000}"/>
    <cellStyle name="Normal 5 2 3 3 3 4 2" xfId="8083" xr:uid="{00000000-0005-0000-0000-0000941F0000}"/>
    <cellStyle name="Normal 5 2 3 3 3 4 2 2" xfId="8084" xr:uid="{00000000-0005-0000-0000-0000951F0000}"/>
    <cellStyle name="Normal 5 2 3 3 3 4 2 2 2" xfId="8085" xr:uid="{00000000-0005-0000-0000-0000961F0000}"/>
    <cellStyle name="Normal 5 2 3 3 3 4 2 3" xfId="8086" xr:uid="{00000000-0005-0000-0000-0000971F0000}"/>
    <cellStyle name="Normal 5 2 3 3 3 4 3" xfId="8087" xr:uid="{00000000-0005-0000-0000-0000981F0000}"/>
    <cellStyle name="Normal 5 2 3 3 3 4 3 2" xfId="8088" xr:uid="{00000000-0005-0000-0000-0000991F0000}"/>
    <cellStyle name="Normal 5 2 3 3 3 4 4" xfId="8089" xr:uid="{00000000-0005-0000-0000-00009A1F0000}"/>
    <cellStyle name="Normal 5 2 3 3 3 5" xfId="8090" xr:uid="{00000000-0005-0000-0000-00009B1F0000}"/>
    <cellStyle name="Normal 5 2 3 3 3 5 2" xfId="8091" xr:uid="{00000000-0005-0000-0000-00009C1F0000}"/>
    <cellStyle name="Normal 5 2 3 3 3 5 2 2" xfId="8092" xr:uid="{00000000-0005-0000-0000-00009D1F0000}"/>
    <cellStyle name="Normal 5 2 3 3 3 5 3" xfId="8093" xr:uid="{00000000-0005-0000-0000-00009E1F0000}"/>
    <cellStyle name="Normal 5 2 3 3 3 6" xfId="8094" xr:uid="{00000000-0005-0000-0000-00009F1F0000}"/>
    <cellStyle name="Normal 5 2 3 3 3 6 2" xfId="8095" xr:uid="{00000000-0005-0000-0000-0000A01F0000}"/>
    <cellStyle name="Normal 5 2 3 3 3 7" xfId="8096" xr:uid="{00000000-0005-0000-0000-0000A11F0000}"/>
    <cellStyle name="Normal 5 2 3 3 4" xfId="8097" xr:uid="{00000000-0005-0000-0000-0000A21F0000}"/>
    <cellStyle name="Normal 5 2 3 3 4 2" xfId="8098" xr:uid="{00000000-0005-0000-0000-0000A31F0000}"/>
    <cellStyle name="Normal 5 2 3 3 4 2 2" xfId="8099" xr:uid="{00000000-0005-0000-0000-0000A41F0000}"/>
    <cellStyle name="Normal 5 2 3 3 4 2 2 2" xfId="8100" xr:uid="{00000000-0005-0000-0000-0000A51F0000}"/>
    <cellStyle name="Normal 5 2 3 3 4 2 2 2 2" xfId="8101" xr:uid="{00000000-0005-0000-0000-0000A61F0000}"/>
    <cellStyle name="Normal 5 2 3 3 4 2 2 2 2 2" xfId="8102" xr:uid="{00000000-0005-0000-0000-0000A71F0000}"/>
    <cellStyle name="Normal 5 2 3 3 4 2 2 2 3" xfId="8103" xr:uid="{00000000-0005-0000-0000-0000A81F0000}"/>
    <cellStyle name="Normal 5 2 3 3 4 2 2 3" xfId="8104" xr:uid="{00000000-0005-0000-0000-0000A91F0000}"/>
    <cellStyle name="Normal 5 2 3 3 4 2 2 3 2" xfId="8105" xr:uid="{00000000-0005-0000-0000-0000AA1F0000}"/>
    <cellStyle name="Normal 5 2 3 3 4 2 2 4" xfId="8106" xr:uid="{00000000-0005-0000-0000-0000AB1F0000}"/>
    <cellStyle name="Normal 5 2 3 3 4 2 3" xfId="8107" xr:uid="{00000000-0005-0000-0000-0000AC1F0000}"/>
    <cellStyle name="Normal 5 2 3 3 4 2 3 2" xfId="8108" xr:uid="{00000000-0005-0000-0000-0000AD1F0000}"/>
    <cellStyle name="Normal 5 2 3 3 4 2 3 2 2" xfId="8109" xr:uid="{00000000-0005-0000-0000-0000AE1F0000}"/>
    <cellStyle name="Normal 5 2 3 3 4 2 3 3" xfId="8110" xr:uid="{00000000-0005-0000-0000-0000AF1F0000}"/>
    <cellStyle name="Normal 5 2 3 3 4 2 4" xfId="8111" xr:uid="{00000000-0005-0000-0000-0000B01F0000}"/>
    <cellStyle name="Normal 5 2 3 3 4 2 4 2" xfId="8112" xr:uid="{00000000-0005-0000-0000-0000B11F0000}"/>
    <cellStyle name="Normal 5 2 3 3 4 2 5" xfId="8113" xr:uid="{00000000-0005-0000-0000-0000B21F0000}"/>
    <cellStyle name="Normal 5 2 3 3 4 3" xfId="8114" xr:uid="{00000000-0005-0000-0000-0000B31F0000}"/>
    <cellStyle name="Normal 5 2 3 3 4 3 2" xfId="8115" xr:uid="{00000000-0005-0000-0000-0000B41F0000}"/>
    <cellStyle name="Normal 5 2 3 3 4 3 2 2" xfId="8116" xr:uid="{00000000-0005-0000-0000-0000B51F0000}"/>
    <cellStyle name="Normal 5 2 3 3 4 3 2 2 2" xfId="8117" xr:uid="{00000000-0005-0000-0000-0000B61F0000}"/>
    <cellStyle name="Normal 5 2 3 3 4 3 2 3" xfId="8118" xr:uid="{00000000-0005-0000-0000-0000B71F0000}"/>
    <cellStyle name="Normal 5 2 3 3 4 3 3" xfId="8119" xr:uid="{00000000-0005-0000-0000-0000B81F0000}"/>
    <cellStyle name="Normal 5 2 3 3 4 3 3 2" xfId="8120" xr:uid="{00000000-0005-0000-0000-0000B91F0000}"/>
    <cellStyle name="Normal 5 2 3 3 4 3 4" xfId="8121" xr:uid="{00000000-0005-0000-0000-0000BA1F0000}"/>
    <cellStyle name="Normal 5 2 3 3 4 4" xfId="8122" xr:uid="{00000000-0005-0000-0000-0000BB1F0000}"/>
    <cellStyle name="Normal 5 2 3 3 4 4 2" xfId="8123" xr:uid="{00000000-0005-0000-0000-0000BC1F0000}"/>
    <cellStyle name="Normal 5 2 3 3 4 4 2 2" xfId="8124" xr:uid="{00000000-0005-0000-0000-0000BD1F0000}"/>
    <cellStyle name="Normal 5 2 3 3 4 4 3" xfId="8125" xr:uid="{00000000-0005-0000-0000-0000BE1F0000}"/>
    <cellStyle name="Normal 5 2 3 3 4 5" xfId="8126" xr:uid="{00000000-0005-0000-0000-0000BF1F0000}"/>
    <cellStyle name="Normal 5 2 3 3 4 5 2" xfId="8127" xr:uid="{00000000-0005-0000-0000-0000C01F0000}"/>
    <cellStyle name="Normal 5 2 3 3 4 6" xfId="8128" xr:uid="{00000000-0005-0000-0000-0000C11F0000}"/>
    <cellStyle name="Normal 5 2 3 3 5" xfId="8129" xr:uid="{00000000-0005-0000-0000-0000C21F0000}"/>
    <cellStyle name="Normal 5 2 3 3 5 2" xfId="8130" xr:uid="{00000000-0005-0000-0000-0000C31F0000}"/>
    <cellStyle name="Normal 5 2 3 3 5 2 2" xfId="8131" xr:uid="{00000000-0005-0000-0000-0000C41F0000}"/>
    <cellStyle name="Normal 5 2 3 3 5 2 2 2" xfId="8132" xr:uid="{00000000-0005-0000-0000-0000C51F0000}"/>
    <cellStyle name="Normal 5 2 3 3 5 2 2 2 2" xfId="8133" xr:uid="{00000000-0005-0000-0000-0000C61F0000}"/>
    <cellStyle name="Normal 5 2 3 3 5 2 2 3" xfId="8134" xr:uid="{00000000-0005-0000-0000-0000C71F0000}"/>
    <cellStyle name="Normal 5 2 3 3 5 2 3" xfId="8135" xr:uid="{00000000-0005-0000-0000-0000C81F0000}"/>
    <cellStyle name="Normal 5 2 3 3 5 2 3 2" xfId="8136" xr:uid="{00000000-0005-0000-0000-0000C91F0000}"/>
    <cellStyle name="Normal 5 2 3 3 5 2 4" xfId="8137" xr:uid="{00000000-0005-0000-0000-0000CA1F0000}"/>
    <cellStyle name="Normal 5 2 3 3 5 3" xfId="8138" xr:uid="{00000000-0005-0000-0000-0000CB1F0000}"/>
    <cellStyle name="Normal 5 2 3 3 5 3 2" xfId="8139" xr:uid="{00000000-0005-0000-0000-0000CC1F0000}"/>
    <cellStyle name="Normal 5 2 3 3 5 3 2 2" xfId="8140" xr:uid="{00000000-0005-0000-0000-0000CD1F0000}"/>
    <cellStyle name="Normal 5 2 3 3 5 3 3" xfId="8141" xr:uid="{00000000-0005-0000-0000-0000CE1F0000}"/>
    <cellStyle name="Normal 5 2 3 3 5 4" xfId="8142" xr:uid="{00000000-0005-0000-0000-0000CF1F0000}"/>
    <cellStyle name="Normal 5 2 3 3 5 4 2" xfId="8143" xr:uid="{00000000-0005-0000-0000-0000D01F0000}"/>
    <cellStyle name="Normal 5 2 3 3 5 5" xfId="8144" xr:uid="{00000000-0005-0000-0000-0000D11F0000}"/>
    <cellStyle name="Normal 5 2 3 3 6" xfId="8145" xr:uid="{00000000-0005-0000-0000-0000D21F0000}"/>
    <cellStyle name="Normal 5 2 3 3 6 2" xfId="8146" xr:uid="{00000000-0005-0000-0000-0000D31F0000}"/>
    <cellStyle name="Normal 5 2 3 3 6 2 2" xfId="8147" xr:uid="{00000000-0005-0000-0000-0000D41F0000}"/>
    <cellStyle name="Normal 5 2 3 3 6 2 2 2" xfId="8148" xr:uid="{00000000-0005-0000-0000-0000D51F0000}"/>
    <cellStyle name="Normal 5 2 3 3 6 2 3" xfId="8149" xr:uid="{00000000-0005-0000-0000-0000D61F0000}"/>
    <cellStyle name="Normal 5 2 3 3 6 3" xfId="8150" xr:uid="{00000000-0005-0000-0000-0000D71F0000}"/>
    <cellStyle name="Normal 5 2 3 3 6 3 2" xfId="8151" xr:uid="{00000000-0005-0000-0000-0000D81F0000}"/>
    <cellStyle name="Normal 5 2 3 3 6 4" xfId="8152" xr:uid="{00000000-0005-0000-0000-0000D91F0000}"/>
    <cellStyle name="Normal 5 2 3 3 7" xfId="8153" xr:uid="{00000000-0005-0000-0000-0000DA1F0000}"/>
    <cellStyle name="Normal 5 2 3 3 7 2" xfId="8154" xr:uid="{00000000-0005-0000-0000-0000DB1F0000}"/>
    <cellStyle name="Normal 5 2 3 3 7 2 2" xfId="8155" xr:uid="{00000000-0005-0000-0000-0000DC1F0000}"/>
    <cellStyle name="Normal 5 2 3 3 7 3" xfId="8156" xr:uid="{00000000-0005-0000-0000-0000DD1F0000}"/>
    <cellStyle name="Normal 5 2 3 3 8" xfId="8157" xr:uid="{00000000-0005-0000-0000-0000DE1F0000}"/>
    <cellStyle name="Normal 5 2 3 3 8 2" xfId="8158" xr:uid="{00000000-0005-0000-0000-0000DF1F0000}"/>
    <cellStyle name="Normal 5 2 3 3 9" xfId="8159" xr:uid="{00000000-0005-0000-0000-0000E01F0000}"/>
    <cellStyle name="Normal 5 2 3 4" xfId="8160" xr:uid="{00000000-0005-0000-0000-0000E11F0000}"/>
    <cellStyle name="Normal 5 2 3 4 2" xfId="8161" xr:uid="{00000000-0005-0000-0000-0000E21F0000}"/>
    <cellStyle name="Normal 5 2 3 4 2 2" xfId="8162" xr:uid="{00000000-0005-0000-0000-0000E31F0000}"/>
    <cellStyle name="Normal 5 2 3 4 2 2 2" xfId="8163" xr:uid="{00000000-0005-0000-0000-0000E41F0000}"/>
    <cellStyle name="Normal 5 2 3 4 2 2 2 2" xfId="8164" xr:uid="{00000000-0005-0000-0000-0000E51F0000}"/>
    <cellStyle name="Normal 5 2 3 4 2 2 2 2 2" xfId="8165" xr:uid="{00000000-0005-0000-0000-0000E61F0000}"/>
    <cellStyle name="Normal 5 2 3 4 2 2 2 2 2 2" xfId="8166" xr:uid="{00000000-0005-0000-0000-0000E71F0000}"/>
    <cellStyle name="Normal 5 2 3 4 2 2 2 2 2 2 2" xfId="8167" xr:uid="{00000000-0005-0000-0000-0000E81F0000}"/>
    <cellStyle name="Normal 5 2 3 4 2 2 2 2 2 3" xfId="8168" xr:uid="{00000000-0005-0000-0000-0000E91F0000}"/>
    <cellStyle name="Normal 5 2 3 4 2 2 2 2 3" xfId="8169" xr:uid="{00000000-0005-0000-0000-0000EA1F0000}"/>
    <cellStyle name="Normal 5 2 3 4 2 2 2 2 3 2" xfId="8170" xr:uid="{00000000-0005-0000-0000-0000EB1F0000}"/>
    <cellStyle name="Normal 5 2 3 4 2 2 2 2 4" xfId="8171" xr:uid="{00000000-0005-0000-0000-0000EC1F0000}"/>
    <cellStyle name="Normal 5 2 3 4 2 2 2 3" xfId="8172" xr:uid="{00000000-0005-0000-0000-0000ED1F0000}"/>
    <cellStyle name="Normal 5 2 3 4 2 2 2 3 2" xfId="8173" xr:uid="{00000000-0005-0000-0000-0000EE1F0000}"/>
    <cellStyle name="Normal 5 2 3 4 2 2 2 3 2 2" xfId="8174" xr:uid="{00000000-0005-0000-0000-0000EF1F0000}"/>
    <cellStyle name="Normal 5 2 3 4 2 2 2 3 3" xfId="8175" xr:uid="{00000000-0005-0000-0000-0000F01F0000}"/>
    <cellStyle name="Normal 5 2 3 4 2 2 2 4" xfId="8176" xr:uid="{00000000-0005-0000-0000-0000F11F0000}"/>
    <cellStyle name="Normal 5 2 3 4 2 2 2 4 2" xfId="8177" xr:uid="{00000000-0005-0000-0000-0000F21F0000}"/>
    <cellStyle name="Normal 5 2 3 4 2 2 2 5" xfId="8178" xr:uid="{00000000-0005-0000-0000-0000F31F0000}"/>
    <cellStyle name="Normal 5 2 3 4 2 2 3" xfId="8179" xr:uid="{00000000-0005-0000-0000-0000F41F0000}"/>
    <cellStyle name="Normal 5 2 3 4 2 2 3 2" xfId="8180" xr:uid="{00000000-0005-0000-0000-0000F51F0000}"/>
    <cellStyle name="Normal 5 2 3 4 2 2 3 2 2" xfId="8181" xr:uid="{00000000-0005-0000-0000-0000F61F0000}"/>
    <cellStyle name="Normal 5 2 3 4 2 2 3 2 2 2" xfId="8182" xr:uid="{00000000-0005-0000-0000-0000F71F0000}"/>
    <cellStyle name="Normal 5 2 3 4 2 2 3 2 3" xfId="8183" xr:uid="{00000000-0005-0000-0000-0000F81F0000}"/>
    <cellStyle name="Normal 5 2 3 4 2 2 3 3" xfId="8184" xr:uid="{00000000-0005-0000-0000-0000F91F0000}"/>
    <cellStyle name="Normal 5 2 3 4 2 2 3 3 2" xfId="8185" xr:uid="{00000000-0005-0000-0000-0000FA1F0000}"/>
    <cellStyle name="Normal 5 2 3 4 2 2 3 4" xfId="8186" xr:uid="{00000000-0005-0000-0000-0000FB1F0000}"/>
    <cellStyle name="Normal 5 2 3 4 2 2 4" xfId="8187" xr:uid="{00000000-0005-0000-0000-0000FC1F0000}"/>
    <cellStyle name="Normal 5 2 3 4 2 2 4 2" xfId="8188" xr:uid="{00000000-0005-0000-0000-0000FD1F0000}"/>
    <cellStyle name="Normal 5 2 3 4 2 2 4 2 2" xfId="8189" xr:uid="{00000000-0005-0000-0000-0000FE1F0000}"/>
    <cellStyle name="Normal 5 2 3 4 2 2 4 3" xfId="8190" xr:uid="{00000000-0005-0000-0000-0000FF1F0000}"/>
    <cellStyle name="Normal 5 2 3 4 2 2 5" xfId="8191" xr:uid="{00000000-0005-0000-0000-000000200000}"/>
    <cellStyle name="Normal 5 2 3 4 2 2 5 2" xfId="8192" xr:uid="{00000000-0005-0000-0000-000001200000}"/>
    <cellStyle name="Normal 5 2 3 4 2 2 6" xfId="8193" xr:uid="{00000000-0005-0000-0000-000002200000}"/>
    <cellStyle name="Normal 5 2 3 4 2 3" xfId="8194" xr:uid="{00000000-0005-0000-0000-000003200000}"/>
    <cellStyle name="Normal 5 2 3 4 2 3 2" xfId="8195" xr:uid="{00000000-0005-0000-0000-000004200000}"/>
    <cellStyle name="Normal 5 2 3 4 2 3 2 2" xfId="8196" xr:uid="{00000000-0005-0000-0000-000005200000}"/>
    <cellStyle name="Normal 5 2 3 4 2 3 2 2 2" xfId="8197" xr:uid="{00000000-0005-0000-0000-000006200000}"/>
    <cellStyle name="Normal 5 2 3 4 2 3 2 2 2 2" xfId="8198" xr:uid="{00000000-0005-0000-0000-000007200000}"/>
    <cellStyle name="Normal 5 2 3 4 2 3 2 2 3" xfId="8199" xr:uid="{00000000-0005-0000-0000-000008200000}"/>
    <cellStyle name="Normal 5 2 3 4 2 3 2 3" xfId="8200" xr:uid="{00000000-0005-0000-0000-000009200000}"/>
    <cellStyle name="Normal 5 2 3 4 2 3 2 3 2" xfId="8201" xr:uid="{00000000-0005-0000-0000-00000A200000}"/>
    <cellStyle name="Normal 5 2 3 4 2 3 2 4" xfId="8202" xr:uid="{00000000-0005-0000-0000-00000B200000}"/>
    <cellStyle name="Normal 5 2 3 4 2 3 3" xfId="8203" xr:uid="{00000000-0005-0000-0000-00000C200000}"/>
    <cellStyle name="Normal 5 2 3 4 2 3 3 2" xfId="8204" xr:uid="{00000000-0005-0000-0000-00000D200000}"/>
    <cellStyle name="Normal 5 2 3 4 2 3 3 2 2" xfId="8205" xr:uid="{00000000-0005-0000-0000-00000E200000}"/>
    <cellStyle name="Normal 5 2 3 4 2 3 3 3" xfId="8206" xr:uid="{00000000-0005-0000-0000-00000F200000}"/>
    <cellStyle name="Normal 5 2 3 4 2 3 4" xfId="8207" xr:uid="{00000000-0005-0000-0000-000010200000}"/>
    <cellStyle name="Normal 5 2 3 4 2 3 4 2" xfId="8208" xr:uid="{00000000-0005-0000-0000-000011200000}"/>
    <cellStyle name="Normal 5 2 3 4 2 3 5" xfId="8209" xr:uid="{00000000-0005-0000-0000-000012200000}"/>
    <cellStyle name="Normal 5 2 3 4 2 4" xfId="8210" xr:uid="{00000000-0005-0000-0000-000013200000}"/>
    <cellStyle name="Normal 5 2 3 4 2 4 2" xfId="8211" xr:uid="{00000000-0005-0000-0000-000014200000}"/>
    <cellStyle name="Normal 5 2 3 4 2 4 2 2" xfId="8212" xr:uid="{00000000-0005-0000-0000-000015200000}"/>
    <cellStyle name="Normal 5 2 3 4 2 4 2 2 2" xfId="8213" xr:uid="{00000000-0005-0000-0000-000016200000}"/>
    <cellStyle name="Normal 5 2 3 4 2 4 2 3" xfId="8214" xr:uid="{00000000-0005-0000-0000-000017200000}"/>
    <cellStyle name="Normal 5 2 3 4 2 4 3" xfId="8215" xr:uid="{00000000-0005-0000-0000-000018200000}"/>
    <cellStyle name="Normal 5 2 3 4 2 4 3 2" xfId="8216" xr:uid="{00000000-0005-0000-0000-000019200000}"/>
    <cellStyle name="Normal 5 2 3 4 2 4 4" xfId="8217" xr:uid="{00000000-0005-0000-0000-00001A200000}"/>
    <cellStyle name="Normal 5 2 3 4 2 5" xfId="8218" xr:uid="{00000000-0005-0000-0000-00001B200000}"/>
    <cellStyle name="Normal 5 2 3 4 2 5 2" xfId="8219" xr:uid="{00000000-0005-0000-0000-00001C200000}"/>
    <cellStyle name="Normal 5 2 3 4 2 5 2 2" xfId="8220" xr:uid="{00000000-0005-0000-0000-00001D200000}"/>
    <cellStyle name="Normal 5 2 3 4 2 5 3" xfId="8221" xr:uid="{00000000-0005-0000-0000-00001E200000}"/>
    <cellStyle name="Normal 5 2 3 4 2 6" xfId="8222" xr:uid="{00000000-0005-0000-0000-00001F200000}"/>
    <cellStyle name="Normal 5 2 3 4 2 6 2" xfId="8223" xr:uid="{00000000-0005-0000-0000-000020200000}"/>
    <cellStyle name="Normal 5 2 3 4 2 7" xfId="8224" xr:uid="{00000000-0005-0000-0000-000021200000}"/>
    <cellStyle name="Normal 5 2 3 4 3" xfId="8225" xr:uid="{00000000-0005-0000-0000-000022200000}"/>
    <cellStyle name="Normal 5 2 3 4 3 2" xfId="8226" xr:uid="{00000000-0005-0000-0000-000023200000}"/>
    <cellStyle name="Normal 5 2 3 4 3 2 2" xfId="8227" xr:uid="{00000000-0005-0000-0000-000024200000}"/>
    <cellStyle name="Normal 5 2 3 4 3 2 2 2" xfId="8228" xr:uid="{00000000-0005-0000-0000-000025200000}"/>
    <cellStyle name="Normal 5 2 3 4 3 2 2 2 2" xfId="8229" xr:uid="{00000000-0005-0000-0000-000026200000}"/>
    <cellStyle name="Normal 5 2 3 4 3 2 2 2 2 2" xfId="8230" xr:uid="{00000000-0005-0000-0000-000027200000}"/>
    <cellStyle name="Normal 5 2 3 4 3 2 2 2 3" xfId="8231" xr:uid="{00000000-0005-0000-0000-000028200000}"/>
    <cellStyle name="Normal 5 2 3 4 3 2 2 3" xfId="8232" xr:uid="{00000000-0005-0000-0000-000029200000}"/>
    <cellStyle name="Normal 5 2 3 4 3 2 2 3 2" xfId="8233" xr:uid="{00000000-0005-0000-0000-00002A200000}"/>
    <cellStyle name="Normal 5 2 3 4 3 2 2 4" xfId="8234" xr:uid="{00000000-0005-0000-0000-00002B200000}"/>
    <cellStyle name="Normal 5 2 3 4 3 2 3" xfId="8235" xr:uid="{00000000-0005-0000-0000-00002C200000}"/>
    <cellStyle name="Normal 5 2 3 4 3 2 3 2" xfId="8236" xr:uid="{00000000-0005-0000-0000-00002D200000}"/>
    <cellStyle name="Normal 5 2 3 4 3 2 3 2 2" xfId="8237" xr:uid="{00000000-0005-0000-0000-00002E200000}"/>
    <cellStyle name="Normal 5 2 3 4 3 2 3 3" xfId="8238" xr:uid="{00000000-0005-0000-0000-00002F200000}"/>
    <cellStyle name="Normal 5 2 3 4 3 2 4" xfId="8239" xr:uid="{00000000-0005-0000-0000-000030200000}"/>
    <cellStyle name="Normal 5 2 3 4 3 2 4 2" xfId="8240" xr:uid="{00000000-0005-0000-0000-000031200000}"/>
    <cellStyle name="Normal 5 2 3 4 3 2 5" xfId="8241" xr:uid="{00000000-0005-0000-0000-000032200000}"/>
    <cellStyle name="Normal 5 2 3 4 3 3" xfId="8242" xr:uid="{00000000-0005-0000-0000-000033200000}"/>
    <cellStyle name="Normal 5 2 3 4 3 3 2" xfId="8243" xr:uid="{00000000-0005-0000-0000-000034200000}"/>
    <cellStyle name="Normal 5 2 3 4 3 3 2 2" xfId="8244" xr:uid="{00000000-0005-0000-0000-000035200000}"/>
    <cellStyle name="Normal 5 2 3 4 3 3 2 2 2" xfId="8245" xr:uid="{00000000-0005-0000-0000-000036200000}"/>
    <cellStyle name="Normal 5 2 3 4 3 3 2 3" xfId="8246" xr:uid="{00000000-0005-0000-0000-000037200000}"/>
    <cellStyle name="Normal 5 2 3 4 3 3 3" xfId="8247" xr:uid="{00000000-0005-0000-0000-000038200000}"/>
    <cellStyle name="Normal 5 2 3 4 3 3 3 2" xfId="8248" xr:uid="{00000000-0005-0000-0000-000039200000}"/>
    <cellStyle name="Normal 5 2 3 4 3 3 4" xfId="8249" xr:uid="{00000000-0005-0000-0000-00003A200000}"/>
    <cellStyle name="Normal 5 2 3 4 3 4" xfId="8250" xr:uid="{00000000-0005-0000-0000-00003B200000}"/>
    <cellStyle name="Normal 5 2 3 4 3 4 2" xfId="8251" xr:uid="{00000000-0005-0000-0000-00003C200000}"/>
    <cellStyle name="Normal 5 2 3 4 3 4 2 2" xfId="8252" xr:uid="{00000000-0005-0000-0000-00003D200000}"/>
    <cellStyle name="Normal 5 2 3 4 3 4 3" xfId="8253" xr:uid="{00000000-0005-0000-0000-00003E200000}"/>
    <cellStyle name="Normal 5 2 3 4 3 5" xfId="8254" xr:uid="{00000000-0005-0000-0000-00003F200000}"/>
    <cellStyle name="Normal 5 2 3 4 3 5 2" xfId="8255" xr:uid="{00000000-0005-0000-0000-000040200000}"/>
    <cellStyle name="Normal 5 2 3 4 3 6" xfId="8256" xr:uid="{00000000-0005-0000-0000-000041200000}"/>
    <cellStyle name="Normal 5 2 3 4 4" xfId="8257" xr:uid="{00000000-0005-0000-0000-000042200000}"/>
    <cellStyle name="Normal 5 2 3 4 4 2" xfId="8258" xr:uid="{00000000-0005-0000-0000-000043200000}"/>
    <cellStyle name="Normal 5 2 3 4 4 2 2" xfId="8259" xr:uid="{00000000-0005-0000-0000-000044200000}"/>
    <cellStyle name="Normal 5 2 3 4 4 2 2 2" xfId="8260" xr:uid="{00000000-0005-0000-0000-000045200000}"/>
    <cellStyle name="Normal 5 2 3 4 4 2 2 2 2" xfId="8261" xr:uid="{00000000-0005-0000-0000-000046200000}"/>
    <cellStyle name="Normal 5 2 3 4 4 2 2 3" xfId="8262" xr:uid="{00000000-0005-0000-0000-000047200000}"/>
    <cellStyle name="Normal 5 2 3 4 4 2 3" xfId="8263" xr:uid="{00000000-0005-0000-0000-000048200000}"/>
    <cellStyle name="Normal 5 2 3 4 4 2 3 2" xfId="8264" xr:uid="{00000000-0005-0000-0000-000049200000}"/>
    <cellStyle name="Normal 5 2 3 4 4 2 4" xfId="8265" xr:uid="{00000000-0005-0000-0000-00004A200000}"/>
    <cellStyle name="Normal 5 2 3 4 4 3" xfId="8266" xr:uid="{00000000-0005-0000-0000-00004B200000}"/>
    <cellStyle name="Normal 5 2 3 4 4 3 2" xfId="8267" xr:uid="{00000000-0005-0000-0000-00004C200000}"/>
    <cellStyle name="Normal 5 2 3 4 4 3 2 2" xfId="8268" xr:uid="{00000000-0005-0000-0000-00004D200000}"/>
    <cellStyle name="Normal 5 2 3 4 4 3 3" xfId="8269" xr:uid="{00000000-0005-0000-0000-00004E200000}"/>
    <cellStyle name="Normal 5 2 3 4 4 4" xfId="8270" xr:uid="{00000000-0005-0000-0000-00004F200000}"/>
    <cellStyle name="Normal 5 2 3 4 4 4 2" xfId="8271" xr:uid="{00000000-0005-0000-0000-000050200000}"/>
    <cellStyle name="Normal 5 2 3 4 4 5" xfId="8272" xr:uid="{00000000-0005-0000-0000-000051200000}"/>
    <cellStyle name="Normal 5 2 3 4 5" xfId="8273" xr:uid="{00000000-0005-0000-0000-000052200000}"/>
    <cellStyle name="Normal 5 2 3 4 5 2" xfId="8274" xr:uid="{00000000-0005-0000-0000-000053200000}"/>
    <cellStyle name="Normal 5 2 3 4 5 2 2" xfId="8275" xr:uid="{00000000-0005-0000-0000-000054200000}"/>
    <cellStyle name="Normal 5 2 3 4 5 2 2 2" xfId="8276" xr:uid="{00000000-0005-0000-0000-000055200000}"/>
    <cellStyle name="Normal 5 2 3 4 5 2 3" xfId="8277" xr:uid="{00000000-0005-0000-0000-000056200000}"/>
    <cellStyle name="Normal 5 2 3 4 5 3" xfId="8278" xr:uid="{00000000-0005-0000-0000-000057200000}"/>
    <cellStyle name="Normal 5 2 3 4 5 3 2" xfId="8279" xr:uid="{00000000-0005-0000-0000-000058200000}"/>
    <cellStyle name="Normal 5 2 3 4 5 4" xfId="8280" xr:uid="{00000000-0005-0000-0000-000059200000}"/>
    <cellStyle name="Normal 5 2 3 4 6" xfId="8281" xr:uid="{00000000-0005-0000-0000-00005A200000}"/>
    <cellStyle name="Normal 5 2 3 4 6 2" xfId="8282" xr:uid="{00000000-0005-0000-0000-00005B200000}"/>
    <cellStyle name="Normal 5 2 3 4 6 2 2" xfId="8283" xr:uid="{00000000-0005-0000-0000-00005C200000}"/>
    <cellStyle name="Normal 5 2 3 4 6 3" xfId="8284" xr:uid="{00000000-0005-0000-0000-00005D200000}"/>
    <cellStyle name="Normal 5 2 3 4 7" xfId="8285" xr:uid="{00000000-0005-0000-0000-00005E200000}"/>
    <cellStyle name="Normal 5 2 3 4 7 2" xfId="8286" xr:uid="{00000000-0005-0000-0000-00005F200000}"/>
    <cellStyle name="Normal 5 2 3 4 8" xfId="8287" xr:uid="{00000000-0005-0000-0000-000060200000}"/>
    <cellStyle name="Normal 5 2 3 5" xfId="8288" xr:uid="{00000000-0005-0000-0000-000061200000}"/>
    <cellStyle name="Normal 5 2 3 5 2" xfId="8289" xr:uid="{00000000-0005-0000-0000-000062200000}"/>
    <cellStyle name="Normal 5 2 3 5 2 2" xfId="8290" xr:uid="{00000000-0005-0000-0000-000063200000}"/>
    <cellStyle name="Normal 5 2 3 5 2 2 2" xfId="8291" xr:uid="{00000000-0005-0000-0000-000064200000}"/>
    <cellStyle name="Normal 5 2 3 5 2 2 2 2" xfId="8292" xr:uid="{00000000-0005-0000-0000-000065200000}"/>
    <cellStyle name="Normal 5 2 3 5 2 2 2 2 2" xfId="8293" xr:uid="{00000000-0005-0000-0000-000066200000}"/>
    <cellStyle name="Normal 5 2 3 5 2 2 2 2 2 2" xfId="8294" xr:uid="{00000000-0005-0000-0000-000067200000}"/>
    <cellStyle name="Normal 5 2 3 5 2 2 2 2 3" xfId="8295" xr:uid="{00000000-0005-0000-0000-000068200000}"/>
    <cellStyle name="Normal 5 2 3 5 2 2 2 3" xfId="8296" xr:uid="{00000000-0005-0000-0000-000069200000}"/>
    <cellStyle name="Normal 5 2 3 5 2 2 2 3 2" xfId="8297" xr:uid="{00000000-0005-0000-0000-00006A200000}"/>
    <cellStyle name="Normal 5 2 3 5 2 2 2 4" xfId="8298" xr:uid="{00000000-0005-0000-0000-00006B200000}"/>
    <cellStyle name="Normal 5 2 3 5 2 2 3" xfId="8299" xr:uid="{00000000-0005-0000-0000-00006C200000}"/>
    <cellStyle name="Normal 5 2 3 5 2 2 3 2" xfId="8300" xr:uid="{00000000-0005-0000-0000-00006D200000}"/>
    <cellStyle name="Normal 5 2 3 5 2 2 3 2 2" xfId="8301" xr:uid="{00000000-0005-0000-0000-00006E200000}"/>
    <cellStyle name="Normal 5 2 3 5 2 2 3 3" xfId="8302" xr:uid="{00000000-0005-0000-0000-00006F200000}"/>
    <cellStyle name="Normal 5 2 3 5 2 2 4" xfId="8303" xr:uid="{00000000-0005-0000-0000-000070200000}"/>
    <cellStyle name="Normal 5 2 3 5 2 2 4 2" xfId="8304" xr:uid="{00000000-0005-0000-0000-000071200000}"/>
    <cellStyle name="Normal 5 2 3 5 2 2 5" xfId="8305" xr:uid="{00000000-0005-0000-0000-000072200000}"/>
    <cellStyle name="Normal 5 2 3 5 2 3" xfId="8306" xr:uid="{00000000-0005-0000-0000-000073200000}"/>
    <cellStyle name="Normal 5 2 3 5 2 3 2" xfId="8307" xr:uid="{00000000-0005-0000-0000-000074200000}"/>
    <cellStyle name="Normal 5 2 3 5 2 3 2 2" xfId="8308" xr:uid="{00000000-0005-0000-0000-000075200000}"/>
    <cellStyle name="Normal 5 2 3 5 2 3 2 2 2" xfId="8309" xr:uid="{00000000-0005-0000-0000-000076200000}"/>
    <cellStyle name="Normal 5 2 3 5 2 3 2 3" xfId="8310" xr:uid="{00000000-0005-0000-0000-000077200000}"/>
    <cellStyle name="Normal 5 2 3 5 2 3 3" xfId="8311" xr:uid="{00000000-0005-0000-0000-000078200000}"/>
    <cellStyle name="Normal 5 2 3 5 2 3 3 2" xfId="8312" xr:uid="{00000000-0005-0000-0000-000079200000}"/>
    <cellStyle name="Normal 5 2 3 5 2 3 4" xfId="8313" xr:uid="{00000000-0005-0000-0000-00007A200000}"/>
    <cellStyle name="Normal 5 2 3 5 2 4" xfId="8314" xr:uid="{00000000-0005-0000-0000-00007B200000}"/>
    <cellStyle name="Normal 5 2 3 5 2 4 2" xfId="8315" xr:uid="{00000000-0005-0000-0000-00007C200000}"/>
    <cellStyle name="Normal 5 2 3 5 2 4 2 2" xfId="8316" xr:uid="{00000000-0005-0000-0000-00007D200000}"/>
    <cellStyle name="Normal 5 2 3 5 2 4 3" xfId="8317" xr:uid="{00000000-0005-0000-0000-00007E200000}"/>
    <cellStyle name="Normal 5 2 3 5 2 5" xfId="8318" xr:uid="{00000000-0005-0000-0000-00007F200000}"/>
    <cellStyle name="Normal 5 2 3 5 2 5 2" xfId="8319" xr:uid="{00000000-0005-0000-0000-000080200000}"/>
    <cellStyle name="Normal 5 2 3 5 2 6" xfId="8320" xr:uid="{00000000-0005-0000-0000-000081200000}"/>
    <cellStyle name="Normal 5 2 3 5 3" xfId="8321" xr:uid="{00000000-0005-0000-0000-000082200000}"/>
    <cellStyle name="Normal 5 2 3 5 3 2" xfId="8322" xr:uid="{00000000-0005-0000-0000-000083200000}"/>
    <cellStyle name="Normal 5 2 3 5 3 2 2" xfId="8323" xr:uid="{00000000-0005-0000-0000-000084200000}"/>
    <cellStyle name="Normal 5 2 3 5 3 2 2 2" xfId="8324" xr:uid="{00000000-0005-0000-0000-000085200000}"/>
    <cellStyle name="Normal 5 2 3 5 3 2 2 2 2" xfId="8325" xr:uid="{00000000-0005-0000-0000-000086200000}"/>
    <cellStyle name="Normal 5 2 3 5 3 2 2 3" xfId="8326" xr:uid="{00000000-0005-0000-0000-000087200000}"/>
    <cellStyle name="Normal 5 2 3 5 3 2 3" xfId="8327" xr:uid="{00000000-0005-0000-0000-000088200000}"/>
    <cellStyle name="Normal 5 2 3 5 3 2 3 2" xfId="8328" xr:uid="{00000000-0005-0000-0000-000089200000}"/>
    <cellStyle name="Normal 5 2 3 5 3 2 4" xfId="8329" xr:uid="{00000000-0005-0000-0000-00008A200000}"/>
    <cellStyle name="Normal 5 2 3 5 3 3" xfId="8330" xr:uid="{00000000-0005-0000-0000-00008B200000}"/>
    <cellStyle name="Normal 5 2 3 5 3 3 2" xfId="8331" xr:uid="{00000000-0005-0000-0000-00008C200000}"/>
    <cellStyle name="Normal 5 2 3 5 3 3 2 2" xfId="8332" xr:uid="{00000000-0005-0000-0000-00008D200000}"/>
    <cellStyle name="Normal 5 2 3 5 3 3 3" xfId="8333" xr:uid="{00000000-0005-0000-0000-00008E200000}"/>
    <cellStyle name="Normal 5 2 3 5 3 4" xfId="8334" xr:uid="{00000000-0005-0000-0000-00008F200000}"/>
    <cellStyle name="Normal 5 2 3 5 3 4 2" xfId="8335" xr:uid="{00000000-0005-0000-0000-000090200000}"/>
    <cellStyle name="Normal 5 2 3 5 3 5" xfId="8336" xr:uid="{00000000-0005-0000-0000-000091200000}"/>
    <cellStyle name="Normal 5 2 3 5 4" xfId="8337" xr:uid="{00000000-0005-0000-0000-000092200000}"/>
    <cellStyle name="Normal 5 2 3 5 4 2" xfId="8338" xr:uid="{00000000-0005-0000-0000-000093200000}"/>
    <cellStyle name="Normal 5 2 3 5 4 2 2" xfId="8339" xr:uid="{00000000-0005-0000-0000-000094200000}"/>
    <cellStyle name="Normal 5 2 3 5 4 2 2 2" xfId="8340" xr:uid="{00000000-0005-0000-0000-000095200000}"/>
    <cellStyle name="Normal 5 2 3 5 4 2 3" xfId="8341" xr:uid="{00000000-0005-0000-0000-000096200000}"/>
    <cellStyle name="Normal 5 2 3 5 4 3" xfId="8342" xr:uid="{00000000-0005-0000-0000-000097200000}"/>
    <cellStyle name="Normal 5 2 3 5 4 3 2" xfId="8343" xr:uid="{00000000-0005-0000-0000-000098200000}"/>
    <cellStyle name="Normal 5 2 3 5 4 4" xfId="8344" xr:uid="{00000000-0005-0000-0000-000099200000}"/>
    <cellStyle name="Normal 5 2 3 5 5" xfId="8345" xr:uid="{00000000-0005-0000-0000-00009A200000}"/>
    <cellStyle name="Normal 5 2 3 5 5 2" xfId="8346" xr:uid="{00000000-0005-0000-0000-00009B200000}"/>
    <cellStyle name="Normal 5 2 3 5 5 2 2" xfId="8347" xr:uid="{00000000-0005-0000-0000-00009C200000}"/>
    <cellStyle name="Normal 5 2 3 5 5 3" xfId="8348" xr:uid="{00000000-0005-0000-0000-00009D200000}"/>
    <cellStyle name="Normal 5 2 3 5 6" xfId="8349" xr:uid="{00000000-0005-0000-0000-00009E200000}"/>
    <cellStyle name="Normal 5 2 3 5 6 2" xfId="8350" xr:uid="{00000000-0005-0000-0000-00009F200000}"/>
    <cellStyle name="Normal 5 2 3 5 7" xfId="8351" xr:uid="{00000000-0005-0000-0000-0000A0200000}"/>
    <cellStyle name="Normal 5 2 3 6" xfId="8352" xr:uid="{00000000-0005-0000-0000-0000A1200000}"/>
    <cellStyle name="Normal 5 2 3 6 2" xfId="8353" xr:uid="{00000000-0005-0000-0000-0000A2200000}"/>
    <cellStyle name="Normal 5 2 3 6 2 2" xfId="8354" xr:uid="{00000000-0005-0000-0000-0000A3200000}"/>
    <cellStyle name="Normal 5 2 3 6 2 2 2" xfId="8355" xr:uid="{00000000-0005-0000-0000-0000A4200000}"/>
    <cellStyle name="Normal 5 2 3 6 2 2 2 2" xfId="8356" xr:uid="{00000000-0005-0000-0000-0000A5200000}"/>
    <cellStyle name="Normal 5 2 3 6 2 2 2 2 2" xfId="8357" xr:uid="{00000000-0005-0000-0000-0000A6200000}"/>
    <cellStyle name="Normal 5 2 3 6 2 2 2 3" xfId="8358" xr:uid="{00000000-0005-0000-0000-0000A7200000}"/>
    <cellStyle name="Normal 5 2 3 6 2 2 3" xfId="8359" xr:uid="{00000000-0005-0000-0000-0000A8200000}"/>
    <cellStyle name="Normal 5 2 3 6 2 2 3 2" xfId="8360" xr:uid="{00000000-0005-0000-0000-0000A9200000}"/>
    <cellStyle name="Normal 5 2 3 6 2 2 4" xfId="8361" xr:uid="{00000000-0005-0000-0000-0000AA200000}"/>
    <cellStyle name="Normal 5 2 3 6 2 3" xfId="8362" xr:uid="{00000000-0005-0000-0000-0000AB200000}"/>
    <cellStyle name="Normal 5 2 3 6 2 3 2" xfId="8363" xr:uid="{00000000-0005-0000-0000-0000AC200000}"/>
    <cellStyle name="Normal 5 2 3 6 2 3 2 2" xfId="8364" xr:uid="{00000000-0005-0000-0000-0000AD200000}"/>
    <cellStyle name="Normal 5 2 3 6 2 3 3" xfId="8365" xr:uid="{00000000-0005-0000-0000-0000AE200000}"/>
    <cellStyle name="Normal 5 2 3 6 2 4" xfId="8366" xr:uid="{00000000-0005-0000-0000-0000AF200000}"/>
    <cellStyle name="Normal 5 2 3 6 2 4 2" xfId="8367" xr:uid="{00000000-0005-0000-0000-0000B0200000}"/>
    <cellStyle name="Normal 5 2 3 6 2 5" xfId="8368" xr:uid="{00000000-0005-0000-0000-0000B1200000}"/>
    <cellStyle name="Normal 5 2 3 6 3" xfId="8369" xr:uid="{00000000-0005-0000-0000-0000B2200000}"/>
    <cellStyle name="Normal 5 2 3 6 3 2" xfId="8370" xr:uid="{00000000-0005-0000-0000-0000B3200000}"/>
    <cellStyle name="Normal 5 2 3 6 3 2 2" xfId="8371" xr:uid="{00000000-0005-0000-0000-0000B4200000}"/>
    <cellStyle name="Normal 5 2 3 6 3 2 2 2" xfId="8372" xr:uid="{00000000-0005-0000-0000-0000B5200000}"/>
    <cellStyle name="Normal 5 2 3 6 3 2 3" xfId="8373" xr:uid="{00000000-0005-0000-0000-0000B6200000}"/>
    <cellStyle name="Normal 5 2 3 6 3 3" xfId="8374" xr:uid="{00000000-0005-0000-0000-0000B7200000}"/>
    <cellStyle name="Normal 5 2 3 6 3 3 2" xfId="8375" xr:uid="{00000000-0005-0000-0000-0000B8200000}"/>
    <cellStyle name="Normal 5 2 3 6 3 4" xfId="8376" xr:uid="{00000000-0005-0000-0000-0000B9200000}"/>
    <cellStyle name="Normal 5 2 3 6 4" xfId="8377" xr:uid="{00000000-0005-0000-0000-0000BA200000}"/>
    <cellStyle name="Normal 5 2 3 6 4 2" xfId="8378" xr:uid="{00000000-0005-0000-0000-0000BB200000}"/>
    <cellStyle name="Normal 5 2 3 6 4 2 2" xfId="8379" xr:uid="{00000000-0005-0000-0000-0000BC200000}"/>
    <cellStyle name="Normal 5 2 3 6 4 3" xfId="8380" xr:uid="{00000000-0005-0000-0000-0000BD200000}"/>
    <cellStyle name="Normal 5 2 3 6 5" xfId="8381" xr:uid="{00000000-0005-0000-0000-0000BE200000}"/>
    <cellStyle name="Normal 5 2 3 6 5 2" xfId="8382" xr:uid="{00000000-0005-0000-0000-0000BF200000}"/>
    <cellStyle name="Normal 5 2 3 6 6" xfId="8383" xr:uid="{00000000-0005-0000-0000-0000C0200000}"/>
    <cellStyle name="Normal 5 2 3 7" xfId="8384" xr:uid="{00000000-0005-0000-0000-0000C1200000}"/>
    <cellStyle name="Normal 5 2 3 7 2" xfId="8385" xr:uid="{00000000-0005-0000-0000-0000C2200000}"/>
    <cellStyle name="Normal 5 2 3 7 2 2" xfId="8386" xr:uid="{00000000-0005-0000-0000-0000C3200000}"/>
    <cellStyle name="Normal 5 2 3 7 2 2 2" xfId="8387" xr:uid="{00000000-0005-0000-0000-0000C4200000}"/>
    <cellStyle name="Normal 5 2 3 7 2 2 2 2" xfId="8388" xr:uid="{00000000-0005-0000-0000-0000C5200000}"/>
    <cellStyle name="Normal 5 2 3 7 2 2 3" xfId="8389" xr:uid="{00000000-0005-0000-0000-0000C6200000}"/>
    <cellStyle name="Normal 5 2 3 7 2 3" xfId="8390" xr:uid="{00000000-0005-0000-0000-0000C7200000}"/>
    <cellStyle name="Normal 5 2 3 7 2 3 2" xfId="8391" xr:uid="{00000000-0005-0000-0000-0000C8200000}"/>
    <cellStyle name="Normal 5 2 3 7 2 4" xfId="8392" xr:uid="{00000000-0005-0000-0000-0000C9200000}"/>
    <cellStyle name="Normal 5 2 3 7 3" xfId="8393" xr:uid="{00000000-0005-0000-0000-0000CA200000}"/>
    <cellStyle name="Normal 5 2 3 7 3 2" xfId="8394" xr:uid="{00000000-0005-0000-0000-0000CB200000}"/>
    <cellStyle name="Normal 5 2 3 7 3 2 2" xfId="8395" xr:uid="{00000000-0005-0000-0000-0000CC200000}"/>
    <cellStyle name="Normal 5 2 3 7 3 3" xfId="8396" xr:uid="{00000000-0005-0000-0000-0000CD200000}"/>
    <cellStyle name="Normal 5 2 3 7 4" xfId="8397" xr:uid="{00000000-0005-0000-0000-0000CE200000}"/>
    <cellStyle name="Normal 5 2 3 7 4 2" xfId="8398" xr:uid="{00000000-0005-0000-0000-0000CF200000}"/>
    <cellStyle name="Normal 5 2 3 7 5" xfId="8399" xr:uid="{00000000-0005-0000-0000-0000D0200000}"/>
    <cellStyle name="Normal 5 2 3 8" xfId="8400" xr:uid="{00000000-0005-0000-0000-0000D1200000}"/>
    <cellStyle name="Normal 5 2 3 8 2" xfId="8401" xr:uid="{00000000-0005-0000-0000-0000D2200000}"/>
    <cellStyle name="Normal 5 2 3 8 2 2" xfId="8402" xr:uid="{00000000-0005-0000-0000-0000D3200000}"/>
    <cellStyle name="Normal 5 2 3 8 2 2 2" xfId="8403" xr:uid="{00000000-0005-0000-0000-0000D4200000}"/>
    <cellStyle name="Normal 5 2 3 8 2 3" xfId="8404" xr:uid="{00000000-0005-0000-0000-0000D5200000}"/>
    <cellStyle name="Normal 5 2 3 8 3" xfId="8405" xr:uid="{00000000-0005-0000-0000-0000D6200000}"/>
    <cellStyle name="Normal 5 2 3 8 3 2" xfId="8406" xr:uid="{00000000-0005-0000-0000-0000D7200000}"/>
    <cellStyle name="Normal 5 2 3 8 4" xfId="8407" xr:uid="{00000000-0005-0000-0000-0000D8200000}"/>
    <cellStyle name="Normal 5 2 3 9" xfId="8408" xr:uid="{00000000-0005-0000-0000-0000D9200000}"/>
    <cellStyle name="Normal 5 2 3 9 2" xfId="8409" xr:uid="{00000000-0005-0000-0000-0000DA200000}"/>
    <cellStyle name="Normal 5 2 3 9 2 2" xfId="8410" xr:uid="{00000000-0005-0000-0000-0000DB200000}"/>
    <cellStyle name="Normal 5 2 3 9 3" xfId="8411" xr:uid="{00000000-0005-0000-0000-0000DC200000}"/>
    <cellStyle name="Normal 5 2 4" xfId="8412" xr:uid="{00000000-0005-0000-0000-0000DD200000}"/>
    <cellStyle name="Normal 5 2 4 10" xfId="8413" xr:uid="{00000000-0005-0000-0000-0000DE200000}"/>
    <cellStyle name="Normal 5 2 4 2" xfId="8414" xr:uid="{00000000-0005-0000-0000-0000DF200000}"/>
    <cellStyle name="Normal 5 2 4 2 2" xfId="8415" xr:uid="{00000000-0005-0000-0000-0000E0200000}"/>
    <cellStyle name="Normal 5 2 4 2 2 2" xfId="8416" xr:uid="{00000000-0005-0000-0000-0000E1200000}"/>
    <cellStyle name="Normal 5 2 4 2 2 2 2" xfId="8417" xr:uid="{00000000-0005-0000-0000-0000E2200000}"/>
    <cellStyle name="Normal 5 2 4 2 2 2 2 2" xfId="8418" xr:uid="{00000000-0005-0000-0000-0000E3200000}"/>
    <cellStyle name="Normal 5 2 4 2 2 2 2 2 2" xfId="8419" xr:uid="{00000000-0005-0000-0000-0000E4200000}"/>
    <cellStyle name="Normal 5 2 4 2 2 2 2 2 2 2" xfId="8420" xr:uid="{00000000-0005-0000-0000-0000E5200000}"/>
    <cellStyle name="Normal 5 2 4 2 2 2 2 2 2 2 2" xfId="8421" xr:uid="{00000000-0005-0000-0000-0000E6200000}"/>
    <cellStyle name="Normal 5 2 4 2 2 2 2 2 2 2 2 2" xfId="8422" xr:uid="{00000000-0005-0000-0000-0000E7200000}"/>
    <cellStyle name="Normal 5 2 4 2 2 2 2 2 2 2 3" xfId="8423" xr:uid="{00000000-0005-0000-0000-0000E8200000}"/>
    <cellStyle name="Normal 5 2 4 2 2 2 2 2 2 3" xfId="8424" xr:uid="{00000000-0005-0000-0000-0000E9200000}"/>
    <cellStyle name="Normal 5 2 4 2 2 2 2 2 2 3 2" xfId="8425" xr:uid="{00000000-0005-0000-0000-0000EA200000}"/>
    <cellStyle name="Normal 5 2 4 2 2 2 2 2 2 4" xfId="8426" xr:uid="{00000000-0005-0000-0000-0000EB200000}"/>
    <cellStyle name="Normal 5 2 4 2 2 2 2 2 3" xfId="8427" xr:uid="{00000000-0005-0000-0000-0000EC200000}"/>
    <cellStyle name="Normal 5 2 4 2 2 2 2 2 3 2" xfId="8428" xr:uid="{00000000-0005-0000-0000-0000ED200000}"/>
    <cellStyle name="Normal 5 2 4 2 2 2 2 2 3 2 2" xfId="8429" xr:uid="{00000000-0005-0000-0000-0000EE200000}"/>
    <cellStyle name="Normal 5 2 4 2 2 2 2 2 3 3" xfId="8430" xr:uid="{00000000-0005-0000-0000-0000EF200000}"/>
    <cellStyle name="Normal 5 2 4 2 2 2 2 2 4" xfId="8431" xr:uid="{00000000-0005-0000-0000-0000F0200000}"/>
    <cellStyle name="Normal 5 2 4 2 2 2 2 2 4 2" xfId="8432" xr:uid="{00000000-0005-0000-0000-0000F1200000}"/>
    <cellStyle name="Normal 5 2 4 2 2 2 2 2 5" xfId="8433" xr:uid="{00000000-0005-0000-0000-0000F2200000}"/>
    <cellStyle name="Normal 5 2 4 2 2 2 2 3" xfId="8434" xr:uid="{00000000-0005-0000-0000-0000F3200000}"/>
    <cellStyle name="Normal 5 2 4 2 2 2 2 3 2" xfId="8435" xr:uid="{00000000-0005-0000-0000-0000F4200000}"/>
    <cellStyle name="Normal 5 2 4 2 2 2 2 3 2 2" xfId="8436" xr:uid="{00000000-0005-0000-0000-0000F5200000}"/>
    <cellStyle name="Normal 5 2 4 2 2 2 2 3 2 2 2" xfId="8437" xr:uid="{00000000-0005-0000-0000-0000F6200000}"/>
    <cellStyle name="Normal 5 2 4 2 2 2 2 3 2 3" xfId="8438" xr:uid="{00000000-0005-0000-0000-0000F7200000}"/>
    <cellStyle name="Normal 5 2 4 2 2 2 2 3 3" xfId="8439" xr:uid="{00000000-0005-0000-0000-0000F8200000}"/>
    <cellStyle name="Normal 5 2 4 2 2 2 2 3 3 2" xfId="8440" xr:uid="{00000000-0005-0000-0000-0000F9200000}"/>
    <cellStyle name="Normal 5 2 4 2 2 2 2 3 4" xfId="8441" xr:uid="{00000000-0005-0000-0000-0000FA200000}"/>
    <cellStyle name="Normal 5 2 4 2 2 2 2 4" xfId="8442" xr:uid="{00000000-0005-0000-0000-0000FB200000}"/>
    <cellStyle name="Normal 5 2 4 2 2 2 2 4 2" xfId="8443" xr:uid="{00000000-0005-0000-0000-0000FC200000}"/>
    <cellStyle name="Normal 5 2 4 2 2 2 2 4 2 2" xfId="8444" xr:uid="{00000000-0005-0000-0000-0000FD200000}"/>
    <cellStyle name="Normal 5 2 4 2 2 2 2 4 3" xfId="8445" xr:uid="{00000000-0005-0000-0000-0000FE200000}"/>
    <cellStyle name="Normal 5 2 4 2 2 2 2 5" xfId="8446" xr:uid="{00000000-0005-0000-0000-0000FF200000}"/>
    <cellStyle name="Normal 5 2 4 2 2 2 2 5 2" xfId="8447" xr:uid="{00000000-0005-0000-0000-000000210000}"/>
    <cellStyle name="Normal 5 2 4 2 2 2 2 6" xfId="8448" xr:uid="{00000000-0005-0000-0000-000001210000}"/>
    <cellStyle name="Normal 5 2 4 2 2 2 3" xfId="8449" xr:uid="{00000000-0005-0000-0000-000002210000}"/>
    <cellStyle name="Normal 5 2 4 2 2 2 3 2" xfId="8450" xr:uid="{00000000-0005-0000-0000-000003210000}"/>
    <cellStyle name="Normal 5 2 4 2 2 2 3 2 2" xfId="8451" xr:uid="{00000000-0005-0000-0000-000004210000}"/>
    <cellStyle name="Normal 5 2 4 2 2 2 3 2 2 2" xfId="8452" xr:uid="{00000000-0005-0000-0000-000005210000}"/>
    <cellStyle name="Normal 5 2 4 2 2 2 3 2 2 2 2" xfId="8453" xr:uid="{00000000-0005-0000-0000-000006210000}"/>
    <cellStyle name="Normal 5 2 4 2 2 2 3 2 2 3" xfId="8454" xr:uid="{00000000-0005-0000-0000-000007210000}"/>
    <cellStyle name="Normal 5 2 4 2 2 2 3 2 3" xfId="8455" xr:uid="{00000000-0005-0000-0000-000008210000}"/>
    <cellStyle name="Normal 5 2 4 2 2 2 3 2 3 2" xfId="8456" xr:uid="{00000000-0005-0000-0000-000009210000}"/>
    <cellStyle name="Normal 5 2 4 2 2 2 3 2 4" xfId="8457" xr:uid="{00000000-0005-0000-0000-00000A210000}"/>
    <cellStyle name="Normal 5 2 4 2 2 2 3 3" xfId="8458" xr:uid="{00000000-0005-0000-0000-00000B210000}"/>
    <cellStyle name="Normal 5 2 4 2 2 2 3 3 2" xfId="8459" xr:uid="{00000000-0005-0000-0000-00000C210000}"/>
    <cellStyle name="Normal 5 2 4 2 2 2 3 3 2 2" xfId="8460" xr:uid="{00000000-0005-0000-0000-00000D210000}"/>
    <cellStyle name="Normal 5 2 4 2 2 2 3 3 3" xfId="8461" xr:uid="{00000000-0005-0000-0000-00000E210000}"/>
    <cellStyle name="Normal 5 2 4 2 2 2 3 4" xfId="8462" xr:uid="{00000000-0005-0000-0000-00000F210000}"/>
    <cellStyle name="Normal 5 2 4 2 2 2 3 4 2" xfId="8463" xr:uid="{00000000-0005-0000-0000-000010210000}"/>
    <cellStyle name="Normal 5 2 4 2 2 2 3 5" xfId="8464" xr:uid="{00000000-0005-0000-0000-000011210000}"/>
    <cellStyle name="Normal 5 2 4 2 2 2 4" xfId="8465" xr:uid="{00000000-0005-0000-0000-000012210000}"/>
    <cellStyle name="Normal 5 2 4 2 2 2 4 2" xfId="8466" xr:uid="{00000000-0005-0000-0000-000013210000}"/>
    <cellStyle name="Normal 5 2 4 2 2 2 4 2 2" xfId="8467" xr:uid="{00000000-0005-0000-0000-000014210000}"/>
    <cellStyle name="Normal 5 2 4 2 2 2 4 2 2 2" xfId="8468" xr:uid="{00000000-0005-0000-0000-000015210000}"/>
    <cellStyle name="Normal 5 2 4 2 2 2 4 2 3" xfId="8469" xr:uid="{00000000-0005-0000-0000-000016210000}"/>
    <cellStyle name="Normal 5 2 4 2 2 2 4 3" xfId="8470" xr:uid="{00000000-0005-0000-0000-000017210000}"/>
    <cellStyle name="Normal 5 2 4 2 2 2 4 3 2" xfId="8471" xr:uid="{00000000-0005-0000-0000-000018210000}"/>
    <cellStyle name="Normal 5 2 4 2 2 2 4 4" xfId="8472" xr:uid="{00000000-0005-0000-0000-000019210000}"/>
    <cellStyle name="Normal 5 2 4 2 2 2 5" xfId="8473" xr:uid="{00000000-0005-0000-0000-00001A210000}"/>
    <cellStyle name="Normal 5 2 4 2 2 2 5 2" xfId="8474" xr:uid="{00000000-0005-0000-0000-00001B210000}"/>
    <cellStyle name="Normal 5 2 4 2 2 2 5 2 2" xfId="8475" xr:uid="{00000000-0005-0000-0000-00001C210000}"/>
    <cellStyle name="Normal 5 2 4 2 2 2 5 3" xfId="8476" xr:uid="{00000000-0005-0000-0000-00001D210000}"/>
    <cellStyle name="Normal 5 2 4 2 2 2 6" xfId="8477" xr:uid="{00000000-0005-0000-0000-00001E210000}"/>
    <cellStyle name="Normal 5 2 4 2 2 2 6 2" xfId="8478" xr:uid="{00000000-0005-0000-0000-00001F210000}"/>
    <cellStyle name="Normal 5 2 4 2 2 2 7" xfId="8479" xr:uid="{00000000-0005-0000-0000-000020210000}"/>
    <cellStyle name="Normal 5 2 4 2 2 3" xfId="8480" xr:uid="{00000000-0005-0000-0000-000021210000}"/>
    <cellStyle name="Normal 5 2 4 2 2 3 2" xfId="8481" xr:uid="{00000000-0005-0000-0000-000022210000}"/>
    <cellStyle name="Normal 5 2 4 2 2 3 2 2" xfId="8482" xr:uid="{00000000-0005-0000-0000-000023210000}"/>
    <cellStyle name="Normal 5 2 4 2 2 3 2 2 2" xfId="8483" xr:uid="{00000000-0005-0000-0000-000024210000}"/>
    <cellStyle name="Normal 5 2 4 2 2 3 2 2 2 2" xfId="8484" xr:uid="{00000000-0005-0000-0000-000025210000}"/>
    <cellStyle name="Normal 5 2 4 2 2 3 2 2 2 2 2" xfId="8485" xr:uid="{00000000-0005-0000-0000-000026210000}"/>
    <cellStyle name="Normal 5 2 4 2 2 3 2 2 2 3" xfId="8486" xr:uid="{00000000-0005-0000-0000-000027210000}"/>
    <cellStyle name="Normal 5 2 4 2 2 3 2 2 3" xfId="8487" xr:uid="{00000000-0005-0000-0000-000028210000}"/>
    <cellStyle name="Normal 5 2 4 2 2 3 2 2 3 2" xfId="8488" xr:uid="{00000000-0005-0000-0000-000029210000}"/>
    <cellStyle name="Normal 5 2 4 2 2 3 2 2 4" xfId="8489" xr:uid="{00000000-0005-0000-0000-00002A210000}"/>
    <cellStyle name="Normal 5 2 4 2 2 3 2 3" xfId="8490" xr:uid="{00000000-0005-0000-0000-00002B210000}"/>
    <cellStyle name="Normal 5 2 4 2 2 3 2 3 2" xfId="8491" xr:uid="{00000000-0005-0000-0000-00002C210000}"/>
    <cellStyle name="Normal 5 2 4 2 2 3 2 3 2 2" xfId="8492" xr:uid="{00000000-0005-0000-0000-00002D210000}"/>
    <cellStyle name="Normal 5 2 4 2 2 3 2 3 3" xfId="8493" xr:uid="{00000000-0005-0000-0000-00002E210000}"/>
    <cellStyle name="Normal 5 2 4 2 2 3 2 4" xfId="8494" xr:uid="{00000000-0005-0000-0000-00002F210000}"/>
    <cellStyle name="Normal 5 2 4 2 2 3 2 4 2" xfId="8495" xr:uid="{00000000-0005-0000-0000-000030210000}"/>
    <cellStyle name="Normal 5 2 4 2 2 3 2 5" xfId="8496" xr:uid="{00000000-0005-0000-0000-000031210000}"/>
    <cellStyle name="Normal 5 2 4 2 2 3 3" xfId="8497" xr:uid="{00000000-0005-0000-0000-000032210000}"/>
    <cellStyle name="Normal 5 2 4 2 2 3 3 2" xfId="8498" xr:uid="{00000000-0005-0000-0000-000033210000}"/>
    <cellStyle name="Normal 5 2 4 2 2 3 3 2 2" xfId="8499" xr:uid="{00000000-0005-0000-0000-000034210000}"/>
    <cellStyle name="Normal 5 2 4 2 2 3 3 2 2 2" xfId="8500" xr:uid="{00000000-0005-0000-0000-000035210000}"/>
    <cellStyle name="Normal 5 2 4 2 2 3 3 2 3" xfId="8501" xr:uid="{00000000-0005-0000-0000-000036210000}"/>
    <cellStyle name="Normal 5 2 4 2 2 3 3 3" xfId="8502" xr:uid="{00000000-0005-0000-0000-000037210000}"/>
    <cellStyle name="Normal 5 2 4 2 2 3 3 3 2" xfId="8503" xr:uid="{00000000-0005-0000-0000-000038210000}"/>
    <cellStyle name="Normal 5 2 4 2 2 3 3 4" xfId="8504" xr:uid="{00000000-0005-0000-0000-000039210000}"/>
    <cellStyle name="Normal 5 2 4 2 2 3 4" xfId="8505" xr:uid="{00000000-0005-0000-0000-00003A210000}"/>
    <cellStyle name="Normal 5 2 4 2 2 3 4 2" xfId="8506" xr:uid="{00000000-0005-0000-0000-00003B210000}"/>
    <cellStyle name="Normal 5 2 4 2 2 3 4 2 2" xfId="8507" xr:uid="{00000000-0005-0000-0000-00003C210000}"/>
    <cellStyle name="Normal 5 2 4 2 2 3 4 3" xfId="8508" xr:uid="{00000000-0005-0000-0000-00003D210000}"/>
    <cellStyle name="Normal 5 2 4 2 2 3 5" xfId="8509" xr:uid="{00000000-0005-0000-0000-00003E210000}"/>
    <cellStyle name="Normal 5 2 4 2 2 3 5 2" xfId="8510" xr:uid="{00000000-0005-0000-0000-00003F210000}"/>
    <cellStyle name="Normal 5 2 4 2 2 3 6" xfId="8511" xr:uid="{00000000-0005-0000-0000-000040210000}"/>
    <cellStyle name="Normal 5 2 4 2 2 4" xfId="8512" xr:uid="{00000000-0005-0000-0000-000041210000}"/>
    <cellStyle name="Normal 5 2 4 2 2 4 2" xfId="8513" xr:uid="{00000000-0005-0000-0000-000042210000}"/>
    <cellStyle name="Normal 5 2 4 2 2 4 2 2" xfId="8514" xr:uid="{00000000-0005-0000-0000-000043210000}"/>
    <cellStyle name="Normal 5 2 4 2 2 4 2 2 2" xfId="8515" xr:uid="{00000000-0005-0000-0000-000044210000}"/>
    <cellStyle name="Normal 5 2 4 2 2 4 2 2 2 2" xfId="8516" xr:uid="{00000000-0005-0000-0000-000045210000}"/>
    <cellStyle name="Normal 5 2 4 2 2 4 2 2 3" xfId="8517" xr:uid="{00000000-0005-0000-0000-000046210000}"/>
    <cellStyle name="Normal 5 2 4 2 2 4 2 3" xfId="8518" xr:uid="{00000000-0005-0000-0000-000047210000}"/>
    <cellStyle name="Normal 5 2 4 2 2 4 2 3 2" xfId="8519" xr:uid="{00000000-0005-0000-0000-000048210000}"/>
    <cellStyle name="Normal 5 2 4 2 2 4 2 4" xfId="8520" xr:uid="{00000000-0005-0000-0000-000049210000}"/>
    <cellStyle name="Normal 5 2 4 2 2 4 3" xfId="8521" xr:uid="{00000000-0005-0000-0000-00004A210000}"/>
    <cellStyle name="Normal 5 2 4 2 2 4 3 2" xfId="8522" xr:uid="{00000000-0005-0000-0000-00004B210000}"/>
    <cellStyle name="Normal 5 2 4 2 2 4 3 2 2" xfId="8523" xr:uid="{00000000-0005-0000-0000-00004C210000}"/>
    <cellStyle name="Normal 5 2 4 2 2 4 3 3" xfId="8524" xr:uid="{00000000-0005-0000-0000-00004D210000}"/>
    <cellStyle name="Normal 5 2 4 2 2 4 4" xfId="8525" xr:uid="{00000000-0005-0000-0000-00004E210000}"/>
    <cellStyle name="Normal 5 2 4 2 2 4 4 2" xfId="8526" xr:uid="{00000000-0005-0000-0000-00004F210000}"/>
    <cellStyle name="Normal 5 2 4 2 2 4 5" xfId="8527" xr:uid="{00000000-0005-0000-0000-000050210000}"/>
    <cellStyle name="Normal 5 2 4 2 2 5" xfId="8528" xr:uid="{00000000-0005-0000-0000-000051210000}"/>
    <cellStyle name="Normal 5 2 4 2 2 5 2" xfId="8529" xr:uid="{00000000-0005-0000-0000-000052210000}"/>
    <cellStyle name="Normal 5 2 4 2 2 5 2 2" xfId="8530" xr:uid="{00000000-0005-0000-0000-000053210000}"/>
    <cellStyle name="Normal 5 2 4 2 2 5 2 2 2" xfId="8531" xr:uid="{00000000-0005-0000-0000-000054210000}"/>
    <cellStyle name="Normal 5 2 4 2 2 5 2 3" xfId="8532" xr:uid="{00000000-0005-0000-0000-000055210000}"/>
    <cellStyle name="Normal 5 2 4 2 2 5 3" xfId="8533" xr:uid="{00000000-0005-0000-0000-000056210000}"/>
    <cellStyle name="Normal 5 2 4 2 2 5 3 2" xfId="8534" xr:uid="{00000000-0005-0000-0000-000057210000}"/>
    <cellStyle name="Normal 5 2 4 2 2 5 4" xfId="8535" xr:uid="{00000000-0005-0000-0000-000058210000}"/>
    <cellStyle name="Normal 5 2 4 2 2 6" xfId="8536" xr:uid="{00000000-0005-0000-0000-000059210000}"/>
    <cellStyle name="Normal 5 2 4 2 2 6 2" xfId="8537" xr:uid="{00000000-0005-0000-0000-00005A210000}"/>
    <cellStyle name="Normal 5 2 4 2 2 6 2 2" xfId="8538" xr:uid="{00000000-0005-0000-0000-00005B210000}"/>
    <cellStyle name="Normal 5 2 4 2 2 6 3" xfId="8539" xr:uid="{00000000-0005-0000-0000-00005C210000}"/>
    <cellStyle name="Normal 5 2 4 2 2 7" xfId="8540" xr:uid="{00000000-0005-0000-0000-00005D210000}"/>
    <cellStyle name="Normal 5 2 4 2 2 7 2" xfId="8541" xr:uid="{00000000-0005-0000-0000-00005E210000}"/>
    <cellStyle name="Normal 5 2 4 2 2 8" xfId="8542" xr:uid="{00000000-0005-0000-0000-00005F210000}"/>
    <cellStyle name="Normal 5 2 4 2 3" xfId="8543" xr:uid="{00000000-0005-0000-0000-000060210000}"/>
    <cellStyle name="Normal 5 2 4 2 3 2" xfId="8544" xr:uid="{00000000-0005-0000-0000-000061210000}"/>
    <cellStyle name="Normal 5 2 4 2 3 2 2" xfId="8545" xr:uid="{00000000-0005-0000-0000-000062210000}"/>
    <cellStyle name="Normal 5 2 4 2 3 2 2 2" xfId="8546" xr:uid="{00000000-0005-0000-0000-000063210000}"/>
    <cellStyle name="Normal 5 2 4 2 3 2 2 2 2" xfId="8547" xr:uid="{00000000-0005-0000-0000-000064210000}"/>
    <cellStyle name="Normal 5 2 4 2 3 2 2 2 2 2" xfId="8548" xr:uid="{00000000-0005-0000-0000-000065210000}"/>
    <cellStyle name="Normal 5 2 4 2 3 2 2 2 2 2 2" xfId="8549" xr:uid="{00000000-0005-0000-0000-000066210000}"/>
    <cellStyle name="Normal 5 2 4 2 3 2 2 2 2 3" xfId="8550" xr:uid="{00000000-0005-0000-0000-000067210000}"/>
    <cellStyle name="Normal 5 2 4 2 3 2 2 2 3" xfId="8551" xr:uid="{00000000-0005-0000-0000-000068210000}"/>
    <cellStyle name="Normal 5 2 4 2 3 2 2 2 3 2" xfId="8552" xr:uid="{00000000-0005-0000-0000-000069210000}"/>
    <cellStyle name="Normal 5 2 4 2 3 2 2 2 4" xfId="8553" xr:uid="{00000000-0005-0000-0000-00006A210000}"/>
    <cellStyle name="Normal 5 2 4 2 3 2 2 3" xfId="8554" xr:uid="{00000000-0005-0000-0000-00006B210000}"/>
    <cellStyle name="Normal 5 2 4 2 3 2 2 3 2" xfId="8555" xr:uid="{00000000-0005-0000-0000-00006C210000}"/>
    <cellStyle name="Normal 5 2 4 2 3 2 2 3 2 2" xfId="8556" xr:uid="{00000000-0005-0000-0000-00006D210000}"/>
    <cellStyle name="Normal 5 2 4 2 3 2 2 3 3" xfId="8557" xr:uid="{00000000-0005-0000-0000-00006E210000}"/>
    <cellStyle name="Normal 5 2 4 2 3 2 2 4" xfId="8558" xr:uid="{00000000-0005-0000-0000-00006F210000}"/>
    <cellStyle name="Normal 5 2 4 2 3 2 2 4 2" xfId="8559" xr:uid="{00000000-0005-0000-0000-000070210000}"/>
    <cellStyle name="Normal 5 2 4 2 3 2 2 5" xfId="8560" xr:uid="{00000000-0005-0000-0000-000071210000}"/>
    <cellStyle name="Normal 5 2 4 2 3 2 3" xfId="8561" xr:uid="{00000000-0005-0000-0000-000072210000}"/>
    <cellStyle name="Normal 5 2 4 2 3 2 3 2" xfId="8562" xr:uid="{00000000-0005-0000-0000-000073210000}"/>
    <cellStyle name="Normal 5 2 4 2 3 2 3 2 2" xfId="8563" xr:uid="{00000000-0005-0000-0000-000074210000}"/>
    <cellStyle name="Normal 5 2 4 2 3 2 3 2 2 2" xfId="8564" xr:uid="{00000000-0005-0000-0000-000075210000}"/>
    <cellStyle name="Normal 5 2 4 2 3 2 3 2 3" xfId="8565" xr:uid="{00000000-0005-0000-0000-000076210000}"/>
    <cellStyle name="Normal 5 2 4 2 3 2 3 3" xfId="8566" xr:uid="{00000000-0005-0000-0000-000077210000}"/>
    <cellStyle name="Normal 5 2 4 2 3 2 3 3 2" xfId="8567" xr:uid="{00000000-0005-0000-0000-000078210000}"/>
    <cellStyle name="Normal 5 2 4 2 3 2 3 4" xfId="8568" xr:uid="{00000000-0005-0000-0000-000079210000}"/>
    <cellStyle name="Normal 5 2 4 2 3 2 4" xfId="8569" xr:uid="{00000000-0005-0000-0000-00007A210000}"/>
    <cellStyle name="Normal 5 2 4 2 3 2 4 2" xfId="8570" xr:uid="{00000000-0005-0000-0000-00007B210000}"/>
    <cellStyle name="Normal 5 2 4 2 3 2 4 2 2" xfId="8571" xr:uid="{00000000-0005-0000-0000-00007C210000}"/>
    <cellStyle name="Normal 5 2 4 2 3 2 4 3" xfId="8572" xr:uid="{00000000-0005-0000-0000-00007D210000}"/>
    <cellStyle name="Normal 5 2 4 2 3 2 5" xfId="8573" xr:uid="{00000000-0005-0000-0000-00007E210000}"/>
    <cellStyle name="Normal 5 2 4 2 3 2 5 2" xfId="8574" xr:uid="{00000000-0005-0000-0000-00007F210000}"/>
    <cellStyle name="Normal 5 2 4 2 3 2 6" xfId="8575" xr:uid="{00000000-0005-0000-0000-000080210000}"/>
    <cellStyle name="Normal 5 2 4 2 3 3" xfId="8576" xr:uid="{00000000-0005-0000-0000-000081210000}"/>
    <cellStyle name="Normal 5 2 4 2 3 3 2" xfId="8577" xr:uid="{00000000-0005-0000-0000-000082210000}"/>
    <cellStyle name="Normal 5 2 4 2 3 3 2 2" xfId="8578" xr:uid="{00000000-0005-0000-0000-000083210000}"/>
    <cellStyle name="Normal 5 2 4 2 3 3 2 2 2" xfId="8579" xr:uid="{00000000-0005-0000-0000-000084210000}"/>
    <cellStyle name="Normal 5 2 4 2 3 3 2 2 2 2" xfId="8580" xr:uid="{00000000-0005-0000-0000-000085210000}"/>
    <cellStyle name="Normal 5 2 4 2 3 3 2 2 3" xfId="8581" xr:uid="{00000000-0005-0000-0000-000086210000}"/>
    <cellStyle name="Normal 5 2 4 2 3 3 2 3" xfId="8582" xr:uid="{00000000-0005-0000-0000-000087210000}"/>
    <cellStyle name="Normal 5 2 4 2 3 3 2 3 2" xfId="8583" xr:uid="{00000000-0005-0000-0000-000088210000}"/>
    <cellStyle name="Normal 5 2 4 2 3 3 2 4" xfId="8584" xr:uid="{00000000-0005-0000-0000-000089210000}"/>
    <cellStyle name="Normal 5 2 4 2 3 3 3" xfId="8585" xr:uid="{00000000-0005-0000-0000-00008A210000}"/>
    <cellStyle name="Normal 5 2 4 2 3 3 3 2" xfId="8586" xr:uid="{00000000-0005-0000-0000-00008B210000}"/>
    <cellStyle name="Normal 5 2 4 2 3 3 3 2 2" xfId="8587" xr:uid="{00000000-0005-0000-0000-00008C210000}"/>
    <cellStyle name="Normal 5 2 4 2 3 3 3 3" xfId="8588" xr:uid="{00000000-0005-0000-0000-00008D210000}"/>
    <cellStyle name="Normal 5 2 4 2 3 3 4" xfId="8589" xr:uid="{00000000-0005-0000-0000-00008E210000}"/>
    <cellStyle name="Normal 5 2 4 2 3 3 4 2" xfId="8590" xr:uid="{00000000-0005-0000-0000-00008F210000}"/>
    <cellStyle name="Normal 5 2 4 2 3 3 5" xfId="8591" xr:uid="{00000000-0005-0000-0000-000090210000}"/>
    <cellStyle name="Normal 5 2 4 2 3 4" xfId="8592" xr:uid="{00000000-0005-0000-0000-000091210000}"/>
    <cellStyle name="Normal 5 2 4 2 3 4 2" xfId="8593" xr:uid="{00000000-0005-0000-0000-000092210000}"/>
    <cellStyle name="Normal 5 2 4 2 3 4 2 2" xfId="8594" xr:uid="{00000000-0005-0000-0000-000093210000}"/>
    <cellStyle name="Normal 5 2 4 2 3 4 2 2 2" xfId="8595" xr:uid="{00000000-0005-0000-0000-000094210000}"/>
    <cellStyle name="Normal 5 2 4 2 3 4 2 3" xfId="8596" xr:uid="{00000000-0005-0000-0000-000095210000}"/>
    <cellStyle name="Normal 5 2 4 2 3 4 3" xfId="8597" xr:uid="{00000000-0005-0000-0000-000096210000}"/>
    <cellStyle name="Normal 5 2 4 2 3 4 3 2" xfId="8598" xr:uid="{00000000-0005-0000-0000-000097210000}"/>
    <cellStyle name="Normal 5 2 4 2 3 4 4" xfId="8599" xr:uid="{00000000-0005-0000-0000-000098210000}"/>
    <cellStyle name="Normal 5 2 4 2 3 5" xfId="8600" xr:uid="{00000000-0005-0000-0000-000099210000}"/>
    <cellStyle name="Normal 5 2 4 2 3 5 2" xfId="8601" xr:uid="{00000000-0005-0000-0000-00009A210000}"/>
    <cellStyle name="Normal 5 2 4 2 3 5 2 2" xfId="8602" xr:uid="{00000000-0005-0000-0000-00009B210000}"/>
    <cellStyle name="Normal 5 2 4 2 3 5 3" xfId="8603" xr:uid="{00000000-0005-0000-0000-00009C210000}"/>
    <cellStyle name="Normal 5 2 4 2 3 6" xfId="8604" xr:uid="{00000000-0005-0000-0000-00009D210000}"/>
    <cellStyle name="Normal 5 2 4 2 3 6 2" xfId="8605" xr:uid="{00000000-0005-0000-0000-00009E210000}"/>
    <cellStyle name="Normal 5 2 4 2 3 7" xfId="8606" xr:uid="{00000000-0005-0000-0000-00009F210000}"/>
    <cellStyle name="Normal 5 2 4 2 4" xfId="8607" xr:uid="{00000000-0005-0000-0000-0000A0210000}"/>
    <cellStyle name="Normal 5 2 4 2 4 2" xfId="8608" xr:uid="{00000000-0005-0000-0000-0000A1210000}"/>
    <cellStyle name="Normal 5 2 4 2 4 2 2" xfId="8609" xr:uid="{00000000-0005-0000-0000-0000A2210000}"/>
    <cellStyle name="Normal 5 2 4 2 4 2 2 2" xfId="8610" xr:uid="{00000000-0005-0000-0000-0000A3210000}"/>
    <cellStyle name="Normal 5 2 4 2 4 2 2 2 2" xfId="8611" xr:uid="{00000000-0005-0000-0000-0000A4210000}"/>
    <cellStyle name="Normal 5 2 4 2 4 2 2 2 2 2" xfId="8612" xr:uid="{00000000-0005-0000-0000-0000A5210000}"/>
    <cellStyle name="Normal 5 2 4 2 4 2 2 2 3" xfId="8613" xr:uid="{00000000-0005-0000-0000-0000A6210000}"/>
    <cellStyle name="Normal 5 2 4 2 4 2 2 3" xfId="8614" xr:uid="{00000000-0005-0000-0000-0000A7210000}"/>
    <cellStyle name="Normal 5 2 4 2 4 2 2 3 2" xfId="8615" xr:uid="{00000000-0005-0000-0000-0000A8210000}"/>
    <cellStyle name="Normal 5 2 4 2 4 2 2 4" xfId="8616" xr:uid="{00000000-0005-0000-0000-0000A9210000}"/>
    <cellStyle name="Normal 5 2 4 2 4 2 3" xfId="8617" xr:uid="{00000000-0005-0000-0000-0000AA210000}"/>
    <cellStyle name="Normal 5 2 4 2 4 2 3 2" xfId="8618" xr:uid="{00000000-0005-0000-0000-0000AB210000}"/>
    <cellStyle name="Normal 5 2 4 2 4 2 3 2 2" xfId="8619" xr:uid="{00000000-0005-0000-0000-0000AC210000}"/>
    <cellStyle name="Normal 5 2 4 2 4 2 3 3" xfId="8620" xr:uid="{00000000-0005-0000-0000-0000AD210000}"/>
    <cellStyle name="Normal 5 2 4 2 4 2 4" xfId="8621" xr:uid="{00000000-0005-0000-0000-0000AE210000}"/>
    <cellStyle name="Normal 5 2 4 2 4 2 4 2" xfId="8622" xr:uid="{00000000-0005-0000-0000-0000AF210000}"/>
    <cellStyle name="Normal 5 2 4 2 4 2 5" xfId="8623" xr:uid="{00000000-0005-0000-0000-0000B0210000}"/>
    <cellStyle name="Normal 5 2 4 2 4 3" xfId="8624" xr:uid="{00000000-0005-0000-0000-0000B1210000}"/>
    <cellStyle name="Normal 5 2 4 2 4 3 2" xfId="8625" xr:uid="{00000000-0005-0000-0000-0000B2210000}"/>
    <cellStyle name="Normal 5 2 4 2 4 3 2 2" xfId="8626" xr:uid="{00000000-0005-0000-0000-0000B3210000}"/>
    <cellStyle name="Normal 5 2 4 2 4 3 2 2 2" xfId="8627" xr:uid="{00000000-0005-0000-0000-0000B4210000}"/>
    <cellStyle name="Normal 5 2 4 2 4 3 2 3" xfId="8628" xr:uid="{00000000-0005-0000-0000-0000B5210000}"/>
    <cellStyle name="Normal 5 2 4 2 4 3 3" xfId="8629" xr:uid="{00000000-0005-0000-0000-0000B6210000}"/>
    <cellStyle name="Normal 5 2 4 2 4 3 3 2" xfId="8630" xr:uid="{00000000-0005-0000-0000-0000B7210000}"/>
    <cellStyle name="Normal 5 2 4 2 4 3 4" xfId="8631" xr:uid="{00000000-0005-0000-0000-0000B8210000}"/>
    <cellStyle name="Normal 5 2 4 2 4 4" xfId="8632" xr:uid="{00000000-0005-0000-0000-0000B9210000}"/>
    <cellStyle name="Normal 5 2 4 2 4 4 2" xfId="8633" xr:uid="{00000000-0005-0000-0000-0000BA210000}"/>
    <cellStyle name="Normal 5 2 4 2 4 4 2 2" xfId="8634" xr:uid="{00000000-0005-0000-0000-0000BB210000}"/>
    <cellStyle name="Normal 5 2 4 2 4 4 3" xfId="8635" xr:uid="{00000000-0005-0000-0000-0000BC210000}"/>
    <cellStyle name="Normal 5 2 4 2 4 5" xfId="8636" xr:uid="{00000000-0005-0000-0000-0000BD210000}"/>
    <cellStyle name="Normal 5 2 4 2 4 5 2" xfId="8637" xr:uid="{00000000-0005-0000-0000-0000BE210000}"/>
    <cellStyle name="Normal 5 2 4 2 4 6" xfId="8638" xr:uid="{00000000-0005-0000-0000-0000BF210000}"/>
    <cellStyle name="Normal 5 2 4 2 5" xfId="8639" xr:uid="{00000000-0005-0000-0000-0000C0210000}"/>
    <cellStyle name="Normal 5 2 4 2 5 2" xfId="8640" xr:uid="{00000000-0005-0000-0000-0000C1210000}"/>
    <cellStyle name="Normal 5 2 4 2 5 2 2" xfId="8641" xr:uid="{00000000-0005-0000-0000-0000C2210000}"/>
    <cellStyle name="Normal 5 2 4 2 5 2 2 2" xfId="8642" xr:uid="{00000000-0005-0000-0000-0000C3210000}"/>
    <cellStyle name="Normal 5 2 4 2 5 2 2 2 2" xfId="8643" xr:uid="{00000000-0005-0000-0000-0000C4210000}"/>
    <cellStyle name="Normal 5 2 4 2 5 2 2 3" xfId="8644" xr:uid="{00000000-0005-0000-0000-0000C5210000}"/>
    <cellStyle name="Normal 5 2 4 2 5 2 3" xfId="8645" xr:uid="{00000000-0005-0000-0000-0000C6210000}"/>
    <cellStyle name="Normal 5 2 4 2 5 2 3 2" xfId="8646" xr:uid="{00000000-0005-0000-0000-0000C7210000}"/>
    <cellStyle name="Normal 5 2 4 2 5 2 4" xfId="8647" xr:uid="{00000000-0005-0000-0000-0000C8210000}"/>
    <cellStyle name="Normal 5 2 4 2 5 3" xfId="8648" xr:uid="{00000000-0005-0000-0000-0000C9210000}"/>
    <cellStyle name="Normal 5 2 4 2 5 3 2" xfId="8649" xr:uid="{00000000-0005-0000-0000-0000CA210000}"/>
    <cellStyle name="Normal 5 2 4 2 5 3 2 2" xfId="8650" xr:uid="{00000000-0005-0000-0000-0000CB210000}"/>
    <cellStyle name="Normal 5 2 4 2 5 3 3" xfId="8651" xr:uid="{00000000-0005-0000-0000-0000CC210000}"/>
    <cellStyle name="Normal 5 2 4 2 5 4" xfId="8652" xr:uid="{00000000-0005-0000-0000-0000CD210000}"/>
    <cellStyle name="Normal 5 2 4 2 5 4 2" xfId="8653" xr:uid="{00000000-0005-0000-0000-0000CE210000}"/>
    <cellStyle name="Normal 5 2 4 2 5 5" xfId="8654" xr:uid="{00000000-0005-0000-0000-0000CF210000}"/>
    <cellStyle name="Normal 5 2 4 2 6" xfId="8655" xr:uid="{00000000-0005-0000-0000-0000D0210000}"/>
    <cellStyle name="Normal 5 2 4 2 6 2" xfId="8656" xr:uid="{00000000-0005-0000-0000-0000D1210000}"/>
    <cellStyle name="Normal 5 2 4 2 6 2 2" xfId="8657" xr:uid="{00000000-0005-0000-0000-0000D2210000}"/>
    <cellStyle name="Normal 5 2 4 2 6 2 2 2" xfId="8658" xr:uid="{00000000-0005-0000-0000-0000D3210000}"/>
    <cellStyle name="Normal 5 2 4 2 6 2 3" xfId="8659" xr:uid="{00000000-0005-0000-0000-0000D4210000}"/>
    <cellStyle name="Normal 5 2 4 2 6 3" xfId="8660" xr:uid="{00000000-0005-0000-0000-0000D5210000}"/>
    <cellStyle name="Normal 5 2 4 2 6 3 2" xfId="8661" xr:uid="{00000000-0005-0000-0000-0000D6210000}"/>
    <cellStyle name="Normal 5 2 4 2 6 4" xfId="8662" xr:uid="{00000000-0005-0000-0000-0000D7210000}"/>
    <cellStyle name="Normal 5 2 4 2 7" xfId="8663" xr:uid="{00000000-0005-0000-0000-0000D8210000}"/>
    <cellStyle name="Normal 5 2 4 2 7 2" xfId="8664" xr:uid="{00000000-0005-0000-0000-0000D9210000}"/>
    <cellStyle name="Normal 5 2 4 2 7 2 2" xfId="8665" xr:uid="{00000000-0005-0000-0000-0000DA210000}"/>
    <cellStyle name="Normal 5 2 4 2 7 3" xfId="8666" xr:uid="{00000000-0005-0000-0000-0000DB210000}"/>
    <cellStyle name="Normal 5 2 4 2 8" xfId="8667" xr:uid="{00000000-0005-0000-0000-0000DC210000}"/>
    <cellStyle name="Normal 5 2 4 2 8 2" xfId="8668" xr:uid="{00000000-0005-0000-0000-0000DD210000}"/>
    <cellStyle name="Normal 5 2 4 2 9" xfId="8669" xr:uid="{00000000-0005-0000-0000-0000DE210000}"/>
    <cellStyle name="Normal 5 2 4 3" xfId="8670" xr:uid="{00000000-0005-0000-0000-0000DF210000}"/>
    <cellStyle name="Normal 5 2 4 3 2" xfId="8671" xr:uid="{00000000-0005-0000-0000-0000E0210000}"/>
    <cellStyle name="Normal 5 2 4 3 2 2" xfId="8672" xr:uid="{00000000-0005-0000-0000-0000E1210000}"/>
    <cellStyle name="Normal 5 2 4 3 2 2 2" xfId="8673" xr:uid="{00000000-0005-0000-0000-0000E2210000}"/>
    <cellStyle name="Normal 5 2 4 3 2 2 2 2" xfId="8674" xr:uid="{00000000-0005-0000-0000-0000E3210000}"/>
    <cellStyle name="Normal 5 2 4 3 2 2 2 2 2" xfId="8675" xr:uid="{00000000-0005-0000-0000-0000E4210000}"/>
    <cellStyle name="Normal 5 2 4 3 2 2 2 2 2 2" xfId="8676" xr:uid="{00000000-0005-0000-0000-0000E5210000}"/>
    <cellStyle name="Normal 5 2 4 3 2 2 2 2 2 2 2" xfId="8677" xr:uid="{00000000-0005-0000-0000-0000E6210000}"/>
    <cellStyle name="Normal 5 2 4 3 2 2 2 2 2 3" xfId="8678" xr:uid="{00000000-0005-0000-0000-0000E7210000}"/>
    <cellStyle name="Normal 5 2 4 3 2 2 2 2 3" xfId="8679" xr:uid="{00000000-0005-0000-0000-0000E8210000}"/>
    <cellStyle name="Normal 5 2 4 3 2 2 2 2 3 2" xfId="8680" xr:uid="{00000000-0005-0000-0000-0000E9210000}"/>
    <cellStyle name="Normal 5 2 4 3 2 2 2 2 4" xfId="8681" xr:uid="{00000000-0005-0000-0000-0000EA210000}"/>
    <cellStyle name="Normal 5 2 4 3 2 2 2 3" xfId="8682" xr:uid="{00000000-0005-0000-0000-0000EB210000}"/>
    <cellStyle name="Normal 5 2 4 3 2 2 2 3 2" xfId="8683" xr:uid="{00000000-0005-0000-0000-0000EC210000}"/>
    <cellStyle name="Normal 5 2 4 3 2 2 2 3 2 2" xfId="8684" xr:uid="{00000000-0005-0000-0000-0000ED210000}"/>
    <cellStyle name="Normal 5 2 4 3 2 2 2 3 3" xfId="8685" xr:uid="{00000000-0005-0000-0000-0000EE210000}"/>
    <cellStyle name="Normal 5 2 4 3 2 2 2 4" xfId="8686" xr:uid="{00000000-0005-0000-0000-0000EF210000}"/>
    <cellStyle name="Normal 5 2 4 3 2 2 2 4 2" xfId="8687" xr:uid="{00000000-0005-0000-0000-0000F0210000}"/>
    <cellStyle name="Normal 5 2 4 3 2 2 2 5" xfId="8688" xr:uid="{00000000-0005-0000-0000-0000F1210000}"/>
    <cellStyle name="Normal 5 2 4 3 2 2 3" xfId="8689" xr:uid="{00000000-0005-0000-0000-0000F2210000}"/>
    <cellStyle name="Normal 5 2 4 3 2 2 3 2" xfId="8690" xr:uid="{00000000-0005-0000-0000-0000F3210000}"/>
    <cellStyle name="Normal 5 2 4 3 2 2 3 2 2" xfId="8691" xr:uid="{00000000-0005-0000-0000-0000F4210000}"/>
    <cellStyle name="Normal 5 2 4 3 2 2 3 2 2 2" xfId="8692" xr:uid="{00000000-0005-0000-0000-0000F5210000}"/>
    <cellStyle name="Normal 5 2 4 3 2 2 3 2 3" xfId="8693" xr:uid="{00000000-0005-0000-0000-0000F6210000}"/>
    <cellStyle name="Normal 5 2 4 3 2 2 3 3" xfId="8694" xr:uid="{00000000-0005-0000-0000-0000F7210000}"/>
    <cellStyle name="Normal 5 2 4 3 2 2 3 3 2" xfId="8695" xr:uid="{00000000-0005-0000-0000-0000F8210000}"/>
    <cellStyle name="Normal 5 2 4 3 2 2 3 4" xfId="8696" xr:uid="{00000000-0005-0000-0000-0000F9210000}"/>
    <cellStyle name="Normal 5 2 4 3 2 2 4" xfId="8697" xr:uid="{00000000-0005-0000-0000-0000FA210000}"/>
    <cellStyle name="Normal 5 2 4 3 2 2 4 2" xfId="8698" xr:uid="{00000000-0005-0000-0000-0000FB210000}"/>
    <cellStyle name="Normal 5 2 4 3 2 2 4 2 2" xfId="8699" xr:uid="{00000000-0005-0000-0000-0000FC210000}"/>
    <cellStyle name="Normal 5 2 4 3 2 2 4 3" xfId="8700" xr:uid="{00000000-0005-0000-0000-0000FD210000}"/>
    <cellStyle name="Normal 5 2 4 3 2 2 5" xfId="8701" xr:uid="{00000000-0005-0000-0000-0000FE210000}"/>
    <cellStyle name="Normal 5 2 4 3 2 2 5 2" xfId="8702" xr:uid="{00000000-0005-0000-0000-0000FF210000}"/>
    <cellStyle name="Normal 5 2 4 3 2 2 6" xfId="8703" xr:uid="{00000000-0005-0000-0000-000000220000}"/>
    <cellStyle name="Normal 5 2 4 3 2 3" xfId="8704" xr:uid="{00000000-0005-0000-0000-000001220000}"/>
    <cellStyle name="Normal 5 2 4 3 2 3 2" xfId="8705" xr:uid="{00000000-0005-0000-0000-000002220000}"/>
    <cellStyle name="Normal 5 2 4 3 2 3 2 2" xfId="8706" xr:uid="{00000000-0005-0000-0000-000003220000}"/>
    <cellStyle name="Normal 5 2 4 3 2 3 2 2 2" xfId="8707" xr:uid="{00000000-0005-0000-0000-000004220000}"/>
    <cellStyle name="Normal 5 2 4 3 2 3 2 2 2 2" xfId="8708" xr:uid="{00000000-0005-0000-0000-000005220000}"/>
    <cellStyle name="Normal 5 2 4 3 2 3 2 2 3" xfId="8709" xr:uid="{00000000-0005-0000-0000-000006220000}"/>
    <cellStyle name="Normal 5 2 4 3 2 3 2 3" xfId="8710" xr:uid="{00000000-0005-0000-0000-000007220000}"/>
    <cellStyle name="Normal 5 2 4 3 2 3 2 3 2" xfId="8711" xr:uid="{00000000-0005-0000-0000-000008220000}"/>
    <cellStyle name="Normal 5 2 4 3 2 3 2 4" xfId="8712" xr:uid="{00000000-0005-0000-0000-000009220000}"/>
    <cellStyle name="Normal 5 2 4 3 2 3 3" xfId="8713" xr:uid="{00000000-0005-0000-0000-00000A220000}"/>
    <cellStyle name="Normal 5 2 4 3 2 3 3 2" xfId="8714" xr:uid="{00000000-0005-0000-0000-00000B220000}"/>
    <cellStyle name="Normal 5 2 4 3 2 3 3 2 2" xfId="8715" xr:uid="{00000000-0005-0000-0000-00000C220000}"/>
    <cellStyle name="Normal 5 2 4 3 2 3 3 3" xfId="8716" xr:uid="{00000000-0005-0000-0000-00000D220000}"/>
    <cellStyle name="Normal 5 2 4 3 2 3 4" xfId="8717" xr:uid="{00000000-0005-0000-0000-00000E220000}"/>
    <cellStyle name="Normal 5 2 4 3 2 3 4 2" xfId="8718" xr:uid="{00000000-0005-0000-0000-00000F220000}"/>
    <cellStyle name="Normal 5 2 4 3 2 3 5" xfId="8719" xr:uid="{00000000-0005-0000-0000-000010220000}"/>
    <cellStyle name="Normal 5 2 4 3 2 4" xfId="8720" xr:uid="{00000000-0005-0000-0000-000011220000}"/>
    <cellStyle name="Normal 5 2 4 3 2 4 2" xfId="8721" xr:uid="{00000000-0005-0000-0000-000012220000}"/>
    <cellStyle name="Normal 5 2 4 3 2 4 2 2" xfId="8722" xr:uid="{00000000-0005-0000-0000-000013220000}"/>
    <cellStyle name="Normal 5 2 4 3 2 4 2 2 2" xfId="8723" xr:uid="{00000000-0005-0000-0000-000014220000}"/>
    <cellStyle name="Normal 5 2 4 3 2 4 2 3" xfId="8724" xr:uid="{00000000-0005-0000-0000-000015220000}"/>
    <cellStyle name="Normal 5 2 4 3 2 4 3" xfId="8725" xr:uid="{00000000-0005-0000-0000-000016220000}"/>
    <cellStyle name="Normal 5 2 4 3 2 4 3 2" xfId="8726" xr:uid="{00000000-0005-0000-0000-000017220000}"/>
    <cellStyle name="Normal 5 2 4 3 2 4 4" xfId="8727" xr:uid="{00000000-0005-0000-0000-000018220000}"/>
    <cellStyle name="Normal 5 2 4 3 2 5" xfId="8728" xr:uid="{00000000-0005-0000-0000-000019220000}"/>
    <cellStyle name="Normal 5 2 4 3 2 5 2" xfId="8729" xr:uid="{00000000-0005-0000-0000-00001A220000}"/>
    <cellStyle name="Normal 5 2 4 3 2 5 2 2" xfId="8730" xr:uid="{00000000-0005-0000-0000-00001B220000}"/>
    <cellStyle name="Normal 5 2 4 3 2 5 3" xfId="8731" xr:uid="{00000000-0005-0000-0000-00001C220000}"/>
    <cellStyle name="Normal 5 2 4 3 2 6" xfId="8732" xr:uid="{00000000-0005-0000-0000-00001D220000}"/>
    <cellStyle name="Normal 5 2 4 3 2 6 2" xfId="8733" xr:uid="{00000000-0005-0000-0000-00001E220000}"/>
    <cellStyle name="Normal 5 2 4 3 2 7" xfId="8734" xr:uid="{00000000-0005-0000-0000-00001F220000}"/>
    <cellStyle name="Normal 5 2 4 3 3" xfId="8735" xr:uid="{00000000-0005-0000-0000-000020220000}"/>
    <cellStyle name="Normal 5 2 4 3 3 2" xfId="8736" xr:uid="{00000000-0005-0000-0000-000021220000}"/>
    <cellStyle name="Normal 5 2 4 3 3 2 2" xfId="8737" xr:uid="{00000000-0005-0000-0000-000022220000}"/>
    <cellStyle name="Normal 5 2 4 3 3 2 2 2" xfId="8738" xr:uid="{00000000-0005-0000-0000-000023220000}"/>
    <cellStyle name="Normal 5 2 4 3 3 2 2 2 2" xfId="8739" xr:uid="{00000000-0005-0000-0000-000024220000}"/>
    <cellStyle name="Normal 5 2 4 3 3 2 2 2 2 2" xfId="8740" xr:uid="{00000000-0005-0000-0000-000025220000}"/>
    <cellStyle name="Normal 5 2 4 3 3 2 2 2 3" xfId="8741" xr:uid="{00000000-0005-0000-0000-000026220000}"/>
    <cellStyle name="Normal 5 2 4 3 3 2 2 3" xfId="8742" xr:uid="{00000000-0005-0000-0000-000027220000}"/>
    <cellStyle name="Normal 5 2 4 3 3 2 2 3 2" xfId="8743" xr:uid="{00000000-0005-0000-0000-000028220000}"/>
    <cellStyle name="Normal 5 2 4 3 3 2 2 4" xfId="8744" xr:uid="{00000000-0005-0000-0000-000029220000}"/>
    <cellStyle name="Normal 5 2 4 3 3 2 3" xfId="8745" xr:uid="{00000000-0005-0000-0000-00002A220000}"/>
    <cellStyle name="Normal 5 2 4 3 3 2 3 2" xfId="8746" xr:uid="{00000000-0005-0000-0000-00002B220000}"/>
    <cellStyle name="Normal 5 2 4 3 3 2 3 2 2" xfId="8747" xr:uid="{00000000-0005-0000-0000-00002C220000}"/>
    <cellStyle name="Normal 5 2 4 3 3 2 3 3" xfId="8748" xr:uid="{00000000-0005-0000-0000-00002D220000}"/>
    <cellStyle name="Normal 5 2 4 3 3 2 4" xfId="8749" xr:uid="{00000000-0005-0000-0000-00002E220000}"/>
    <cellStyle name="Normal 5 2 4 3 3 2 4 2" xfId="8750" xr:uid="{00000000-0005-0000-0000-00002F220000}"/>
    <cellStyle name="Normal 5 2 4 3 3 2 5" xfId="8751" xr:uid="{00000000-0005-0000-0000-000030220000}"/>
    <cellStyle name="Normal 5 2 4 3 3 3" xfId="8752" xr:uid="{00000000-0005-0000-0000-000031220000}"/>
    <cellStyle name="Normal 5 2 4 3 3 3 2" xfId="8753" xr:uid="{00000000-0005-0000-0000-000032220000}"/>
    <cellStyle name="Normal 5 2 4 3 3 3 2 2" xfId="8754" xr:uid="{00000000-0005-0000-0000-000033220000}"/>
    <cellStyle name="Normal 5 2 4 3 3 3 2 2 2" xfId="8755" xr:uid="{00000000-0005-0000-0000-000034220000}"/>
    <cellStyle name="Normal 5 2 4 3 3 3 2 3" xfId="8756" xr:uid="{00000000-0005-0000-0000-000035220000}"/>
    <cellStyle name="Normal 5 2 4 3 3 3 3" xfId="8757" xr:uid="{00000000-0005-0000-0000-000036220000}"/>
    <cellStyle name="Normal 5 2 4 3 3 3 3 2" xfId="8758" xr:uid="{00000000-0005-0000-0000-000037220000}"/>
    <cellStyle name="Normal 5 2 4 3 3 3 4" xfId="8759" xr:uid="{00000000-0005-0000-0000-000038220000}"/>
    <cellStyle name="Normal 5 2 4 3 3 4" xfId="8760" xr:uid="{00000000-0005-0000-0000-000039220000}"/>
    <cellStyle name="Normal 5 2 4 3 3 4 2" xfId="8761" xr:uid="{00000000-0005-0000-0000-00003A220000}"/>
    <cellStyle name="Normal 5 2 4 3 3 4 2 2" xfId="8762" xr:uid="{00000000-0005-0000-0000-00003B220000}"/>
    <cellStyle name="Normal 5 2 4 3 3 4 3" xfId="8763" xr:uid="{00000000-0005-0000-0000-00003C220000}"/>
    <cellStyle name="Normal 5 2 4 3 3 5" xfId="8764" xr:uid="{00000000-0005-0000-0000-00003D220000}"/>
    <cellStyle name="Normal 5 2 4 3 3 5 2" xfId="8765" xr:uid="{00000000-0005-0000-0000-00003E220000}"/>
    <cellStyle name="Normal 5 2 4 3 3 6" xfId="8766" xr:uid="{00000000-0005-0000-0000-00003F220000}"/>
    <cellStyle name="Normal 5 2 4 3 4" xfId="8767" xr:uid="{00000000-0005-0000-0000-000040220000}"/>
    <cellStyle name="Normal 5 2 4 3 4 2" xfId="8768" xr:uid="{00000000-0005-0000-0000-000041220000}"/>
    <cellStyle name="Normal 5 2 4 3 4 2 2" xfId="8769" xr:uid="{00000000-0005-0000-0000-000042220000}"/>
    <cellStyle name="Normal 5 2 4 3 4 2 2 2" xfId="8770" xr:uid="{00000000-0005-0000-0000-000043220000}"/>
    <cellStyle name="Normal 5 2 4 3 4 2 2 2 2" xfId="8771" xr:uid="{00000000-0005-0000-0000-000044220000}"/>
    <cellStyle name="Normal 5 2 4 3 4 2 2 3" xfId="8772" xr:uid="{00000000-0005-0000-0000-000045220000}"/>
    <cellStyle name="Normal 5 2 4 3 4 2 3" xfId="8773" xr:uid="{00000000-0005-0000-0000-000046220000}"/>
    <cellStyle name="Normal 5 2 4 3 4 2 3 2" xfId="8774" xr:uid="{00000000-0005-0000-0000-000047220000}"/>
    <cellStyle name="Normal 5 2 4 3 4 2 4" xfId="8775" xr:uid="{00000000-0005-0000-0000-000048220000}"/>
    <cellStyle name="Normal 5 2 4 3 4 3" xfId="8776" xr:uid="{00000000-0005-0000-0000-000049220000}"/>
    <cellStyle name="Normal 5 2 4 3 4 3 2" xfId="8777" xr:uid="{00000000-0005-0000-0000-00004A220000}"/>
    <cellStyle name="Normal 5 2 4 3 4 3 2 2" xfId="8778" xr:uid="{00000000-0005-0000-0000-00004B220000}"/>
    <cellStyle name="Normal 5 2 4 3 4 3 3" xfId="8779" xr:uid="{00000000-0005-0000-0000-00004C220000}"/>
    <cellStyle name="Normal 5 2 4 3 4 4" xfId="8780" xr:uid="{00000000-0005-0000-0000-00004D220000}"/>
    <cellStyle name="Normal 5 2 4 3 4 4 2" xfId="8781" xr:uid="{00000000-0005-0000-0000-00004E220000}"/>
    <cellStyle name="Normal 5 2 4 3 4 5" xfId="8782" xr:uid="{00000000-0005-0000-0000-00004F220000}"/>
    <cellStyle name="Normal 5 2 4 3 5" xfId="8783" xr:uid="{00000000-0005-0000-0000-000050220000}"/>
    <cellStyle name="Normal 5 2 4 3 5 2" xfId="8784" xr:uid="{00000000-0005-0000-0000-000051220000}"/>
    <cellStyle name="Normal 5 2 4 3 5 2 2" xfId="8785" xr:uid="{00000000-0005-0000-0000-000052220000}"/>
    <cellStyle name="Normal 5 2 4 3 5 2 2 2" xfId="8786" xr:uid="{00000000-0005-0000-0000-000053220000}"/>
    <cellStyle name="Normal 5 2 4 3 5 2 3" xfId="8787" xr:uid="{00000000-0005-0000-0000-000054220000}"/>
    <cellStyle name="Normal 5 2 4 3 5 3" xfId="8788" xr:uid="{00000000-0005-0000-0000-000055220000}"/>
    <cellStyle name="Normal 5 2 4 3 5 3 2" xfId="8789" xr:uid="{00000000-0005-0000-0000-000056220000}"/>
    <cellStyle name="Normal 5 2 4 3 5 4" xfId="8790" xr:uid="{00000000-0005-0000-0000-000057220000}"/>
    <cellStyle name="Normal 5 2 4 3 6" xfId="8791" xr:uid="{00000000-0005-0000-0000-000058220000}"/>
    <cellStyle name="Normal 5 2 4 3 6 2" xfId="8792" xr:uid="{00000000-0005-0000-0000-000059220000}"/>
    <cellStyle name="Normal 5 2 4 3 6 2 2" xfId="8793" xr:uid="{00000000-0005-0000-0000-00005A220000}"/>
    <cellStyle name="Normal 5 2 4 3 6 3" xfId="8794" xr:uid="{00000000-0005-0000-0000-00005B220000}"/>
    <cellStyle name="Normal 5 2 4 3 7" xfId="8795" xr:uid="{00000000-0005-0000-0000-00005C220000}"/>
    <cellStyle name="Normal 5 2 4 3 7 2" xfId="8796" xr:uid="{00000000-0005-0000-0000-00005D220000}"/>
    <cellStyle name="Normal 5 2 4 3 8" xfId="8797" xr:uid="{00000000-0005-0000-0000-00005E220000}"/>
    <cellStyle name="Normal 5 2 4 4" xfId="8798" xr:uid="{00000000-0005-0000-0000-00005F220000}"/>
    <cellStyle name="Normal 5 2 4 4 2" xfId="8799" xr:uid="{00000000-0005-0000-0000-000060220000}"/>
    <cellStyle name="Normal 5 2 4 4 2 2" xfId="8800" xr:uid="{00000000-0005-0000-0000-000061220000}"/>
    <cellStyle name="Normal 5 2 4 4 2 2 2" xfId="8801" xr:uid="{00000000-0005-0000-0000-000062220000}"/>
    <cellStyle name="Normal 5 2 4 4 2 2 2 2" xfId="8802" xr:uid="{00000000-0005-0000-0000-000063220000}"/>
    <cellStyle name="Normal 5 2 4 4 2 2 2 2 2" xfId="8803" xr:uid="{00000000-0005-0000-0000-000064220000}"/>
    <cellStyle name="Normal 5 2 4 4 2 2 2 2 2 2" xfId="8804" xr:uid="{00000000-0005-0000-0000-000065220000}"/>
    <cellStyle name="Normal 5 2 4 4 2 2 2 2 3" xfId="8805" xr:uid="{00000000-0005-0000-0000-000066220000}"/>
    <cellStyle name="Normal 5 2 4 4 2 2 2 3" xfId="8806" xr:uid="{00000000-0005-0000-0000-000067220000}"/>
    <cellStyle name="Normal 5 2 4 4 2 2 2 3 2" xfId="8807" xr:uid="{00000000-0005-0000-0000-000068220000}"/>
    <cellStyle name="Normal 5 2 4 4 2 2 2 4" xfId="8808" xr:uid="{00000000-0005-0000-0000-000069220000}"/>
    <cellStyle name="Normal 5 2 4 4 2 2 3" xfId="8809" xr:uid="{00000000-0005-0000-0000-00006A220000}"/>
    <cellStyle name="Normal 5 2 4 4 2 2 3 2" xfId="8810" xr:uid="{00000000-0005-0000-0000-00006B220000}"/>
    <cellStyle name="Normal 5 2 4 4 2 2 3 2 2" xfId="8811" xr:uid="{00000000-0005-0000-0000-00006C220000}"/>
    <cellStyle name="Normal 5 2 4 4 2 2 3 3" xfId="8812" xr:uid="{00000000-0005-0000-0000-00006D220000}"/>
    <cellStyle name="Normal 5 2 4 4 2 2 4" xfId="8813" xr:uid="{00000000-0005-0000-0000-00006E220000}"/>
    <cellStyle name="Normal 5 2 4 4 2 2 4 2" xfId="8814" xr:uid="{00000000-0005-0000-0000-00006F220000}"/>
    <cellStyle name="Normal 5 2 4 4 2 2 5" xfId="8815" xr:uid="{00000000-0005-0000-0000-000070220000}"/>
    <cellStyle name="Normal 5 2 4 4 2 3" xfId="8816" xr:uid="{00000000-0005-0000-0000-000071220000}"/>
    <cellStyle name="Normal 5 2 4 4 2 3 2" xfId="8817" xr:uid="{00000000-0005-0000-0000-000072220000}"/>
    <cellStyle name="Normal 5 2 4 4 2 3 2 2" xfId="8818" xr:uid="{00000000-0005-0000-0000-000073220000}"/>
    <cellStyle name="Normal 5 2 4 4 2 3 2 2 2" xfId="8819" xr:uid="{00000000-0005-0000-0000-000074220000}"/>
    <cellStyle name="Normal 5 2 4 4 2 3 2 3" xfId="8820" xr:uid="{00000000-0005-0000-0000-000075220000}"/>
    <cellStyle name="Normal 5 2 4 4 2 3 3" xfId="8821" xr:uid="{00000000-0005-0000-0000-000076220000}"/>
    <cellStyle name="Normal 5 2 4 4 2 3 3 2" xfId="8822" xr:uid="{00000000-0005-0000-0000-000077220000}"/>
    <cellStyle name="Normal 5 2 4 4 2 3 4" xfId="8823" xr:uid="{00000000-0005-0000-0000-000078220000}"/>
    <cellStyle name="Normal 5 2 4 4 2 4" xfId="8824" xr:uid="{00000000-0005-0000-0000-000079220000}"/>
    <cellStyle name="Normal 5 2 4 4 2 4 2" xfId="8825" xr:uid="{00000000-0005-0000-0000-00007A220000}"/>
    <cellStyle name="Normal 5 2 4 4 2 4 2 2" xfId="8826" xr:uid="{00000000-0005-0000-0000-00007B220000}"/>
    <cellStyle name="Normal 5 2 4 4 2 4 3" xfId="8827" xr:uid="{00000000-0005-0000-0000-00007C220000}"/>
    <cellStyle name="Normal 5 2 4 4 2 5" xfId="8828" xr:uid="{00000000-0005-0000-0000-00007D220000}"/>
    <cellStyle name="Normal 5 2 4 4 2 5 2" xfId="8829" xr:uid="{00000000-0005-0000-0000-00007E220000}"/>
    <cellStyle name="Normal 5 2 4 4 2 6" xfId="8830" xr:uid="{00000000-0005-0000-0000-00007F220000}"/>
    <cellStyle name="Normal 5 2 4 4 3" xfId="8831" xr:uid="{00000000-0005-0000-0000-000080220000}"/>
    <cellStyle name="Normal 5 2 4 4 3 2" xfId="8832" xr:uid="{00000000-0005-0000-0000-000081220000}"/>
    <cellStyle name="Normal 5 2 4 4 3 2 2" xfId="8833" xr:uid="{00000000-0005-0000-0000-000082220000}"/>
    <cellStyle name="Normal 5 2 4 4 3 2 2 2" xfId="8834" xr:uid="{00000000-0005-0000-0000-000083220000}"/>
    <cellStyle name="Normal 5 2 4 4 3 2 2 2 2" xfId="8835" xr:uid="{00000000-0005-0000-0000-000084220000}"/>
    <cellStyle name="Normal 5 2 4 4 3 2 2 3" xfId="8836" xr:uid="{00000000-0005-0000-0000-000085220000}"/>
    <cellStyle name="Normal 5 2 4 4 3 2 3" xfId="8837" xr:uid="{00000000-0005-0000-0000-000086220000}"/>
    <cellStyle name="Normal 5 2 4 4 3 2 3 2" xfId="8838" xr:uid="{00000000-0005-0000-0000-000087220000}"/>
    <cellStyle name="Normal 5 2 4 4 3 2 4" xfId="8839" xr:uid="{00000000-0005-0000-0000-000088220000}"/>
    <cellStyle name="Normal 5 2 4 4 3 3" xfId="8840" xr:uid="{00000000-0005-0000-0000-000089220000}"/>
    <cellStyle name="Normal 5 2 4 4 3 3 2" xfId="8841" xr:uid="{00000000-0005-0000-0000-00008A220000}"/>
    <cellStyle name="Normal 5 2 4 4 3 3 2 2" xfId="8842" xr:uid="{00000000-0005-0000-0000-00008B220000}"/>
    <cellStyle name="Normal 5 2 4 4 3 3 3" xfId="8843" xr:uid="{00000000-0005-0000-0000-00008C220000}"/>
    <cellStyle name="Normal 5 2 4 4 3 4" xfId="8844" xr:uid="{00000000-0005-0000-0000-00008D220000}"/>
    <cellStyle name="Normal 5 2 4 4 3 4 2" xfId="8845" xr:uid="{00000000-0005-0000-0000-00008E220000}"/>
    <cellStyle name="Normal 5 2 4 4 3 5" xfId="8846" xr:uid="{00000000-0005-0000-0000-00008F220000}"/>
    <cellStyle name="Normal 5 2 4 4 4" xfId="8847" xr:uid="{00000000-0005-0000-0000-000090220000}"/>
    <cellStyle name="Normal 5 2 4 4 4 2" xfId="8848" xr:uid="{00000000-0005-0000-0000-000091220000}"/>
    <cellStyle name="Normal 5 2 4 4 4 2 2" xfId="8849" xr:uid="{00000000-0005-0000-0000-000092220000}"/>
    <cellStyle name="Normal 5 2 4 4 4 2 2 2" xfId="8850" xr:uid="{00000000-0005-0000-0000-000093220000}"/>
    <cellStyle name="Normal 5 2 4 4 4 2 3" xfId="8851" xr:uid="{00000000-0005-0000-0000-000094220000}"/>
    <cellStyle name="Normal 5 2 4 4 4 3" xfId="8852" xr:uid="{00000000-0005-0000-0000-000095220000}"/>
    <cellStyle name="Normal 5 2 4 4 4 3 2" xfId="8853" xr:uid="{00000000-0005-0000-0000-000096220000}"/>
    <cellStyle name="Normal 5 2 4 4 4 4" xfId="8854" xr:uid="{00000000-0005-0000-0000-000097220000}"/>
    <cellStyle name="Normal 5 2 4 4 5" xfId="8855" xr:uid="{00000000-0005-0000-0000-000098220000}"/>
    <cellStyle name="Normal 5 2 4 4 5 2" xfId="8856" xr:uid="{00000000-0005-0000-0000-000099220000}"/>
    <cellStyle name="Normal 5 2 4 4 5 2 2" xfId="8857" xr:uid="{00000000-0005-0000-0000-00009A220000}"/>
    <cellStyle name="Normal 5 2 4 4 5 3" xfId="8858" xr:uid="{00000000-0005-0000-0000-00009B220000}"/>
    <cellStyle name="Normal 5 2 4 4 6" xfId="8859" xr:uid="{00000000-0005-0000-0000-00009C220000}"/>
    <cellStyle name="Normal 5 2 4 4 6 2" xfId="8860" xr:uid="{00000000-0005-0000-0000-00009D220000}"/>
    <cellStyle name="Normal 5 2 4 4 7" xfId="8861" xr:uid="{00000000-0005-0000-0000-00009E220000}"/>
    <cellStyle name="Normal 5 2 4 5" xfId="8862" xr:uid="{00000000-0005-0000-0000-00009F220000}"/>
    <cellStyle name="Normal 5 2 4 5 2" xfId="8863" xr:uid="{00000000-0005-0000-0000-0000A0220000}"/>
    <cellStyle name="Normal 5 2 4 5 2 2" xfId="8864" xr:uid="{00000000-0005-0000-0000-0000A1220000}"/>
    <cellStyle name="Normal 5 2 4 5 2 2 2" xfId="8865" xr:uid="{00000000-0005-0000-0000-0000A2220000}"/>
    <cellStyle name="Normal 5 2 4 5 2 2 2 2" xfId="8866" xr:uid="{00000000-0005-0000-0000-0000A3220000}"/>
    <cellStyle name="Normal 5 2 4 5 2 2 2 2 2" xfId="8867" xr:uid="{00000000-0005-0000-0000-0000A4220000}"/>
    <cellStyle name="Normal 5 2 4 5 2 2 2 3" xfId="8868" xr:uid="{00000000-0005-0000-0000-0000A5220000}"/>
    <cellStyle name="Normal 5 2 4 5 2 2 3" xfId="8869" xr:uid="{00000000-0005-0000-0000-0000A6220000}"/>
    <cellStyle name="Normal 5 2 4 5 2 2 3 2" xfId="8870" xr:uid="{00000000-0005-0000-0000-0000A7220000}"/>
    <cellStyle name="Normal 5 2 4 5 2 2 4" xfId="8871" xr:uid="{00000000-0005-0000-0000-0000A8220000}"/>
    <cellStyle name="Normal 5 2 4 5 2 3" xfId="8872" xr:uid="{00000000-0005-0000-0000-0000A9220000}"/>
    <cellStyle name="Normal 5 2 4 5 2 3 2" xfId="8873" xr:uid="{00000000-0005-0000-0000-0000AA220000}"/>
    <cellStyle name="Normal 5 2 4 5 2 3 2 2" xfId="8874" xr:uid="{00000000-0005-0000-0000-0000AB220000}"/>
    <cellStyle name="Normal 5 2 4 5 2 3 3" xfId="8875" xr:uid="{00000000-0005-0000-0000-0000AC220000}"/>
    <cellStyle name="Normal 5 2 4 5 2 4" xfId="8876" xr:uid="{00000000-0005-0000-0000-0000AD220000}"/>
    <cellStyle name="Normal 5 2 4 5 2 4 2" xfId="8877" xr:uid="{00000000-0005-0000-0000-0000AE220000}"/>
    <cellStyle name="Normal 5 2 4 5 2 5" xfId="8878" xr:uid="{00000000-0005-0000-0000-0000AF220000}"/>
    <cellStyle name="Normal 5 2 4 5 3" xfId="8879" xr:uid="{00000000-0005-0000-0000-0000B0220000}"/>
    <cellStyle name="Normal 5 2 4 5 3 2" xfId="8880" xr:uid="{00000000-0005-0000-0000-0000B1220000}"/>
    <cellStyle name="Normal 5 2 4 5 3 2 2" xfId="8881" xr:uid="{00000000-0005-0000-0000-0000B2220000}"/>
    <cellStyle name="Normal 5 2 4 5 3 2 2 2" xfId="8882" xr:uid="{00000000-0005-0000-0000-0000B3220000}"/>
    <cellStyle name="Normal 5 2 4 5 3 2 3" xfId="8883" xr:uid="{00000000-0005-0000-0000-0000B4220000}"/>
    <cellStyle name="Normal 5 2 4 5 3 3" xfId="8884" xr:uid="{00000000-0005-0000-0000-0000B5220000}"/>
    <cellStyle name="Normal 5 2 4 5 3 3 2" xfId="8885" xr:uid="{00000000-0005-0000-0000-0000B6220000}"/>
    <cellStyle name="Normal 5 2 4 5 3 4" xfId="8886" xr:uid="{00000000-0005-0000-0000-0000B7220000}"/>
    <cellStyle name="Normal 5 2 4 5 4" xfId="8887" xr:uid="{00000000-0005-0000-0000-0000B8220000}"/>
    <cellStyle name="Normal 5 2 4 5 4 2" xfId="8888" xr:uid="{00000000-0005-0000-0000-0000B9220000}"/>
    <cellStyle name="Normal 5 2 4 5 4 2 2" xfId="8889" xr:uid="{00000000-0005-0000-0000-0000BA220000}"/>
    <cellStyle name="Normal 5 2 4 5 4 3" xfId="8890" xr:uid="{00000000-0005-0000-0000-0000BB220000}"/>
    <cellStyle name="Normal 5 2 4 5 5" xfId="8891" xr:uid="{00000000-0005-0000-0000-0000BC220000}"/>
    <cellStyle name="Normal 5 2 4 5 5 2" xfId="8892" xr:uid="{00000000-0005-0000-0000-0000BD220000}"/>
    <cellStyle name="Normal 5 2 4 5 6" xfId="8893" xr:uid="{00000000-0005-0000-0000-0000BE220000}"/>
    <cellStyle name="Normal 5 2 4 6" xfId="8894" xr:uid="{00000000-0005-0000-0000-0000BF220000}"/>
    <cellStyle name="Normal 5 2 4 6 2" xfId="8895" xr:uid="{00000000-0005-0000-0000-0000C0220000}"/>
    <cellStyle name="Normal 5 2 4 6 2 2" xfId="8896" xr:uid="{00000000-0005-0000-0000-0000C1220000}"/>
    <cellStyle name="Normal 5 2 4 6 2 2 2" xfId="8897" xr:uid="{00000000-0005-0000-0000-0000C2220000}"/>
    <cellStyle name="Normal 5 2 4 6 2 2 2 2" xfId="8898" xr:uid="{00000000-0005-0000-0000-0000C3220000}"/>
    <cellStyle name="Normal 5 2 4 6 2 2 3" xfId="8899" xr:uid="{00000000-0005-0000-0000-0000C4220000}"/>
    <cellStyle name="Normal 5 2 4 6 2 3" xfId="8900" xr:uid="{00000000-0005-0000-0000-0000C5220000}"/>
    <cellStyle name="Normal 5 2 4 6 2 3 2" xfId="8901" xr:uid="{00000000-0005-0000-0000-0000C6220000}"/>
    <cellStyle name="Normal 5 2 4 6 2 4" xfId="8902" xr:uid="{00000000-0005-0000-0000-0000C7220000}"/>
    <cellStyle name="Normal 5 2 4 6 3" xfId="8903" xr:uid="{00000000-0005-0000-0000-0000C8220000}"/>
    <cellStyle name="Normal 5 2 4 6 3 2" xfId="8904" xr:uid="{00000000-0005-0000-0000-0000C9220000}"/>
    <cellStyle name="Normal 5 2 4 6 3 2 2" xfId="8905" xr:uid="{00000000-0005-0000-0000-0000CA220000}"/>
    <cellStyle name="Normal 5 2 4 6 3 3" xfId="8906" xr:uid="{00000000-0005-0000-0000-0000CB220000}"/>
    <cellStyle name="Normal 5 2 4 6 4" xfId="8907" xr:uid="{00000000-0005-0000-0000-0000CC220000}"/>
    <cellStyle name="Normal 5 2 4 6 4 2" xfId="8908" xr:uid="{00000000-0005-0000-0000-0000CD220000}"/>
    <cellStyle name="Normal 5 2 4 6 5" xfId="8909" xr:uid="{00000000-0005-0000-0000-0000CE220000}"/>
    <cellStyle name="Normal 5 2 4 7" xfId="8910" xr:uid="{00000000-0005-0000-0000-0000CF220000}"/>
    <cellStyle name="Normal 5 2 4 7 2" xfId="8911" xr:uid="{00000000-0005-0000-0000-0000D0220000}"/>
    <cellStyle name="Normal 5 2 4 7 2 2" xfId="8912" xr:uid="{00000000-0005-0000-0000-0000D1220000}"/>
    <cellStyle name="Normal 5 2 4 7 2 2 2" xfId="8913" xr:uid="{00000000-0005-0000-0000-0000D2220000}"/>
    <cellStyle name="Normal 5 2 4 7 2 3" xfId="8914" xr:uid="{00000000-0005-0000-0000-0000D3220000}"/>
    <cellStyle name="Normal 5 2 4 7 3" xfId="8915" xr:uid="{00000000-0005-0000-0000-0000D4220000}"/>
    <cellStyle name="Normal 5 2 4 7 3 2" xfId="8916" xr:uid="{00000000-0005-0000-0000-0000D5220000}"/>
    <cellStyle name="Normal 5 2 4 7 4" xfId="8917" xr:uid="{00000000-0005-0000-0000-0000D6220000}"/>
    <cellStyle name="Normal 5 2 4 8" xfId="8918" xr:uid="{00000000-0005-0000-0000-0000D7220000}"/>
    <cellStyle name="Normal 5 2 4 8 2" xfId="8919" xr:uid="{00000000-0005-0000-0000-0000D8220000}"/>
    <cellStyle name="Normal 5 2 4 8 2 2" xfId="8920" xr:uid="{00000000-0005-0000-0000-0000D9220000}"/>
    <cellStyle name="Normal 5 2 4 8 3" xfId="8921" xr:uid="{00000000-0005-0000-0000-0000DA220000}"/>
    <cellStyle name="Normal 5 2 4 9" xfId="8922" xr:uid="{00000000-0005-0000-0000-0000DB220000}"/>
    <cellStyle name="Normal 5 2 4 9 2" xfId="8923" xr:uid="{00000000-0005-0000-0000-0000DC220000}"/>
    <cellStyle name="Normal 5 2 5" xfId="8924" xr:uid="{00000000-0005-0000-0000-0000DD220000}"/>
    <cellStyle name="Normal 5 2 5 2" xfId="8925" xr:uid="{00000000-0005-0000-0000-0000DE220000}"/>
    <cellStyle name="Normal 5 2 5 2 2" xfId="8926" xr:uid="{00000000-0005-0000-0000-0000DF220000}"/>
    <cellStyle name="Normal 5 2 5 2 2 2" xfId="8927" xr:uid="{00000000-0005-0000-0000-0000E0220000}"/>
    <cellStyle name="Normal 5 2 5 2 2 2 2" xfId="8928" xr:uid="{00000000-0005-0000-0000-0000E1220000}"/>
    <cellStyle name="Normal 5 2 5 2 2 2 2 2" xfId="8929" xr:uid="{00000000-0005-0000-0000-0000E2220000}"/>
    <cellStyle name="Normal 5 2 5 2 2 2 2 2 2" xfId="8930" xr:uid="{00000000-0005-0000-0000-0000E3220000}"/>
    <cellStyle name="Normal 5 2 5 2 2 2 2 2 2 2" xfId="8931" xr:uid="{00000000-0005-0000-0000-0000E4220000}"/>
    <cellStyle name="Normal 5 2 5 2 2 2 2 2 2 2 2" xfId="8932" xr:uid="{00000000-0005-0000-0000-0000E5220000}"/>
    <cellStyle name="Normal 5 2 5 2 2 2 2 2 2 3" xfId="8933" xr:uid="{00000000-0005-0000-0000-0000E6220000}"/>
    <cellStyle name="Normal 5 2 5 2 2 2 2 2 3" xfId="8934" xr:uid="{00000000-0005-0000-0000-0000E7220000}"/>
    <cellStyle name="Normal 5 2 5 2 2 2 2 2 3 2" xfId="8935" xr:uid="{00000000-0005-0000-0000-0000E8220000}"/>
    <cellStyle name="Normal 5 2 5 2 2 2 2 2 4" xfId="8936" xr:uid="{00000000-0005-0000-0000-0000E9220000}"/>
    <cellStyle name="Normal 5 2 5 2 2 2 2 3" xfId="8937" xr:uid="{00000000-0005-0000-0000-0000EA220000}"/>
    <cellStyle name="Normal 5 2 5 2 2 2 2 3 2" xfId="8938" xr:uid="{00000000-0005-0000-0000-0000EB220000}"/>
    <cellStyle name="Normal 5 2 5 2 2 2 2 3 2 2" xfId="8939" xr:uid="{00000000-0005-0000-0000-0000EC220000}"/>
    <cellStyle name="Normal 5 2 5 2 2 2 2 3 3" xfId="8940" xr:uid="{00000000-0005-0000-0000-0000ED220000}"/>
    <cellStyle name="Normal 5 2 5 2 2 2 2 4" xfId="8941" xr:uid="{00000000-0005-0000-0000-0000EE220000}"/>
    <cellStyle name="Normal 5 2 5 2 2 2 2 4 2" xfId="8942" xr:uid="{00000000-0005-0000-0000-0000EF220000}"/>
    <cellStyle name="Normal 5 2 5 2 2 2 2 5" xfId="8943" xr:uid="{00000000-0005-0000-0000-0000F0220000}"/>
    <cellStyle name="Normal 5 2 5 2 2 2 3" xfId="8944" xr:uid="{00000000-0005-0000-0000-0000F1220000}"/>
    <cellStyle name="Normal 5 2 5 2 2 2 3 2" xfId="8945" xr:uid="{00000000-0005-0000-0000-0000F2220000}"/>
    <cellStyle name="Normal 5 2 5 2 2 2 3 2 2" xfId="8946" xr:uid="{00000000-0005-0000-0000-0000F3220000}"/>
    <cellStyle name="Normal 5 2 5 2 2 2 3 2 2 2" xfId="8947" xr:uid="{00000000-0005-0000-0000-0000F4220000}"/>
    <cellStyle name="Normal 5 2 5 2 2 2 3 2 3" xfId="8948" xr:uid="{00000000-0005-0000-0000-0000F5220000}"/>
    <cellStyle name="Normal 5 2 5 2 2 2 3 3" xfId="8949" xr:uid="{00000000-0005-0000-0000-0000F6220000}"/>
    <cellStyle name="Normal 5 2 5 2 2 2 3 3 2" xfId="8950" xr:uid="{00000000-0005-0000-0000-0000F7220000}"/>
    <cellStyle name="Normal 5 2 5 2 2 2 3 4" xfId="8951" xr:uid="{00000000-0005-0000-0000-0000F8220000}"/>
    <cellStyle name="Normal 5 2 5 2 2 2 4" xfId="8952" xr:uid="{00000000-0005-0000-0000-0000F9220000}"/>
    <cellStyle name="Normal 5 2 5 2 2 2 4 2" xfId="8953" xr:uid="{00000000-0005-0000-0000-0000FA220000}"/>
    <cellStyle name="Normal 5 2 5 2 2 2 4 2 2" xfId="8954" xr:uid="{00000000-0005-0000-0000-0000FB220000}"/>
    <cellStyle name="Normal 5 2 5 2 2 2 4 3" xfId="8955" xr:uid="{00000000-0005-0000-0000-0000FC220000}"/>
    <cellStyle name="Normal 5 2 5 2 2 2 5" xfId="8956" xr:uid="{00000000-0005-0000-0000-0000FD220000}"/>
    <cellStyle name="Normal 5 2 5 2 2 2 5 2" xfId="8957" xr:uid="{00000000-0005-0000-0000-0000FE220000}"/>
    <cellStyle name="Normal 5 2 5 2 2 2 6" xfId="8958" xr:uid="{00000000-0005-0000-0000-0000FF220000}"/>
    <cellStyle name="Normal 5 2 5 2 2 3" xfId="8959" xr:uid="{00000000-0005-0000-0000-000000230000}"/>
    <cellStyle name="Normal 5 2 5 2 2 3 2" xfId="8960" xr:uid="{00000000-0005-0000-0000-000001230000}"/>
    <cellStyle name="Normal 5 2 5 2 2 3 2 2" xfId="8961" xr:uid="{00000000-0005-0000-0000-000002230000}"/>
    <cellStyle name="Normal 5 2 5 2 2 3 2 2 2" xfId="8962" xr:uid="{00000000-0005-0000-0000-000003230000}"/>
    <cellStyle name="Normal 5 2 5 2 2 3 2 2 2 2" xfId="8963" xr:uid="{00000000-0005-0000-0000-000004230000}"/>
    <cellStyle name="Normal 5 2 5 2 2 3 2 2 3" xfId="8964" xr:uid="{00000000-0005-0000-0000-000005230000}"/>
    <cellStyle name="Normal 5 2 5 2 2 3 2 3" xfId="8965" xr:uid="{00000000-0005-0000-0000-000006230000}"/>
    <cellStyle name="Normal 5 2 5 2 2 3 2 3 2" xfId="8966" xr:uid="{00000000-0005-0000-0000-000007230000}"/>
    <cellStyle name="Normal 5 2 5 2 2 3 2 4" xfId="8967" xr:uid="{00000000-0005-0000-0000-000008230000}"/>
    <cellStyle name="Normal 5 2 5 2 2 3 3" xfId="8968" xr:uid="{00000000-0005-0000-0000-000009230000}"/>
    <cellStyle name="Normal 5 2 5 2 2 3 3 2" xfId="8969" xr:uid="{00000000-0005-0000-0000-00000A230000}"/>
    <cellStyle name="Normal 5 2 5 2 2 3 3 2 2" xfId="8970" xr:uid="{00000000-0005-0000-0000-00000B230000}"/>
    <cellStyle name="Normal 5 2 5 2 2 3 3 3" xfId="8971" xr:uid="{00000000-0005-0000-0000-00000C230000}"/>
    <cellStyle name="Normal 5 2 5 2 2 3 4" xfId="8972" xr:uid="{00000000-0005-0000-0000-00000D230000}"/>
    <cellStyle name="Normal 5 2 5 2 2 3 4 2" xfId="8973" xr:uid="{00000000-0005-0000-0000-00000E230000}"/>
    <cellStyle name="Normal 5 2 5 2 2 3 5" xfId="8974" xr:uid="{00000000-0005-0000-0000-00000F230000}"/>
    <cellStyle name="Normal 5 2 5 2 2 4" xfId="8975" xr:uid="{00000000-0005-0000-0000-000010230000}"/>
    <cellStyle name="Normal 5 2 5 2 2 4 2" xfId="8976" xr:uid="{00000000-0005-0000-0000-000011230000}"/>
    <cellStyle name="Normal 5 2 5 2 2 4 2 2" xfId="8977" xr:uid="{00000000-0005-0000-0000-000012230000}"/>
    <cellStyle name="Normal 5 2 5 2 2 4 2 2 2" xfId="8978" xr:uid="{00000000-0005-0000-0000-000013230000}"/>
    <cellStyle name="Normal 5 2 5 2 2 4 2 3" xfId="8979" xr:uid="{00000000-0005-0000-0000-000014230000}"/>
    <cellStyle name="Normal 5 2 5 2 2 4 3" xfId="8980" xr:uid="{00000000-0005-0000-0000-000015230000}"/>
    <cellStyle name="Normal 5 2 5 2 2 4 3 2" xfId="8981" xr:uid="{00000000-0005-0000-0000-000016230000}"/>
    <cellStyle name="Normal 5 2 5 2 2 4 4" xfId="8982" xr:uid="{00000000-0005-0000-0000-000017230000}"/>
    <cellStyle name="Normal 5 2 5 2 2 5" xfId="8983" xr:uid="{00000000-0005-0000-0000-000018230000}"/>
    <cellStyle name="Normal 5 2 5 2 2 5 2" xfId="8984" xr:uid="{00000000-0005-0000-0000-000019230000}"/>
    <cellStyle name="Normal 5 2 5 2 2 5 2 2" xfId="8985" xr:uid="{00000000-0005-0000-0000-00001A230000}"/>
    <cellStyle name="Normal 5 2 5 2 2 5 3" xfId="8986" xr:uid="{00000000-0005-0000-0000-00001B230000}"/>
    <cellStyle name="Normal 5 2 5 2 2 6" xfId="8987" xr:uid="{00000000-0005-0000-0000-00001C230000}"/>
    <cellStyle name="Normal 5 2 5 2 2 6 2" xfId="8988" xr:uid="{00000000-0005-0000-0000-00001D230000}"/>
    <cellStyle name="Normal 5 2 5 2 2 7" xfId="8989" xr:uid="{00000000-0005-0000-0000-00001E230000}"/>
    <cellStyle name="Normal 5 2 5 2 3" xfId="8990" xr:uid="{00000000-0005-0000-0000-00001F230000}"/>
    <cellStyle name="Normal 5 2 5 2 3 2" xfId="8991" xr:uid="{00000000-0005-0000-0000-000020230000}"/>
    <cellStyle name="Normal 5 2 5 2 3 2 2" xfId="8992" xr:uid="{00000000-0005-0000-0000-000021230000}"/>
    <cellStyle name="Normal 5 2 5 2 3 2 2 2" xfId="8993" xr:uid="{00000000-0005-0000-0000-000022230000}"/>
    <cellStyle name="Normal 5 2 5 2 3 2 2 2 2" xfId="8994" xr:uid="{00000000-0005-0000-0000-000023230000}"/>
    <cellStyle name="Normal 5 2 5 2 3 2 2 2 2 2" xfId="8995" xr:uid="{00000000-0005-0000-0000-000024230000}"/>
    <cellStyle name="Normal 5 2 5 2 3 2 2 2 3" xfId="8996" xr:uid="{00000000-0005-0000-0000-000025230000}"/>
    <cellStyle name="Normal 5 2 5 2 3 2 2 3" xfId="8997" xr:uid="{00000000-0005-0000-0000-000026230000}"/>
    <cellStyle name="Normal 5 2 5 2 3 2 2 3 2" xfId="8998" xr:uid="{00000000-0005-0000-0000-000027230000}"/>
    <cellStyle name="Normal 5 2 5 2 3 2 2 4" xfId="8999" xr:uid="{00000000-0005-0000-0000-000028230000}"/>
    <cellStyle name="Normal 5 2 5 2 3 2 3" xfId="9000" xr:uid="{00000000-0005-0000-0000-000029230000}"/>
    <cellStyle name="Normal 5 2 5 2 3 2 3 2" xfId="9001" xr:uid="{00000000-0005-0000-0000-00002A230000}"/>
    <cellStyle name="Normal 5 2 5 2 3 2 3 2 2" xfId="9002" xr:uid="{00000000-0005-0000-0000-00002B230000}"/>
    <cellStyle name="Normal 5 2 5 2 3 2 3 3" xfId="9003" xr:uid="{00000000-0005-0000-0000-00002C230000}"/>
    <cellStyle name="Normal 5 2 5 2 3 2 4" xfId="9004" xr:uid="{00000000-0005-0000-0000-00002D230000}"/>
    <cellStyle name="Normal 5 2 5 2 3 2 4 2" xfId="9005" xr:uid="{00000000-0005-0000-0000-00002E230000}"/>
    <cellStyle name="Normal 5 2 5 2 3 2 5" xfId="9006" xr:uid="{00000000-0005-0000-0000-00002F230000}"/>
    <cellStyle name="Normal 5 2 5 2 3 3" xfId="9007" xr:uid="{00000000-0005-0000-0000-000030230000}"/>
    <cellStyle name="Normal 5 2 5 2 3 3 2" xfId="9008" xr:uid="{00000000-0005-0000-0000-000031230000}"/>
    <cellStyle name="Normal 5 2 5 2 3 3 2 2" xfId="9009" xr:uid="{00000000-0005-0000-0000-000032230000}"/>
    <cellStyle name="Normal 5 2 5 2 3 3 2 2 2" xfId="9010" xr:uid="{00000000-0005-0000-0000-000033230000}"/>
    <cellStyle name="Normal 5 2 5 2 3 3 2 3" xfId="9011" xr:uid="{00000000-0005-0000-0000-000034230000}"/>
    <cellStyle name="Normal 5 2 5 2 3 3 3" xfId="9012" xr:uid="{00000000-0005-0000-0000-000035230000}"/>
    <cellStyle name="Normal 5 2 5 2 3 3 3 2" xfId="9013" xr:uid="{00000000-0005-0000-0000-000036230000}"/>
    <cellStyle name="Normal 5 2 5 2 3 3 4" xfId="9014" xr:uid="{00000000-0005-0000-0000-000037230000}"/>
    <cellStyle name="Normal 5 2 5 2 3 4" xfId="9015" xr:uid="{00000000-0005-0000-0000-000038230000}"/>
    <cellStyle name="Normal 5 2 5 2 3 4 2" xfId="9016" xr:uid="{00000000-0005-0000-0000-000039230000}"/>
    <cellStyle name="Normal 5 2 5 2 3 4 2 2" xfId="9017" xr:uid="{00000000-0005-0000-0000-00003A230000}"/>
    <cellStyle name="Normal 5 2 5 2 3 4 3" xfId="9018" xr:uid="{00000000-0005-0000-0000-00003B230000}"/>
    <cellStyle name="Normal 5 2 5 2 3 5" xfId="9019" xr:uid="{00000000-0005-0000-0000-00003C230000}"/>
    <cellStyle name="Normal 5 2 5 2 3 5 2" xfId="9020" xr:uid="{00000000-0005-0000-0000-00003D230000}"/>
    <cellStyle name="Normal 5 2 5 2 3 6" xfId="9021" xr:uid="{00000000-0005-0000-0000-00003E230000}"/>
    <cellStyle name="Normal 5 2 5 2 4" xfId="9022" xr:uid="{00000000-0005-0000-0000-00003F230000}"/>
    <cellStyle name="Normal 5 2 5 2 4 2" xfId="9023" xr:uid="{00000000-0005-0000-0000-000040230000}"/>
    <cellStyle name="Normal 5 2 5 2 4 2 2" xfId="9024" xr:uid="{00000000-0005-0000-0000-000041230000}"/>
    <cellStyle name="Normal 5 2 5 2 4 2 2 2" xfId="9025" xr:uid="{00000000-0005-0000-0000-000042230000}"/>
    <cellStyle name="Normal 5 2 5 2 4 2 2 2 2" xfId="9026" xr:uid="{00000000-0005-0000-0000-000043230000}"/>
    <cellStyle name="Normal 5 2 5 2 4 2 2 3" xfId="9027" xr:uid="{00000000-0005-0000-0000-000044230000}"/>
    <cellStyle name="Normal 5 2 5 2 4 2 3" xfId="9028" xr:uid="{00000000-0005-0000-0000-000045230000}"/>
    <cellStyle name="Normal 5 2 5 2 4 2 3 2" xfId="9029" xr:uid="{00000000-0005-0000-0000-000046230000}"/>
    <cellStyle name="Normal 5 2 5 2 4 2 4" xfId="9030" xr:uid="{00000000-0005-0000-0000-000047230000}"/>
    <cellStyle name="Normal 5 2 5 2 4 3" xfId="9031" xr:uid="{00000000-0005-0000-0000-000048230000}"/>
    <cellStyle name="Normal 5 2 5 2 4 3 2" xfId="9032" xr:uid="{00000000-0005-0000-0000-000049230000}"/>
    <cellStyle name="Normal 5 2 5 2 4 3 2 2" xfId="9033" xr:uid="{00000000-0005-0000-0000-00004A230000}"/>
    <cellStyle name="Normal 5 2 5 2 4 3 3" xfId="9034" xr:uid="{00000000-0005-0000-0000-00004B230000}"/>
    <cellStyle name="Normal 5 2 5 2 4 4" xfId="9035" xr:uid="{00000000-0005-0000-0000-00004C230000}"/>
    <cellStyle name="Normal 5 2 5 2 4 4 2" xfId="9036" xr:uid="{00000000-0005-0000-0000-00004D230000}"/>
    <cellStyle name="Normal 5 2 5 2 4 5" xfId="9037" xr:uid="{00000000-0005-0000-0000-00004E230000}"/>
    <cellStyle name="Normal 5 2 5 2 5" xfId="9038" xr:uid="{00000000-0005-0000-0000-00004F230000}"/>
    <cellStyle name="Normal 5 2 5 2 5 2" xfId="9039" xr:uid="{00000000-0005-0000-0000-000050230000}"/>
    <cellStyle name="Normal 5 2 5 2 5 2 2" xfId="9040" xr:uid="{00000000-0005-0000-0000-000051230000}"/>
    <cellStyle name="Normal 5 2 5 2 5 2 2 2" xfId="9041" xr:uid="{00000000-0005-0000-0000-000052230000}"/>
    <cellStyle name="Normal 5 2 5 2 5 2 3" xfId="9042" xr:uid="{00000000-0005-0000-0000-000053230000}"/>
    <cellStyle name="Normal 5 2 5 2 5 3" xfId="9043" xr:uid="{00000000-0005-0000-0000-000054230000}"/>
    <cellStyle name="Normal 5 2 5 2 5 3 2" xfId="9044" xr:uid="{00000000-0005-0000-0000-000055230000}"/>
    <cellStyle name="Normal 5 2 5 2 5 4" xfId="9045" xr:uid="{00000000-0005-0000-0000-000056230000}"/>
    <cellStyle name="Normal 5 2 5 2 6" xfId="9046" xr:uid="{00000000-0005-0000-0000-000057230000}"/>
    <cellStyle name="Normal 5 2 5 2 6 2" xfId="9047" xr:uid="{00000000-0005-0000-0000-000058230000}"/>
    <cellStyle name="Normal 5 2 5 2 6 2 2" xfId="9048" xr:uid="{00000000-0005-0000-0000-000059230000}"/>
    <cellStyle name="Normal 5 2 5 2 6 3" xfId="9049" xr:uid="{00000000-0005-0000-0000-00005A230000}"/>
    <cellStyle name="Normal 5 2 5 2 7" xfId="9050" xr:uid="{00000000-0005-0000-0000-00005B230000}"/>
    <cellStyle name="Normal 5 2 5 2 7 2" xfId="9051" xr:uid="{00000000-0005-0000-0000-00005C230000}"/>
    <cellStyle name="Normal 5 2 5 2 8" xfId="9052" xr:uid="{00000000-0005-0000-0000-00005D230000}"/>
    <cellStyle name="Normal 5 2 5 3" xfId="9053" xr:uid="{00000000-0005-0000-0000-00005E230000}"/>
    <cellStyle name="Normal 5 2 5 3 2" xfId="9054" xr:uid="{00000000-0005-0000-0000-00005F230000}"/>
    <cellStyle name="Normal 5 2 5 3 2 2" xfId="9055" xr:uid="{00000000-0005-0000-0000-000060230000}"/>
    <cellStyle name="Normal 5 2 5 3 2 2 2" xfId="9056" xr:uid="{00000000-0005-0000-0000-000061230000}"/>
    <cellStyle name="Normal 5 2 5 3 2 2 2 2" xfId="9057" xr:uid="{00000000-0005-0000-0000-000062230000}"/>
    <cellStyle name="Normal 5 2 5 3 2 2 2 2 2" xfId="9058" xr:uid="{00000000-0005-0000-0000-000063230000}"/>
    <cellStyle name="Normal 5 2 5 3 2 2 2 2 2 2" xfId="9059" xr:uid="{00000000-0005-0000-0000-000064230000}"/>
    <cellStyle name="Normal 5 2 5 3 2 2 2 2 3" xfId="9060" xr:uid="{00000000-0005-0000-0000-000065230000}"/>
    <cellStyle name="Normal 5 2 5 3 2 2 2 3" xfId="9061" xr:uid="{00000000-0005-0000-0000-000066230000}"/>
    <cellStyle name="Normal 5 2 5 3 2 2 2 3 2" xfId="9062" xr:uid="{00000000-0005-0000-0000-000067230000}"/>
    <cellStyle name="Normal 5 2 5 3 2 2 2 4" xfId="9063" xr:uid="{00000000-0005-0000-0000-000068230000}"/>
    <cellStyle name="Normal 5 2 5 3 2 2 3" xfId="9064" xr:uid="{00000000-0005-0000-0000-000069230000}"/>
    <cellStyle name="Normal 5 2 5 3 2 2 3 2" xfId="9065" xr:uid="{00000000-0005-0000-0000-00006A230000}"/>
    <cellStyle name="Normal 5 2 5 3 2 2 3 2 2" xfId="9066" xr:uid="{00000000-0005-0000-0000-00006B230000}"/>
    <cellStyle name="Normal 5 2 5 3 2 2 3 3" xfId="9067" xr:uid="{00000000-0005-0000-0000-00006C230000}"/>
    <cellStyle name="Normal 5 2 5 3 2 2 4" xfId="9068" xr:uid="{00000000-0005-0000-0000-00006D230000}"/>
    <cellStyle name="Normal 5 2 5 3 2 2 4 2" xfId="9069" xr:uid="{00000000-0005-0000-0000-00006E230000}"/>
    <cellStyle name="Normal 5 2 5 3 2 2 5" xfId="9070" xr:uid="{00000000-0005-0000-0000-00006F230000}"/>
    <cellStyle name="Normal 5 2 5 3 2 3" xfId="9071" xr:uid="{00000000-0005-0000-0000-000070230000}"/>
    <cellStyle name="Normal 5 2 5 3 2 3 2" xfId="9072" xr:uid="{00000000-0005-0000-0000-000071230000}"/>
    <cellStyle name="Normal 5 2 5 3 2 3 2 2" xfId="9073" xr:uid="{00000000-0005-0000-0000-000072230000}"/>
    <cellStyle name="Normal 5 2 5 3 2 3 2 2 2" xfId="9074" xr:uid="{00000000-0005-0000-0000-000073230000}"/>
    <cellStyle name="Normal 5 2 5 3 2 3 2 3" xfId="9075" xr:uid="{00000000-0005-0000-0000-000074230000}"/>
    <cellStyle name="Normal 5 2 5 3 2 3 3" xfId="9076" xr:uid="{00000000-0005-0000-0000-000075230000}"/>
    <cellStyle name="Normal 5 2 5 3 2 3 3 2" xfId="9077" xr:uid="{00000000-0005-0000-0000-000076230000}"/>
    <cellStyle name="Normal 5 2 5 3 2 3 4" xfId="9078" xr:uid="{00000000-0005-0000-0000-000077230000}"/>
    <cellStyle name="Normal 5 2 5 3 2 4" xfId="9079" xr:uid="{00000000-0005-0000-0000-000078230000}"/>
    <cellStyle name="Normal 5 2 5 3 2 4 2" xfId="9080" xr:uid="{00000000-0005-0000-0000-000079230000}"/>
    <cellStyle name="Normal 5 2 5 3 2 4 2 2" xfId="9081" xr:uid="{00000000-0005-0000-0000-00007A230000}"/>
    <cellStyle name="Normal 5 2 5 3 2 4 3" xfId="9082" xr:uid="{00000000-0005-0000-0000-00007B230000}"/>
    <cellStyle name="Normal 5 2 5 3 2 5" xfId="9083" xr:uid="{00000000-0005-0000-0000-00007C230000}"/>
    <cellStyle name="Normal 5 2 5 3 2 5 2" xfId="9084" xr:uid="{00000000-0005-0000-0000-00007D230000}"/>
    <cellStyle name="Normal 5 2 5 3 2 6" xfId="9085" xr:uid="{00000000-0005-0000-0000-00007E230000}"/>
    <cellStyle name="Normal 5 2 5 3 3" xfId="9086" xr:uid="{00000000-0005-0000-0000-00007F230000}"/>
    <cellStyle name="Normal 5 2 5 3 3 2" xfId="9087" xr:uid="{00000000-0005-0000-0000-000080230000}"/>
    <cellStyle name="Normal 5 2 5 3 3 2 2" xfId="9088" xr:uid="{00000000-0005-0000-0000-000081230000}"/>
    <cellStyle name="Normal 5 2 5 3 3 2 2 2" xfId="9089" xr:uid="{00000000-0005-0000-0000-000082230000}"/>
    <cellStyle name="Normal 5 2 5 3 3 2 2 2 2" xfId="9090" xr:uid="{00000000-0005-0000-0000-000083230000}"/>
    <cellStyle name="Normal 5 2 5 3 3 2 2 3" xfId="9091" xr:uid="{00000000-0005-0000-0000-000084230000}"/>
    <cellStyle name="Normal 5 2 5 3 3 2 3" xfId="9092" xr:uid="{00000000-0005-0000-0000-000085230000}"/>
    <cellStyle name="Normal 5 2 5 3 3 2 3 2" xfId="9093" xr:uid="{00000000-0005-0000-0000-000086230000}"/>
    <cellStyle name="Normal 5 2 5 3 3 2 4" xfId="9094" xr:uid="{00000000-0005-0000-0000-000087230000}"/>
    <cellStyle name="Normal 5 2 5 3 3 3" xfId="9095" xr:uid="{00000000-0005-0000-0000-000088230000}"/>
    <cellStyle name="Normal 5 2 5 3 3 3 2" xfId="9096" xr:uid="{00000000-0005-0000-0000-000089230000}"/>
    <cellStyle name="Normal 5 2 5 3 3 3 2 2" xfId="9097" xr:uid="{00000000-0005-0000-0000-00008A230000}"/>
    <cellStyle name="Normal 5 2 5 3 3 3 3" xfId="9098" xr:uid="{00000000-0005-0000-0000-00008B230000}"/>
    <cellStyle name="Normal 5 2 5 3 3 4" xfId="9099" xr:uid="{00000000-0005-0000-0000-00008C230000}"/>
    <cellStyle name="Normal 5 2 5 3 3 4 2" xfId="9100" xr:uid="{00000000-0005-0000-0000-00008D230000}"/>
    <cellStyle name="Normal 5 2 5 3 3 5" xfId="9101" xr:uid="{00000000-0005-0000-0000-00008E230000}"/>
    <cellStyle name="Normal 5 2 5 3 4" xfId="9102" xr:uid="{00000000-0005-0000-0000-00008F230000}"/>
    <cellStyle name="Normal 5 2 5 3 4 2" xfId="9103" xr:uid="{00000000-0005-0000-0000-000090230000}"/>
    <cellStyle name="Normal 5 2 5 3 4 2 2" xfId="9104" xr:uid="{00000000-0005-0000-0000-000091230000}"/>
    <cellStyle name="Normal 5 2 5 3 4 2 2 2" xfId="9105" xr:uid="{00000000-0005-0000-0000-000092230000}"/>
    <cellStyle name="Normal 5 2 5 3 4 2 3" xfId="9106" xr:uid="{00000000-0005-0000-0000-000093230000}"/>
    <cellStyle name="Normal 5 2 5 3 4 3" xfId="9107" xr:uid="{00000000-0005-0000-0000-000094230000}"/>
    <cellStyle name="Normal 5 2 5 3 4 3 2" xfId="9108" xr:uid="{00000000-0005-0000-0000-000095230000}"/>
    <cellStyle name="Normal 5 2 5 3 4 4" xfId="9109" xr:uid="{00000000-0005-0000-0000-000096230000}"/>
    <cellStyle name="Normal 5 2 5 3 5" xfId="9110" xr:uid="{00000000-0005-0000-0000-000097230000}"/>
    <cellStyle name="Normal 5 2 5 3 5 2" xfId="9111" xr:uid="{00000000-0005-0000-0000-000098230000}"/>
    <cellStyle name="Normal 5 2 5 3 5 2 2" xfId="9112" xr:uid="{00000000-0005-0000-0000-000099230000}"/>
    <cellStyle name="Normal 5 2 5 3 5 3" xfId="9113" xr:uid="{00000000-0005-0000-0000-00009A230000}"/>
    <cellStyle name="Normal 5 2 5 3 6" xfId="9114" xr:uid="{00000000-0005-0000-0000-00009B230000}"/>
    <cellStyle name="Normal 5 2 5 3 6 2" xfId="9115" xr:uid="{00000000-0005-0000-0000-00009C230000}"/>
    <cellStyle name="Normal 5 2 5 3 7" xfId="9116" xr:uid="{00000000-0005-0000-0000-00009D230000}"/>
    <cellStyle name="Normal 5 2 5 4" xfId="9117" xr:uid="{00000000-0005-0000-0000-00009E230000}"/>
    <cellStyle name="Normal 5 2 5 4 2" xfId="9118" xr:uid="{00000000-0005-0000-0000-00009F230000}"/>
    <cellStyle name="Normal 5 2 5 4 2 2" xfId="9119" xr:uid="{00000000-0005-0000-0000-0000A0230000}"/>
    <cellStyle name="Normal 5 2 5 4 2 2 2" xfId="9120" xr:uid="{00000000-0005-0000-0000-0000A1230000}"/>
    <cellStyle name="Normal 5 2 5 4 2 2 2 2" xfId="9121" xr:uid="{00000000-0005-0000-0000-0000A2230000}"/>
    <cellStyle name="Normal 5 2 5 4 2 2 2 2 2" xfId="9122" xr:uid="{00000000-0005-0000-0000-0000A3230000}"/>
    <cellStyle name="Normal 5 2 5 4 2 2 2 3" xfId="9123" xr:uid="{00000000-0005-0000-0000-0000A4230000}"/>
    <cellStyle name="Normal 5 2 5 4 2 2 3" xfId="9124" xr:uid="{00000000-0005-0000-0000-0000A5230000}"/>
    <cellStyle name="Normal 5 2 5 4 2 2 3 2" xfId="9125" xr:uid="{00000000-0005-0000-0000-0000A6230000}"/>
    <cellStyle name="Normal 5 2 5 4 2 2 4" xfId="9126" xr:uid="{00000000-0005-0000-0000-0000A7230000}"/>
    <cellStyle name="Normal 5 2 5 4 2 3" xfId="9127" xr:uid="{00000000-0005-0000-0000-0000A8230000}"/>
    <cellStyle name="Normal 5 2 5 4 2 3 2" xfId="9128" xr:uid="{00000000-0005-0000-0000-0000A9230000}"/>
    <cellStyle name="Normal 5 2 5 4 2 3 2 2" xfId="9129" xr:uid="{00000000-0005-0000-0000-0000AA230000}"/>
    <cellStyle name="Normal 5 2 5 4 2 3 3" xfId="9130" xr:uid="{00000000-0005-0000-0000-0000AB230000}"/>
    <cellStyle name="Normal 5 2 5 4 2 4" xfId="9131" xr:uid="{00000000-0005-0000-0000-0000AC230000}"/>
    <cellStyle name="Normal 5 2 5 4 2 4 2" xfId="9132" xr:uid="{00000000-0005-0000-0000-0000AD230000}"/>
    <cellStyle name="Normal 5 2 5 4 2 5" xfId="9133" xr:uid="{00000000-0005-0000-0000-0000AE230000}"/>
    <cellStyle name="Normal 5 2 5 4 3" xfId="9134" xr:uid="{00000000-0005-0000-0000-0000AF230000}"/>
    <cellStyle name="Normal 5 2 5 4 3 2" xfId="9135" xr:uid="{00000000-0005-0000-0000-0000B0230000}"/>
    <cellStyle name="Normal 5 2 5 4 3 2 2" xfId="9136" xr:uid="{00000000-0005-0000-0000-0000B1230000}"/>
    <cellStyle name="Normal 5 2 5 4 3 2 2 2" xfId="9137" xr:uid="{00000000-0005-0000-0000-0000B2230000}"/>
    <cellStyle name="Normal 5 2 5 4 3 2 3" xfId="9138" xr:uid="{00000000-0005-0000-0000-0000B3230000}"/>
    <cellStyle name="Normal 5 2 5 4 3 3" xfId="9139" xr:uid="{00000000-0005-0000-0000-0000B4230000}"/>
    <cellStyle name="Normal 5 2 5 4 3 3 2" xfId="9140" xr:uid="{00000000-0005-0000-0000-0000B5230000}"/>
    <cellStyle name="Normal 5 2 5 4 3 4" xfId="9141" xr:uid="{00000000-0005-0000-0000-0000B6230000}"/>
    <cellStyle name="Normal 5 2 5 4 4" xfId="9142" xr:uid="{00000000-0005-0000-0000-0000B7230000}"/>
    <cellStyle name="Normal 5 2 5 4 4 2" xfId="9143" xr:uid="{00000000-0005-0000-0000-0000B8230000}"/>
    <cellStyle name="Normal 5 2 5 4 4 2 2" xfId="9144" xr:uid="{00000000-0005-0000-0000-0000B9230000}"/>
    <cellStyle name="Normal 5 2 5 4 4 3" xfId="9145" xr:uid="{00000000-0005-0000-0000-0000BA230000}"/>
    <cellStyle name="Normal 5 2 5 4 5" xfId="9146" xr:uid="{00000000-0005-0000-0000-0000BB230000}"/>
    <cellStyle name="Normal 5 2 5 4 5 2" xfId="9147" xr:uid="{00000000-0005-0000-0000-0000BC230000}"/>
    <cellStyle name="Normal 5 2 5 4 6" xfId="9148" xr:uid="{00000000-0005-0000-0000-0000BD230000}"/>
    <cellStyle name="Normal 5 2 5 5" xfId="9149" xr:uid="{00000000-0005-0000-0000-0000BE230000}"/>
    <cellStyle name="Normal 5 2 5 5 2" xfId="9150" xr:uid="{00000000-0005-0000-0000-0000BF230000}"/>
    <cellStyle name="Normal 5 2 5 5 2 2" xfId="9151" xr:uid="{00000000-0005-0000-0000-0000C0230000}"/>
    <cellStyle name="Normal 5 2 5 5 2 2 2" xfId="9152" xr:uid="{00000000-0005-0000-0000-0000C1230000}"/>
    <cellStyle name="Normal 5 2 5 5 2 2 2 2" xfId="9153" xr:uid="{00000000-0005-0000-0000-0000C2230000}"/>
    <cellStyle name="Normal 5 2 5 5 2 2 3" xfId="9154" xr:uid="{00000000-0005-0000-0000-0000C3230000}"/>
    <cellStyle name="Normal 5 2 5 5 2 3" xfId="9155" xr:uid="{00000000-0005-0000-0000-0000C4230000}"/>
    <cellStyle name="Normal 5 2 5 5 2 3 2" xfId="9156" xr:uid="{00000000-0005-0000-0000-0000C5230000}"/>
    <cellStyle name="Normal 5 2 5 5 2 4" xfId="9157" xr:uid="{00000000-0005-0000-0000-0000C6230000}"/>
    <cellStyle name="Normal 5 2 5 5 3" xfId="9158" xr:uid="{00000000-0005-0000-0000-0000C7230000}"/>
    <cellStyle name="Normal 5 2 5 5 3 2" xfId="9159" xr:uid="{00000000-0005-0000-0000-0000C8230000}"/>
    <cellStyle name="Normal 5 2 5 5 3 2 2" xfId="9160" xr:uid="{00000000-0005-0000-0000-0000C9230000}"/>
    <cellStyle name="Normal 5 2 5 5 3 3" xfId="9161" xr:uid="{00000000-0005-0000-0000-0000CA230000}"/>
    <cellStyle name="Normal 5 2 5 5 4" xfId="9162" xr:uid="{00000000-0005-0000-0000-0000CB230000}"/>
    <cellStyle name="Normal 5 2 5 5 4 2" xfId="9163" xr:uid="{00000000-0005-0000-0000-0000CC230000}"/>
    <cellStyle name="Normal 5 2 5 5 5" xfId="9164" xr:uid="{00000000-0005-0000-0000-0000CD230000}"/>
    <cellStyle name="Normal 5 2 5 6" xfId="9165" xr:uid="{00000000-0005-0000-0000-0000CE230000}"/>
    <cellStyle name="Normal 5 2 5 6 2" xfId="9166" xr:uid="{00000000-0005-0000-0000-0000CF230000}"/>
    <cellStyle name="Normal 5 2 5 6 2 2" xfId="9167" xr:uid="{00000000-0005-0000-0000-0000D0230000}"/>
    <cellStyle name="Normal 5 2 5 6 2 2 2" xfId="9168" xr:uid="{00000000-0005-0000-0000-0000D1230000}"/>
    <cellStyle name="Normal 5 2 5 6 2 3" xfId="9169" xr:uid="{00000000-0005-0000-0000-0000D2230000}"/>
    <cellStyle name="Normal 5 2 5 6 3" xfId="9170" xr:uid="{00000000-0005-0000-0000-0000D3230000}"/>
    <cellStyle name="Normal 5 2 5 6 3 2" xfId="9171" xr:uid="{00000000-0005-0000-0000-0000D4230000}"/>
    <cellStyle name="Normal 5 2 5 6 4" xfId="9172" xr:uid="{00000000-0005-0000-0000-0000D5230000}"/>
    <cellStyle name="Normal 5 2 5 7" xfId="9173" xr:uid="{00000000-0005-0000-0000-0000D6230000}"/>
    <cellStyle name="Normal 5 2 5 7 2" xfId="9174" xr:uid="{00000000-0005-0000-0000-0000D7230000}"/>
    <cellStyle name="Normal 5 2 5 7 2 2" xfId="9175" xr:uid="{00000000-0005-0000-0000-0000D8230000}"/>
    <cellStyle name="Normal 5 2 5 7 3" xfId="9176" xr:uid="{00000000-0005-0000-0000-0000D9230000}"/>
    <cellStyle name="Normal 5 2 5 8" xfId="9177" xr:uid="{00000000-0005-0000-0000-0000DA230000}"/>
    <cellStyle name="Normal 5 2 5 8 2" xfId="9178" xr:uid="{00000000-0005-0000-0000-0000DB230000}"/>
    <cellStyle name="Normal 5 2 5 9" xfId="9179" xr:uid="{00000000-0005-0000-0000-0000DC230000}"/>
    <cellStyle name="Normal 5 2 6" xfId="9180" xr:uid="{00000000-0005-0000-0000-0000DD230000}"/>
    <cellStyle name="Normal 5 2 6 2" xfId="9181" xr:uid="{00000000-0005-0000-0000-0000DE230000}"/>
    <cellStyle name="Normal 5 2 6 2 2" xfId="9182" xr:uid="{00000000-0005-0000-0000-0000DF230000}"/>
    <cellStyle name="Normal 5 2 6 2 2 2" xfId="9183" xr:uid="{00000000-0005-0000-0000-0000E0230000}"/>
    <cellStyle name="Normal 5 2 6 2 2 2 2" xfId="9184" xr:uid="{00000000-0005-0000-0000-0000E1230000}"/>
    <cellStyle name="Normal 5 2 6 2 2 2 2 2" xfId="9185" xr:uid="{00000000-0005-0000-0000-0000E2230000}"/>
    <cellStyle name="Normal 5 2 6 2 2 2 2 2 2" xfId="9186" xr:uid="{00000000-0005-0000-0000-0000E3230000}"/>
    <cellStyle name="Normal 5 2 6 2 2 2 2 2 2 2" xfId="9187" xr:uid="{00000000-0005-0000-0000-0000E4230000}"/>
    <cellStyle name="Normal 5 2 6 2 2 2 2 2 3" xfId="9188" xr:uid="{00000000-0005-0000-0000-0000E5230000}"/>
    <cellStyle name="Normal 5 2 6 2 2 2 2 3" xfId="9189" xr:uid="{00000000-0005-0000-0000-0000E6230000}"/>
    <cellStyle name="Normal 5 2 6 2 2 2 2 3 2" xfId="9190" xr:uid="{00000000-0005-0000-0000-0000E7230000}"/>
    <cellStyle name="Normal 5 2 6 2 2 2 2 4" xfId="9191" xr:uid="{00000000-0005-0000-0000-0000E8230000}"/>
    <cellStyle name="Normal 5 2 6 2 2 2 3" xfId="9192" xr:uid="{00000000-0005-0000-0000-0000E9230000}"/>
    <cellStyle name="Normal 5 2 6 2 2 2 3 2" xfId="9193" xr:uid="{00000000-0005-0000-0000-0000EA230000}"/>
    <cellStyle name="Normal 5 2 6 2 2 2 3 2 2" xfId="9194" xr:uid="{00000000-0005-0000-0000-0000EB230000}"/>
    <cellStyle name="Normal 5 2 6 2 2 2 3 3" xfId="9195" xr:uid="{00000000-0005-0000-0000-0000EC230000}"/>
    <cellStyle name="Normal 5 2 6 2 2 2 4" xfId="9196" xr:uid="{00000000-0005-0000-0000-0000ED230000}"/>
    <cellStyle name="Normal 5 2 6 2 2 2 4 2" xfId="9197" xr:uid="{00000000-0005-0000-0000-0000EE230000}"/>
    <cellStyle name="Normal 5 2 6 2 2 2 5" xfId="9198" xr:uid="{00000000-0005-0000-0000-0000EF230000}"/>
    <cellStyle name="Normal 5 2 6 2 2 3" xfId="9199" xr:uid="{00000000-0005-0000-0000-0000F0230000}"/>
    <cellStyle name="Normal 5 2 6 2 2 3 2" xfId="9200" xr:uid="{00000000-0005-0000-0000-0000F1230000}"/>
    <cellStyle name="Normal 5 2 6 2 2 3 2 2" xfId="9201" xr:uid="{00000000-0005-0000-0000-0000F2230000}"/>
    <cellStyle name="Normal 5 2 6 2 2 3 2 2 2" xfId="9202" xr:uid="{00000000-0005-0000-0000-0000F3230000}"/>
    <cellStyle name="Normal 5 2 6 2 2 3 2 3" xfId="9203" xr:uid="{00000000-0005-0000-0000-0000F4230000}"/>
    <cellStyle name="Normal 5 2 6 2 2 3 3" xfId="9204" xr:uid="{00000000-0005-0000-0000-0000F5230000}"/>
    <cellStyle name="Normal 5 2 6 2 2 3 3 2" xfId="9205" xr:uid="{00000000-0005-0000-0000-0000F6230000}"/>
    <cellStyle name="Normal 5 2 6 2 2 3 4" xfId="9206" xr:uid="{00000000-0005-0000-0000-0000F7230000}"/>
    <cellStyle name="Normal 5 2 6 2 2 4" xfId="9207" xr:uid="{00000000-0005-0000-0000-0000F8230000}"/>
    <cellStyle name="Normal 5 2 6 2 2 4 2" xfId="9208" xr:uid="{00000000-0005-0000-0000-0000F9230000}"/>
    <cellStyle name="Normal 5 2 6 2 2 4 2 2" xfId="9209" xr:uid="{00000000-0005-0000-0000-0000FA230000}"/>
    <cellStyle name="Normal 5 2 6 2 2 4 3" xfId="9210" xr:uid="{00000000-0005-0000-0000-0000FB230000}"/>
    <cellStyle name="Normal 5 2 6 2 2 5" xfId="9211" xr:uid="{00000000-0005-0000-0000-0000FC230000}"/>
    <cellStyle name="Normal 5 2 6 2 2 5 2" xfId="9212" xr:uid="{00000000-0005-0000-0000-0000FD230000}"/>
    <cellStyle name="Normal 5 2 6 2 2 6" xfId="9213" xr:uid="{00000000-0005-0000-0000-0000FE230000}"/>
    <cellStyle name="Normal 5 2 6 2 3" xfId="9214" xr:uid="{00000000-0005-0000-0000-0000FF230000}"/>
    <cellStyle name="Normal 5 2 6 2 3 2" xfId="9215" xr:uid="{00000000-0005-0000-0000-000000240000}"/>
    <cellStyle name="Normal 5 2 6 2 3 2 2" xfId="9216" xr:uid="{00000000-0005-0000-0000-000001240000}"/>
    <cellStyle name="Normal 5 2 6 2 3 2 2 2" xfId="9217" xr:uid="{00000000-0005-0000-0000-000002240000}"/>
    <cellStyle name="Normal 5 2 6 2 3 2 2 2 2" xfId="9218" xr:uid="{00000000-0005-0000-0000-000003240000}"/>
    <cellStyle name="Normal 5 2 6 2 3 2 2 3" xfId="9219" xr:uid="{00000000-0005-0000-0000-000004240000}"/>
    <cellStyle name="Normal 5 2 6 2 3 2 3" xfId="9220" xr:uid="{00000000-0005-0000-0000-000005240000}"/>
    <cellStyle name="Normal 5 2 6 2 3 2 3 2" xfId="9221" xr:uid="{00000000-0005-0000-0000-000006240000}"/>
    <cellStyle name="Normal 5 2 6 2 3 2 4" xfId="9222" xr:uid="{00000000-0005-0000-0000-000007240000}"/>
    <cellStyle name="Normal 5 2 6 2 3 3" xfId="9223" xr:uid="{00000000-0005-0000-0000-000008240000}"/>
    <cellStyle name="Normal 5 2 6 2 3 3 2" xfId="9224" xr:uid="{00000000-0005-0000-0000-000009240000}"/>
    <cellStyle name="Normal 5 2 6 2 3 3 2 2" xfId="9225" xr:uid="{00000000-0005-0000-0000-00000A240000}"/>
    <cellStyle name="Normal 5 2 6 2 3 3 3" xfId="9226" xr:uid="{00000000-0005-0000-0000-00000B240000}"/>
    <cellStyle name="Normal 5 2 6 2 3 4" xfId="9227" xr:uid="{00000000-0005-0000-0000-00000C240000}"/>
    <cellStyle name="Normal 5 2 6 2 3 4 2" xfId="9228" xr:uid="{00000000-0005-0000-0000-00000D240000}"/>
    <cellStyle name="Normal 5 2 6 2 3 5" xfId="9229" xr:uid="{00000000-0005-0000-0000-00000E240000}"/>
    <cellStyle name="Normal 5 2 6 2 4" xfId="9230" xr:uid="{00000000-0005-0000-0000-00000F240000}"/>
    <cellStyle name="Normal 5 2 6 2 4 2" xfId="9231" xr:uid="{00000000-0005-0000-0000-000010240000}"/>
    <cellStyle name="Normal 5 2 6 2 4 2 2" xfId="9232" xr:uid="{00000000-0005-0000-0000-000011240000}"/>
    <cellStyle name="Normal 5 2 6 2 4 2 2 2" xfId="9233" xr:uid="{00000000-0005-0000-0000-000012240000}"/>
    <cellStyle name="Normal 5 2 6 2 4 2 3" xfId="9234" xr:uid="{00000000-0005-0000-0000-000013240000}"/>
    <cellStyle name="Normal 5 2 6 2 4 3" xfId="9235" xr:uid="{00000000-0005-0000-0000-000014240000}"/>
    <cellStyle name="Normal 5 2 6 2 4 3 2" xfId="9236" xr:uid="{00000000-0005-0000-0000-000015240000}"/>
    <cellStyle name="Normal 5 2 6 2 4 4" xfId="9237" xr:uid="{00000000-0005-0000-0000-000016240000}"/>
    <cellStyle name="Normal 5 2 6 2 5" xfId="9238" xr:uid="{00000000-0005-0000-0000-000017240000}"/>
    <cellStyle name="Normal 5 2 6 2 5 2" xfId="9239" xr:uid="{00000000-0005-0000-0000-000018240000}"/>
    <cellStyle name="Normal 5 2 6 2 5 2 2" xfId="9240" xr:uid="{00000000-0005-0000-0000-000019240000}"/>
    <cellStyle name="Normal 5 2 6 2 5 3" xfId="9241" xr:uid="{00000000-0005-0000-0000-00001A240000}"/>
    <cellStyle name="Normal 5 2 6 2 6" xfId="9242" xr:uid="{00000000-0005-0000-0000-00001B240000}"/>
    <cellStyle name="Normal 5 2 6 2 6 2" xfId="9243" xr:uid="{00000000-0005-0000-0000-00001C240000}"/>
    <cellStyle name="Normal 5 2 6 2 7" xfId="9244" xr:uid="{00000000-0005-0000-0000-00001D240000}"/>
    <cellStyle name="Normal 5 2 6 3" xfId="9245" xr:uid="{00000000-0005-0000-0000-00001E240000}"/>
    <cellStyle name="Normal 5 2 6 3 2" xfId="9246" xr:uid="{00000000-0005-0000-0000-00001F240000}"/>
    <cellStyle name="Normal 5 2 6 3 2 2" xfId="9247" xr:uid="{00000000-0005-0000-0000-000020240000}"/>
    <cellStyle name="Normal 5 2 6 3 2 2 2" xfId="9248" xr:uid="{00000000-0005-0000-0000-000021240000}"/>
    <cellStyle name="Normal 5 2 6 3 2 2 2 2" xfId="9249" xr:uid="{00000000-0005-0000-0000-000022240000}"/>
    <cellStyle name="Normal 5 2 6 3 2 2 2 2 2" xfId="9250" xr:uid="{00000000-0005-0000-0000-000023240000}"/>
    <cellStyle name="Normal 5 2 6 3 2 2 2 3" xfId="9251" xr:uid="{00000000-0005-0000-0000-000024240000}"/>
    <cellStyle name="Normal 5 2 6 3 2 2 3" xfId="9252" xr:uid="{00000000-0005-0000-0000-000025240000}"/>
    <cellStyle name="Normal 5 2 6 3 2 2 3 2" xfId="9253" xr:uid="{00000000-0005-0000-0000-000026240000}"/>
    <cellStyle name="Normal 5 2 6 3 2 2 4" xfId="9254" xr:uid="{00000000-0005-0000-0000-000027240000}"/>
    <cellStyle name="Normal 5 2 6 3 2 3" xfId="9255" xr:uid="{00000000-0005-0000-0000-000028240000}"/>
    <cellStyle name="Normal 5 2 6 3 2 3 2" xfId="9256" xr:uid="{00000000-0005-0000-0000-000029240000}"/>
    <cellStyle name="Normal 5 2 6 3 2 3 2 2" xfId="9257" xr:uid="{00000000-0005-0000-0000-00002A240000}"/>
    <cellStyle name="Normal 5 2 6 3 2 3 3" xfId="9258" xr:uid="{00000000-0005-0000-0000-00002B240000}"/>
    <cellStyle name="Normal 5 2 6 3 2 4" xfId="9259" xr:uid="{00000000-0005-0000-0000-00002C240000}"/>
    <cellStyle name="Normal 5 2 6 3 2 4 2" xfId="9260" xr:uid="{00000000-0005-0000-0000-00002D240000}"/>
    <cellStyle name="Normal 5 2 6 3 2 5" xfId="9261" xr:uid="{00000000-0005-0000-0000-00002E240000}"/>
    <cellStyle name="Normal 5 2 6 3 3" xfId="9262" xr:uid="{00000000-0005-0000-0000-00002F240000}"/>
    <cellStyle name="Normal 5 2 6 3 3 2" xfId="9263" xr:uid="{00000000-0005-0000-0000-000030240000}"/>
    <cellStyle name="Normal 5 2 6 3 3 2 2" xfId="9264" xr:uid="{00000000-0005-0000-0000-000031240000}"/>
    <cellStyle name="Normal 5 2 6 3 3 2 2 2" xfId="9265" xr:uid="{00000000-0005-0000-0000-000032240000}"/>
    <cellStyle name="Normal 5 2 6 3 3 2 3" xfId="9266" xr:uid="{00000000-0005-0000-0000-000033240000}"/>
    <cellStyle name="Normal 5 2 6 3 3 3" xfId="9267" xr:uid="{00000000-0005-0000-0000-000034240000}"/>
    <cellStyle name="Normal 5 2 6 3 3 3 2" xfId="9268" xr:uid="{00000000-0005-0000-0000-000035240000}"/>
    <cellStyle name="Normal 5 2 6 3 3 4" xfId="9269" xr:uid="{00000000-0005-0000-0000-000036240000}"/>
    <cellStyle name="Normal 5 2 6 3 4" xfId="9270" xr:uid="{00000000-0005-0000-0000-000037240000}"/>
    <cellStyle name="Normal 5 2 6 3 4 2" xfId="9271" xr:uid="{00000000-0005-0000-0000-000038240000}"/>
    <cellStyle name="Normal 5 2 6 3 4 2 2" xfId="9272" xr:uid="{00000000-0005-0000-0000-000039240000}"/>
    <cellStyle name="Normal 5 2 6 3 4 3" xfId="9273" xr:uid="{00000000-0005-0000-0000-00003A240000}"/>
    <cellStyle name="Normal 5 2 6 3 5" xfId="9274" xr:uid="{00000000-0005-0000-0000-00003B240000}"/>
    <cellStyle name="Normal 5 2 6 3 5 2" xfId="9275" xr:uid="{00000000-0005-0000-0000-00003C240000}"/>
    <cellStyle name="Normal 5 2 6 3 6" xfId="9276" xr:uid="{00000000-0005-0000-0000-00003D240000}"/>
    <cellStyle name="Normal 5 2 6 4" xfId="9277" xr:uid="{00000000-0005-0000-0000-00003E240000}"/>
    <cellStyle name="Normal 5 2 6 4 2" xfId="9278" xr:uid="{00000000-0005-0000-0000-00003F240000}"/>
    <cellStyle name="Normal 5 2 6 4 2 2" xfId="9279" xr:uid="{00000000-0005-0000-0000-000040240000}"/>
    <cellStyle name="Normal 5 2 6 4 2 2 2" xfId="9280" xr:uid="{00000000-0005-0000-0000-000041240000}"/>
    <cellStyle name="Normal 5 2 6 4 2 2 2 2" xfId="9281" xr:uid="{00000000-0005-0000-0000-000042240000}"/>
    <cellStyle name="Normal 5 2 6 4 2 2 3" xfId="9282" xr:uid="{00000000-0005-0000-0000-000043240000}"/>
    <cellStyle name="Normal 5 2 6 4 2 3" xfId="9283" xr:uid="{00000000-0005-0000-0000-000044240000}"/>
    <cellStyle name="Normal 5 2 6 4 2 3 2" xfId="9284" xr:uid="{00000000-0005-0000-0000-000045240000}"/>
    <cellStyle name="Normal 5 2 6 4 2 4" xfId="9285" xr:uid="{00000000-0005-0000-0000-000046240000}"/>
    <cellStyle name="Normal 5 2 6 4 3" xfId="9286" xr:uid="{00000000-0005-0000-0000-000047240000}"/>
    <cellStyle name="Normal 5 2 6 4 3 2" xfId="9287" xr:uid="{00000000-0005-0000-0000-000048240000}"/>
    <cellStyle name="Normal 5 2 6 4 3 2 2" xfId="9288" xr:uid="{00000000-0005-0000-0000-000049240000}"/>
    <cellStyle name="Normal 5 2 6 4 3 3" xfId="9289" xr:uid="{00000000-0005-0000-0000-00004A240000}"/>
    <cellStyle name="Normal 5 2 6 4 4" xfId="9290" xr:uid="{00000000-0005-0000-0000-00004B240000}"/>
    <cellStyle name="Normal 5 2 6 4 4 2" xfId="9291" xr:uid="{00000000-0005-0000-0000-00004C240000}"/>
    <cellStyle name="Normal 5 2 6 4 5" xfId="9292" xr:uid="{00000000-0005-0000-0000-00004D240000}"/>
    <cellStyle name="Normal 5 2 6 5" xfId="9293" xr:uid="{00000000-0005-0000-0000-00004E240000}"/>
    <cellStyle name="Normal 5 2 6 5 2" xfId="9294" xr:uid="{00000000-0005-0000-0000-00004F240000}"/>
    <cellStyle name="Normal 5 2 6 5 2 2" xfId="9295" xr:uid="{00000000-0005-0000-0000-000050240000}"/>
    <cellStyle name="Normal 5 2 6 5 2 2 2" xfId="9296" xr:uid="{00000000-0005-0000-0000-000051240000}"/>
    <cellStyle name="Normal 5 2 6 5 2 3" xfId="9297" xr:uid="{00000000-0005-0000-0000-000052240000}"/>
    <cellStyle name="Normal 5 2 6 5 3" xfId="9298" xr:uid="{00000000-0005-0000-0000-000053240000}"/>
    <cellStyle name="Normal 5 2 6 5 3 2" xfId="9299" xr:uid="{00000000-0005-0000-0000-000054240000}"/>
    <cellStyle name="Normal 5 2 6 5 4" xfId="9300" xr:uid="{00000000-0005-0000-0000-000055240000}"/>
    <cellStyle name="Normal 5 2 6 6" xfId="9301" xr:uid="{00000000-0005-0000-0000-000056240000}"/>
    <cellStyle name="Normal 5 2 6 6 2" xfId="9302" xr:uid="{00000000-0005-0000-0000-000057240000}"/>
    <cellStyle name="Normal 5 2 6 6 2 2" xfId="9303" xr:uid="{00000000-0005-0000-0000-000058240000}"/>
    <cellStyle name="Normal 5 2 6 6 3" xfId="9304" xr:uid="{00000000-0005-0000-0000-000059240000}"/>
    <cellStyle name="Normal 5 2 6 7" xfId="9305" xr:uid="{00000000-0005-0000-0000-00005A240000}"/>
    <cellStyle name="Normal 5 2 6 7 2" xfId="9306" xr:uid="{00000000-0005-0000-0000-00005B240000}"/>
    <cellStyle name="Normal 5 2 6 8" xfId="9307" xr:uid="{00000000-0005-0000-0000-00005C240000}"/>
    <cellStyle name="Normal 5 2 7" xfId="9308" xr:uid="{00000000-0005-0000-0000-00005D240000}"/>
    <cellStyle name="Normal 5 2 7 2" xfId="9309" xr:uid="{00000000-0005-0000-0000-00005E240000}"/>
    <cellStyle name="Normal 5 2 7 2 2" xfId="9310" xr:uid="{00000000-0005-0000-0000-00005F240000}"/>
    <cellStyle name="Normal 5 2 7 2 2 2" xfId="9311" xr:uid="{00000000-0005-0000-0000-000060240000}"/>
    <cellStyle name="Normal 5 2 7 2 2 2 2" xfId="9312" xr:uid="{00000000-0005-0000-0000-000061240000}"/>
    <cellStyle name="Normal 5 2 7 2 2 2 2 2" xfId="9313" xr:uid="{00000000-0005-0000-0000-000062240000}"/>
    <cellStyle name="Normal 5 2 7 2 2 2 2 2 2" xfId="9314" xr:uid="{00000000-0005-0000-0000-000063240000}"/>
    <cellStyle name="Normal 5 2 7 2 2 2 2 3" xfId="9315" xr:uid="{00000000-0005-0000-0000-000064240000}"/>
    <cellStyle name="Normal 5 2 7 2 2 2 3" xfId="9316" xr:uid="{00000000-0005-0000-0000-000065240000}"/>
    <cellStyle name="Normal 5 2 7 2 2 2 3 2" xfId="9317" xr:uid="{00000000-0005-0000-0000-000066240000}"/>
    <cellStyle name="Normal 5 2 7 2 2 2 4" xfId="9318" xr:uid="{00000000-0005-0000-0000-000067240000}"/>
    <cellStyle name="Normal 5 2 7 2 2 3" xfId="9319" xr:uid="{00000000-0005-0000-0000-000068240000}"/>
    <cellStyle name="Normal 5 2 7 2 2 3 2" xfId="9320" xr:uid="{00000000-0005-0000-0000-000069240000}"/>
    <cellStyle name="Normal 5 2 7 2 2 3 2 2" xfId="9321" xr:uid="{00000000-0005-0000-0000-00006A240000}"/>
    <cellStyle name="Normal 5 2 7 2 2 3 3" xfId="9322" xr:uid="{00000000-0005-0000-0000-00006B240000}"/>
    <cellStyle name="Normal 5 2 7 2 2 4" xfId="9323" xr:uid="{00000000-0005-0000-0000-00006C240000}"/>
    <cellStyle name="Normal 5 2 7 2 2 4 2" xfId="9324" xr:uid="{00000000-0005-0000-0000-00006D240000}"/>
    <cellStyle name="Normal 5 2 7 2 2 5" xfId="9325" xr:uid="{00000000-0005-0000-0000-00006E240000}"/>
    <cellStyle name="Normal 5 2 7 2 3" xfId="9326" xr:uid="{00000000-0005-0000-0000-00006F240000}"/>
    <cellStyle name="Normal 5 2 7 2 3 2" xfId="9327" xr:uid="{00000000-0005-0000-0000-000070240000}"/>
    <cellStyle name="Normal 5 2 7 2 3 2 2" xfId="9328" xr:uid="{00000000-0005-0000-0000-000071240000}"/>
    <cellStyle name="Normal 5 2 7 2 3 2 2 2" xfId="9329" xr:uid="{00000000-0005-0000-0000-000072240000}"/>
    <cellStyle name="Normal 5 2 7 2 3 2 3" xfId="9330" xr:uid="{00000000-0005-0000-0000-000073240000}"/>
    <cellStyle name="Normal 5 2 7 2 3 3" xfId="9331" xr:uid="{00000000-0005-0000-0000-000074240000}"/>
    <cellStyle name="Normal 5 2 7 2 3 3 2" xfId="9332" xr:uid="{00000000-0005-0000-0000-000075240000}"/>
    <cellStyle name="Normal 5 2 7 2 3 4" xfId="9333" xr:uid="{00000000-0005-0000-0000-000076240000}"/>
    <cellStyle name="Normal 5 2 7 2 4" xfId="9334" xr:uid="{00000000-0005-0000-0000-000077240000}"/>
    <cellStyle name="Normal 5 2 7 2 4 2" xfId="9335" xr:uid="{00000000-0005-0000-0000-000078240000}"/>
    <cellStyle name="Normal 5 2 7 2 4 2 2" xfId="9336" xr:uid="{00000000-0005-0000-0000-000079240000}"/>
    <cellStyle name="Normal 5 2 7 2 4 3" xfId="9337" xr:uid="{00000000-0005-0000-0000-00007A240000}"/>
    <cellStyle name="Normal 5 2 7 2 5" xfId="9338" xr:uid="{00000000-0005-0000-0000-00007B240000}"/>
    <cellStyle name="Normal 5 2 7 2 5 2" xfId="9339" xr:uid="{00000000-0005-0000-0000-00007C240000}"/>
    <cellStyle name="Normal 5 2 7 2 6" xfId="9340" xr:uid="{00000000-0005-0000-0000-00007D240000}"/>
    <cellStyle name="Normal 5 2 7 3" xfId="9341" xr:uid="{00000000-0005-0000-0000-00007E240000}"/>
    <cellStyle name="Normal 5 2 7 3 2" xfId="9342" xr:uid="{00000000-0005-0000-0000-00007F240000}"/>
    <cellStyle name="Normal 5 2 7 3 2 2" xfId="9343" xr:uid="{00000000-0005-0000-0000-000080240000}"/>
    <cellStyle name="Normal 5 2 7 3 2 2 2" xfId="9344" xr:uid="{00000000-0005-0000-0000-000081240000}"/>
    <cellStyle name="Normal 5 2 7 3 2 2 2 2" xfId="9345" xr:uid="{00000000-0005-0000-0000-000082240000}"/>
    <cellStyle name="Normal 5 2 7 3 2 2 3" xfId="9346" xr:uid="{00000000-0005-0000-0000-000083240000}"/>
    <cellStyle name="Normal 5 2 7 3 2 3" xfId="9347" xr:uid="{00000000-0005-0000-0000-000084240000}"/>
    <cellStyle name="Normal 5 2 7 3 2 3 2" xfId="9348" xr:uid="{00000000-0005-0000-0000-000085240000}"/>
    <cellStyle name="Normal 5 2 7 3 2 4" xfId="9349" xr:uid="{00000000-0005-0000-0000-000086240000}"/>
    <cellStyle name="Normal 5 2 7 3 3" xfId="9350" xr:uid="{00000000-0005-0000-0000-000087240000}"/>
    <cellStyle name="Normal 5 2 7 3 3 2" xfId="9351" xr:uid="{00000000-0005-0000-0000-000088240000}"/>
    <cellStyle name="Normal 5 2 7 3 3 2 2" xfId="9352" xr:uid="{00000000-0005-0000-0000-000089240000}"/>
    <cellStyle name="Normal 5 2 7 3 3 3" xfId="9353" xr:uid="{00000000-0005-0000-0000-00008A240000}"/>
    <cellStyle name="Normal 5 2 7 3 4" xfId="9354" xr:uid="{00000000-0005-0000-0000-00008B240000}"/>
    <cellStyle name="Normal 5 2 7 3 4 2" xfId="9355" xr:uid="{00000000-0005-0000-0000-00008C240000}"/>
    <cellStyle name="Normal 5 2 7 3 5" xfId="9356" xr:uid="{00000000-0005-0000-0000-00008D240000}"/>
    <cellStyle name="Normal 5 2 7 4" xfId="9357" xr:uid="{00000000-0005-0000-0000-00008E240000}"/>
    <cellStyle name="Normal 5 2 7 4 2" xfId="9358" xr:uid="{00000000-0005-0000-0000-00008F240000}"/>
    <cellStyle name="Normal 5 2 7 4 2 2" xfId="9359" xr:uid="{00000000-0005-0000-0000-000090240000}"/>
    <cellStyle name="Normal 5 2 7 4 2 2 2" xfId="9360" xr:uid="{00000000-0005-0000-0000-000091240000}"/>
    <cellStyle name="Normal 5 2 7 4 2 3" xfId="9361" xr:uid="{00000000-0005-0000-0000-000092240000}"/>
    <cellStyle name="Normal 5 2 7 4 3" xfId="9362" xr:uid="{00000000-0005-0000-0000-000093240000}"/>
    <cellStyle name="Normal 5 2 7 4 3 2" xfId="9363" xr:uid="{00000000-0005-0000-0000-000094240000}"/>
    <cellStyle name="Normal 5 2 7 4 4" xfId="9364" xr:uid="{00000000-0005-0000-0000-000095240000}"/>
    <cellStyle name="Normal 5 2 7 5" xfId="9365" xr:uid="{00000000-0005-0000-0000-000096240000}"/>
    <cellStyle name="Normal 5 2 7 5 2" xfId="9366" xr:uid="{00000000-0005-0000-0000-000097240000}"/>
    <cellStyle name="Normal 5 2 7 5 2 2" xfId="9367" xr:uid="{00000000-0005-0000-0000-000098240000}"/>
    <cellStyle name="Normal 5 2 7 5 3" xfId="9368" xr:uid="{00000000-0005-0000-0000-000099240000}"/>
    <cellStyle name="Normal 5 2 7 6" xfId="9369" xr:uid="{00000000-0005-0000-0000-00009A240000}"/>
    <cellStyle name="Normal 5 2 7 6 2" xfId="9370" xr:uid="{00000000-0005-0000-0000-00009B240000}"/>
    <cellStyle name="Normal 5 2 7 7" xfId="9371" xr:uid="{00000000-0005-0000-0000-00009C240000}"/>
    <cellStyle name="Normal 5 2 8" xfId="9372" xr:uid="{00000000-0005-0000-0000-00009D240000}"/>
    <cellStyle name="Normal 5 2 8 2" xfId="9373" xr:uid="{00000000-0005-0000-0000-00009E240000}"/>
    <cellStyle name="Normal 5 2 8 2 2" xfId="9374" xr:uid="{00000000-0005-0000-0000-00009F240000}"/>
    <cellStyle name="Normal 5 2 8 2 2 2" xfId="9375" xr:uid="{00000000-0005-0000-0000-0000A0240000}"/>
    <cellStyle name="Normal 5 2 8 2 2 2 2" xfId="9376" xr:uid="{00000000-0005-0000-0000-0000A1240000}"/>
    <cellStyle name="Normal 5 2 8 2 2 2 2 2" xfId="9377" xr:uid="{00000000-0005-0000-0000-0000A2240000}"/>
    <cellStyle name="Normal 5 2 8 2 2 2 3" xfId="9378" xr:uid="{00000000-0005-0000-0000-0000A3240000}"/>
    <cellStyle name="Normal 5 2 8 2 2 3" xfId="9379" xr:uid="{00000000-0005-0000-0000-0000A4240000}"/>
    <cellStyle name="Normal 5 2 8 2 2 3 2" xfId="9380" xr:uid="{00000000-0005-0000-0000-0000A5240000}"/>
    <cellStyle name="Normal 5 2 8 2 2 4" xfId="9381" xr:uid="{00000000-0005-0000-0000-0000A6240000}"/>
    <cellStyle name="Normal 5 2 8 2 3" xfId="9382" xr:uid="{00000000-0005-0000-0000-0000A7240000}"/>
    <cellStyle name="Normal 5 2 8 2 3 2" xfId="9383" xr:uid="{00000000-0005-0000-0000-0000A8240000}"/>
    <cellStyle name="Normal 5 2 8 2 3 2 2" xfId="9384" xr:uid="{00000000-0005-0000-0000-0000A9240000}"/>
    <cellStyle name="Normal 5 2 8 2 3 3" xfId="9385" xr:uid="{00000000-0005-0000-0000-0000AA240000}"/>
    <cellStyle name="Normal 5 2 8 2 4" xfId="9386" xr:uid="{00000000-0005-0000-0000-0000AB240000}"/>
    <cellStyle name="Normal 5 2 8 2 4 2" xfId="9387" xr:uid="{00000000-0005-0000-0000-0000AC240000}"/>
    <cellStyle name="Normal 5 2 8 2 5" xfId="9388" xr:uid="{00000000-0005-0000-0000-0000AD240000}"/>
    <cellStyle name="Normal 5 2 8 3" xfId="9389" xr:uid="{00000000-0005-0000-0000-0000AE240000}"/>
    <cellStyle name="Normal 5 2 8 3 2" xfId="9390" xr:uid="{00000000-0005-0000-0000-0000AF240000}"/>
    <cellStyle name="Normal 5 2 8 3 2 2" xfId="9391" xr:uid="{00000000-0005-0000-0000-0000B0240000}"/>
    <cellStyle name="Normal 5 2 8 3 2 2 2" xfId="9392" xr:uid="{00000000-0005-0000-0000-0000B1240000}"/>
    <cellStyle name="Normal 5 2 8 3 2 3" xfId="9393" xr:uid="{00000000-0005-0000-0000-0000B2240000}"/>
    <cellStyle name="Normal 5 2 8 3 3" xfId="9394" xr:uid="{00000000-0005-0000-0000-0000B3240000}"/>
    <cellStyle name="Normal 5 2 8 3 3 2" xfId="9395" xr:uid="{00000000-0005-0000-0000-0000B4240000}"/>
    <cellStyle name="Normal 5 2 8 3 4" xfId="9396" xr:uid="{00000000-0005-0000-0000-0000B5240000}"/>
    <cellStyle name="Normal 5 2 8 4" xfId="9397" xr:uid="{00000000-0005-0000-0000-0000B6240000}"/>
    <cellStyle name="Normal 5 2 8 4 2" xfId="9398" xr:uid="{00000000-0005-0000-0000-0000B7240000}"/>
    <cellStyle name="Normal 5 2 8 4 2 2" xfId="9399" xr:uid="{00000000-0005-0000-0000-0000B8240000}"/>
    <cellStyle name="Normal 5 2 8 4 3" xfId="9400" xr:uid="{00000000-0005-0000-0000-0000B9240000}"/>
    <cellStyle name="Normal 5 2 8 5" xfId="9401" xr:uid="{00000000-0005-0000-0000-0000BA240000}"/>
    <cellStyle name="Normal 5 2 8 5 2" xfId="9402" xr:uid="{00000000-0005-0000-0000-0000BB240000}"/>
    <cellStyle name="Normal 5 2 8 6" xfId="9403" xr:uid="{00000000-0005-0000-0000-0000BC240000}"/>
    <cellStyle name="Normal 5 2 9" xfId="9404" xr:uid="{00000000-0005-0000-0000-0000BD240000}"/>
    <cellStyle name="Normal 5 2 9 2" xfId="9405" xr:uid="{00000000-0005-0000-0000-0000BE240000}"/>
    <cellStyle name="Normal 5 2 9 2 2" xfId="9406" xr:uid="{00000000-0005-0000-0000-0000BF240000}"/>
    <cellStyle name="Normal 5 2 9 2 2 2" xfId="9407" xr:uid="{00000000-0005-0000-0000-0000C0240000}"/>
    <cellStyle name="Normal 5 2 9 2 2 2 2" xfId="9408" xr:uid="{00000000-0005-0000-0000-0000C1240000}"/>
    <cellStyle name="Normal 5 2 9 2 2 3" xfId="9409" xr:uid="{00000000-0005-0000-0000-0000C2240000}"/>
    <cellStyle name="Normal 5 2 9 2 3" xfId="9410" xr:uid="{00000000-0005-0000-0000-0000C3240000}"/>
    <cellStyle name="Normal 5 2 9 2 3 2" xfId="9411" xr:uid="{00000000-0005-0000-0000-0000C4240000}"/>
    <cellStyle name="Normal 5 2 9 2 4" xfId="9412" xr:uid="{00000000-0005-0000-0000-0000C5240000}"/>
    <cellStyle name="Normal 5 2 9 3" xfId="9413" xr:uid="{00000000-0005-0000-0000-0000C6240000}"/>
    <cellStyle name="Normal 5 2 9 3 2" xfId="9414" xr:uid="{00000000-0005-0000-0000-0000C7240000}"/>
    <cellStyle name="Normal 5 2 9 3 2 2" xfId="9415" xr:uid="{00000000-0005-0000-0000-0000C8240000}"/>
    <cellStyle name="Normal 5 2 9 3 3" xfId="9416" xr:uid="{00000000-0005-0000-0000-0000C9240000}"/>
    <cellStyle name="Normal 5 2 9 4" xfId="9417" xr:uid="{00000000-0005-0000-0000-0000CA240000}"/>
    <cellStyle name="Normal 5 2 9 4 2" xfId="9418" xr:uid="{00000000-0005-0000-0000-0000CB240000}"/>
    <cellStyle name="Normal 5 2 9 5" xfId="9419" xr:uid="{00000000-0005-0000-0000-0000CC240000}"/>
    <cellStyle name="Normal 5 3" xfId="9420" xr:uid="{00000000-0005-0000-0000-0000CD240000}"/>
    <cellStyle name="Normal 5 3 10" xfId="9421" xr:uid="{00000000-0005-0000-0000-0000CE240000}"/>
    <cellStyle name="Normal 5 3 10 2" xfId="9422" xr:uid="{00000000-0005-0000-0000-0000CF240000}"/>
    <cellStyle name="Normal 5 3 11" xfId="9423" xr:uid="{00000000-0005-0000-0000-0000D0240000}"/>
    <cellStyle name="Normal 5 3 2" xfId="9424" xr:uid="{00000000-0005-0000-0000-0000D1240000}"/>
    <cellStyle name="Normal 5 3 2 10" xfId="9425" xr:uid="{00000000-0005-0000-0000-0000D2240000}"/>
    <cellStyle name="Normal 5 3 2 2" xfId="9426" xr:uid="{00000000-0005-0000-0000-0000D3240000}"/>
    <cellStyle name="Normal 5 3 2 2 2" xfId="9427" xr:uid="{00000000-0005-0000-0000-0000D4240000}"/>
    <cellStyle name="Normal 5 3 2 2 2 2" xfId="9428" xr:uid="{00000000-0005-0000-0000-0000D5240000}"/>
    <cellStyle name="Normal 5 3 2 2 2 2 2" xfId="9429" xr:uid="{00000000-0005-0000-0000-0000D6240000}"/>
    <cellStyle name="Normal 5 3 2 2 2 2 2 2" xfId="9430" xr:uid="{00000000-0005-0000-0000-0000D7240000}"/>
    <cellStyle name="Normal 5 3 2 2 2 2 2 2 2" xfId="9431" xr:uid="{00000000-0005-0000-0000-0000D8240000}"/>
    <cellStyle name="Normal 5 3 2 2 2 2 2 2 2 2" xfId="9432" xr:uid="{00000000-0005-0000-0000-0000D9240000}"/>
    <cellStyle name="Normal 5 3 2 2 2 2 2 2 2 2 2" xfId="9433" xr:uid="{00000000-0005-0000-0000-0000DA240000}"/>
    <cellStyle name="Normal 5 3 2 2 2 2 2 2 2 2 2 2" xfId="9434" xr:uid="{00000000-0005-0000-0000-0000DB240000}"/>
    <cellStyle name="Normal 5 3 2 2 2 2 2 2 2 2 3" xfId="9435" xr:uid="{00000000-0005-0000-0000-0000DC240000}"/>
    <cellStyle name="Normal 5 3 2 2 2 2 2 2 2 3" xfId="9436" xr:uid="{00000000-0005-0000-0000-0000DD240000}"/>
    <cellStyle name="Normal 5 3 2 2 2 2 2 2 2 3 2" xfId="9437" xr:uid="{00000000-0005-0000-0000-0000DE240000}"/>
    <cellStyle name="Normal 5 3 2 2 2 2 2 2 2 4" xfId="9438" xr:uid="{00000000-0005-0000-0000-0000DF240000}"/>
    <cellStyle name="Normal 5 3 2 2 2 2 2 2 3" xfId="9439" xr:uid="{00000000-0005-0000-0000-0000E0240000}"/>
    <cellStyle name="Normal 5 3 2 2 2 2 2 2 3 2" xfId="9440" xr:uid="{00000000-0005-0000-0000-0000E1240000}"/>
    <cellStyle name="Normal 5 3 2 2 2 2 2 2 3 2 2" xfId="9441" xr:uid="{00000000-0005-0000-0000-0000E2240000}"/>
    <cellStyle name="Normal 5 3 2 2 2 2 2 2 3 3" xfId="9442" xr:uid="{00000000-0005-0000-0000-0000E3240000}"/>
    <cellStyle name="Normal 5 3 2 2 2 2 2 2 4" xfId="9443" xr:uid="{00000000-0005-0000-0000-0000E4240000}"/>
    <cellStyle name="Normal 5 3 2 2 2 2 2 2 4 2" xfId="9444" xr:uid="{00000000-0005-0000-0000-0000E5240000}"/>
    <cellStyle name="Normal 5 3 2 2 2 2 2 2 5" xfId="9445" xr:uid="{00000000-0005-0000-0000-0000E6240000}"/>
    <cellStyle name="Normal 5 3 2 2 2 2 2 3" xfId="9446" xr:uid="{00000000-0005-0000-0000-0000E7240000}"/>
    <cellStyle name="Normal 5 3 2 2 2 2 2 3 2" xfId="9447" xr:uid="{00000000-0005-0000-0000-0000E8240000}"/>
    <cellStyle name="Normal 5 3 2 2 2 2 2 3 2 2" xfId="9448" xr:uid="{00000000-0005-0000-0000-0000E9240000}"/>
    <cellStyle name="Normal 5 3 2 2 2 2 2 3 2 2 2" xfId="9449" xr:uid="{00000000-0005-0000-0000-0000EA240000}"/>
    <cellStyle name="Normal 5 3 2 2 2 2 2 3 2 3" xfId="9450" xr:uid="{00000000-0005-0000-0000-0000EB240000}"/>
    <cellStyle name="Normal 5 3 2 2 2 2 2 3 3" xfId="9451" xr:uid="{00000000-0005-0000-0000-0000EC240000}"/>
    <cellStyle name="Normal 5 3 2 2 2 2 2 3 3 2" xfId="9452" xr:uid="{00000000-0005-0000-0000-0000ED240000}"/>
    <cellStyle name="Normal 5 3 2 2 2 2 2 3 4" xfId="9453" xr:uid="{00000000-0005-0000-0000-0000EE240000}"/>
    <cellStyle name="Normal 5 3 2 2 2 2 2 4" xfId="9454" xr:uid="{00000000-0005-0000-0000-0000EF240000}"/>
    <cellStyle name="Normal 5 3 2 2 2 2 2 4 2" xfId="9455" xr:uid="{00000000-0005-0000-0000-0000F0240000}"/>
    <cellStyle name="Normal 5 3 2 2 2 2 2 4 2 2" xfId="9456" xr:uid="{00000000-0005-0000-0000-0000F1240000}"/>
    <cellStyle name="Normal 5 3 2 2 2 2 2 4 3" xfId="9457" xr:uid="{00000000-0005-0000-0000-0000F2240000}"/>
    <cellStyle name="Normal 5 3 2 2 2 2 2 5" xfId="9458" xr:uid="{00000000-0005-0000-0000-0000F3240000}"/>
    <cellStyle name="Normal 5 3 2 2 2 2 2 5 2" xfId="9459" xr:uid="{00000000-0005-0000-0000-0000F4240000}"/>
    <cellStyle name="Normal 5 3 2 2 2 2 2 6" xfId="9460" xr:uid="{00000000-0005-0000-0000-0000F5240000}"/>
    <cellStyle name="Normal 5 3 2 2 2 2 3" xfId="9461" xr:uid="{00000000-0005-0000-0000-0000F6240000}"/>
    <cellStyle name="Normal 5 3 2 2 2 2 3 2" xfId="9462" xr:uid="{00000000-0005-0000-0000-0000F7240000}"/>
    <cellStyle name="Normal 5 3 2 2 2 2 3 2 2" xfId="9463" xr:uid="{00000000-0005-0000-0000-0000F8240000}"/>
    <cellStyle name="Normal 5 3 2 2 2 2 3 2 2 2" xfId="9464" xr:uid="{00000000-0005-0000-0000-0000F9240000}"/>
    <cellStyle name="Normal 5 3 2 2 2 2 3 2 2 2 2" xfId="9465" xr:uid="{00000000-0005-0000-0000-0000FA240000}"/>
    <cellStyle name="Normal 5 3 2 2 2 2 3 2 2 3" xfId="9466" xr:uid="{00000000-0005-0000-0000-0000FB240000}"/>
    <cellStyle name="Normal 5 3 2 2 2 2 3 2 3" xfId="9467" xr:uid="{00000000-0005-0000-0000-0000FC240000}"/>
    <cellStyle name="Normal 5 3 2 2 2 2 3 2 3 2" xfId="9468" xr:uid="{00000000-0005-0000-0000-0000FD240000}"/>
    <cellStyle name="Normal 5 3 2 2 2 2 3 2 4" xfId="9469" xr:uid="{00000000-0005-0000-0000-0000FE240000}"/>
    <cellStyle name="Normal 5 3 2 2 2 2 3 3" xfId="9470" xr:uid="{00000000-0005-0000-0000-0000FF240000}"/>
    <cellStyle name="Normal 5 3 2 2 2 2 3 3 2" xfId="9471" xr:uid="{00000000-0005-0000-0000-000000250000}"/>
    <cellStyle name="Normal 5 3 2 2 2 2 3 3 2 2" xfId="9472" xr:uid="{00000000-0005-0000-0000-000001250000}"/>
    <cellStyle name="Normal 5 3 2 2 2 2 3 3 3" xfId="9473" xr:uid="{00000000-0005-0000-0000-000002250000}"/>
    <cellStyle name="Normal 5 3 2 2 2 2 3 4" xfId="9474" xr:uid="{00000000-0005-0000-0000-000003250000}"/>
    <cellStyle name="Normal 5 3 2 2 2 2 3 4 2" xfId="9475" xr:uid="{00000000-0005-0000-0000-000004250000}"/>
    <cellStyle name="Normal 5 3 2 2 2 2 3 5" xfId="9476" xr:uid="{00000000-0005-0000-0000-000005250000}"/>
    <cellStyle name="Normal 5 3 2 2 2 2 4" xfId="9477" xr:uid="{00000000-0005-0000-0000-000006250000}"/>
    <cellStyle name="Normal 5 3 2 2 2 2 4 2" xfId="9478" xr:uid="{00000000-0005-0000-0000-000007250000}"/>
    <cellStyle name="Normal 5 3 2 2 2 2 4 2 2" xfId="9479" xr:uid="{00000000-0005-0000-0000-000008250000}"/>
    <cellStyle name="Normal 5 3 2 2 2 2 4 2 2 2" xfId="9480" xr:uid="{00000000-0005-0000-0000-000009250000}"/>
    <cellStyle name="Normal 5 3 2 2 2 2 4 2 3" xfId="9481" xr:uid="{00000000-0005-0000-0000-00000A250000}"/>
    <cellStyle name="Normal 5 3 2 2 2 2 4 3" xfId="9482" xr:uid="{00000000-0005-0000-0000-00000B250000}"/>
    <cellStyle name="Normal 5 3 2 2 2 2 4 3 2" xfId="9483" xr:uid="{00000000-0005-0000-0000-00000C250000}"/>
    <cellStyle name="Normal 5 3 2 2 2 2 4 4" xfId="9484" xr:uid="{00000000-0005-0000-0000-00000D250000}"/>
    <cellStyle name="Normal 5 3 2 2 2 2 5" xfId="9485" xr:uid="{00000000-0005-0000-0000-00000E250000}"/>
    <cellStyle name="Normal 5 3 2 2 2 2 5 2" xfId="9486" xr:uid="{00000000-0005-0000-0000-00000F250000}"/>
    <cellStyle name="Normal 5 3 2 2 2 2 5 2 2" xfId="9487" xr:uid="{00000000-0005-0000-0000-000010250000}"/>
    <cellStyle name="Normal 5 3 2 2 2 2 5 3" xfId="9488" xr:uid="{00000000-0005-0000-0000-000011250000}"/>
    <cellStyle name="Normal 5 3 2 2 2 2 6" xfId="9489" xr:uid="{00000000-0005-0000-0000-000012250000}"/>
    <cellStyle name="Normal 5 3 2 2 2 2 6 2" xfId="9490" xr:uid="{00000000-0005-0000-0000-000013250000}"/>
    <cellStyle name="Normal 5 3 2 2 2 2 7" xfId="9491" xr:uid="{00000000-0005-0000-0000-000014250000}"/>
    <cellStyle name="Normal 5 3 2 2 2 3" xfId="9492" xr:uid="{00000000-0005-0000-0000-000015250000}"/>
    <cellStyle name="Normal 5 3 2 2 2 3 2" xfId="9493" xr:uid="{00000000-0005-0000-0000-000016250000}"/>
    <cellStyle name="Normal 5 3 2 2 2 3 2 2" xfId="9494" xr:uid="{00000000-0005-0000-0000-000017250000}"/>
    <cellStyle name="Normal 5 3 2 2 2 3 2 2 2" xfId="9495" xr:uid="{00000000-0005-0000-0000-000018250000}"/>
    <cellStyle name="Normal 5 3 2 2 2 3 2 2 2 2" xfId="9496" xr:uid="{00000000-0005-0000-0000-000019250000}"/>
    <cellStyle name="Normal 5 3 2 2 2 3 2 2 2 2 2" xfId="9497" xr:uid="{00000000-0005-0000-0000-00001A250000}"/>
    <cellStyle name="Normal 5 3 2 2 2 3 2 2 2 3" xfId="9498" xr:uid="{00000000-0005-0000-0000-00001B250000}"/>
    <cellStyle name="Normal 5 3 2 2 2 3 2 2 3" xfId="9499" xr:uid="{00000000-0005-0000-0000-00001C250000}"/>
    <cellStyle name="Normal 5 3 2 2 2 3 2 2 3 2" xfId="9500" xr:uid="{00000000-0005-0000-0000-00001D250000}"/>
    <cellStyle name="Normal 5 3 2 2 2 3 2 2 4" xfId="9501" xr:uid="{00000000-0005-0000-0000-00001E250000}"/>
    <cellStyle name="Normal 5 3 2 2 2 3 2 3" xfId="9502" xr:uid="{00000000-0005-0000-0000-00001F250000}"/>
    <cellStyle name="Normal 5 3 2 2 2 3 2 3 2" xfId="9503" xr:uid="{00000000-0005-0000-0000-000020250000}"/>
    <cellStyle name="Normal 5 3 2 2 2 3 2 3 2 2" xfId="9504" xr:uid="{00000000-0005-0000-0000-000021250000}"/>
    <cellStyle name="Normal 5 3 2 2 2 3 2 3 3" xfId="9505" xr:uid="{00000000-0005-0000-0000-000022250000}"/>
    <cellStyle name="Normal 5 3 2 2 2 3 2 4" xfId="9506" xr:uid="{00000000-0005-0000-0000-000023250000}"/>
    <cellStyle name="Normal 5 3 2 2 2 3 2 4 2" xfId="9507" xr:uid="{00000000-0005-0000-0000-000024250000}"/>
    <cellStyle name="Normal 5 3 2 2 2 3 2 5" xfId="9508" xr:uid="{00000000-0005-0000-0000-000025250000}"/>
    <cellStyle name="Normal 5 3 2 2 2 3 3" xfId="9509" xr:uid="{00000000-0005-0000-0000-000026250000}"/>
    <cellStyle name="Normal 5 3 2 2 2 3 3 2" xfId="9510" xr:uid="{00000000-0005-0000-0000-000027250000}"/>
    <cellStyle name="Normal 5 3 2 2 2 3 3 2 2" xfId="9511" xr:uid="{00000000-0005-0000-0000-000028250000}"/>
    <cellStyle name="Normal 5 3 2 2 2 3 3 2 2 2" xfId="9512" xr:uid="{00000000-0005-0000-0000-000029250000}"/>
    <cellStyle name="Normal 5 3 2 2 2 3 3 2 3" xfId="9513" xr:uid="{00000000-0005-0000-0000-00002A250000}"/>
    <cellStyle name="Normal 5 3 2 2 2 3 3 3" xfId="9514" xr:uid="{00000000-0005-0000-0000-00002B250000}"/>
    <cellStyle name="Normal 5 3 2 2 2 3 3 3 2" xfId="9515" xr:uid="{00000000-0005-0000-0000-00002C250000}"/>
    <cellStyle name="Normal 5 3 2 2 2 3 3 4" xfId="9516" xr:uid="{00000000-0005-0000-0000-00002D250000}"/>
    <cellStyle name="Normal 5 3 2 2 2 3 4" xfId="9517" xr:uid="{00000000-0005-0000-0000-00002E250000}"/>
    <cellStyle name="Normal 5 3 2 2 2 3 4 2" xfId="9518" xr:uid="{00000000-0005-0000-0000-00002F250000}"/>
    <cellStyle name="Normal 5 3 2 2 2 3 4 2 2" xfId="9519" xr:uid="{00000000-0005-0000-0000-000030250000}"/>
    <cellStyle name="Normal 5 3 2 2 2 3 4 3" xfId="9520" xr:uid="{00000000-0005-0000-0000-000031250000}"/>
    <cellStyle name="Normal 5 3 2 2 2 3 5" xfId="9521" xr:uid="{00000000-0005-0000-0000-000032250000}"/>
    <cellStyle name="Normal 5 3 2 2 2 3 5 2" xfId="9522" xr:uid="{00000000-0005-0000-0000-000033250000}"/>
    <cellStyle name="Normal 5 3 2 2 2 3 6" xfId="9523" xr:uid="{00000000-0005-0000-0000-000034250000}"/>
    <cellStyle name="Normal 5 3 2 2 2 4" xfId="9524" xr:uid="{00000000-0005-0000-0000-000035250000}"/>
    <cellStyle name="Normal 5 3 2 2 2 4 2" xfId="9525" xr:uid="{00000000-0005-0000-0000-000036250000}"/>
    <cellStyle name="Normal 5 3 2 2 2 4 2 2" xfId="9526" xr:uid="{00000000-0005-0000-0000-000037250000}"/>
    <cellStyle name="Normal 5 3 2 2 2 4 2 2 2" xfId="9527" xr:uid="{00000000-0005-0000-0000-000038250000}"/>
    <cellStyle name="Normal 5 3 2 2 2 4 2 2 2 2" xfId="9528" xr:uid="{00000000-0005-0000-0000-000039250000}"/>
    <cellStyle name="Normal 5 3 2 2 2 4 2 2 3" xfId="9529" xr:uid="{00000000-0005-0000-0000-00003A250000}"/>
    <cellStyle name="Normal 5 3 2 2 2 4 2 3" xfId="9530" xr:uid="{00000000-0005-0000-0000-00003B250000}"/>
    <cellStyle name="Normal 5 3 2 2 2 4 2 3 2" xfId="9531" xr:uid="{00000000-0005-0000-0000-00003C250000}"/>
    <cellStyle name="Normal 5 3 2 2 2 4 2 4" xfId="9532" xr:uid="{00000000-0005-0000-0000-00003D250000}"/>
    <cellStyle name="Normal 5 3 2 2 2 4 3" xfId="9533" xr:uid="{00000000-0005-0000-0000-00003E250000}"/>
    <cellStyle name="Normal 5 3 2 2 2 4 3 2" xfId="9534" xr:uid="{00000000-0005-0000-0000-00003F250000}"/>
    <cellStyle name="Normal 5 3 2 2 2 4 3 2 2" xfId="9535" xr:uid="{00000000-0005-0000-0000-000040250000}"/>
    <cellStyle name="Normal 5 3 2 2 2 4 3 3" xfId="9536" xr:uid="{00000000-0005-0000-0000-000041250000}"/>
    <cellStyle name="Normal 5 3 2 2 2 4 4" xfId="9537" xr:uid="{00000000-0005-0000-0000-000042250000}"/>
    <cellStyle name="Normal 5 3 2 2 2 4 4 2" xfId="9538" xr:uid="{00000000-0005-0000-0000-000043250000}"/>
    <cellStyle name="Normal 5 3 2 2 2 4 5" xfId="9539" xr:uid="{00000000-0005-0000-0000-000044250000}"/>
    <cellStyle name="Normal 5 3 2 2 2 5" xfId="9540" xr:uid="{00000000-0005-0000-0000-000045250000}"/>
    <cellStyle name="Normal 5 3 2 2 2 5 2" xfId="9541" xr:uid="{00000000-0005-0000-0000-000046250000}"/>
    <cellStyle name="Normal 5 3 2 2 2 5 2 2" xfId="9542" xr:uid="{00000000-0005-0000-0000-000047250000}"/>
    <cellStyle name="Normal 5 3 2 2 2 5 2 2 2" xfId="9543" xr:uid="{00000000-0005-0000-0000-000048250000}"/>
    <cellStyle name="Normal 5 3 2 2 2 5 2 3" xfId="9544" xr:uid="{00000000-0005-0000-0000-000049250000}"/>
    <cellStyle name="Normal 5 3 2 2 2 5 3" xfId="9545" xr:uid="{00000000-0005-0000-0000-00004A250000}"/>
    <cellStyle name="Normal 5 3 2 2 2 5 3 2" xfId="9546" xr:uid="{00000000-0005-0000-0000-00004B250000}"/>
    <cellStyle name="Normal 5 3 2 2 2 5 4" xfId="9547" xr:uid="{00000000-0005-0000-0000-00004C250000}"/>
    <cellStyle name="Normal 5 3 2 2 2 6" xfId="9548" xr:uid="{00000000-0005-0000-0000-00004D250000}"/>
    <cellStyle name="Normal 5 3 2 2 2 6 2" xfId="9549" xr:uid="{00000000-0005-0000-0000-00004E250000}"/>
    <cellStyle name="Normal 5 3 2 2 2 6 2 2" xfId="9550" xr:uid="{00000000-0005-0000-0000-00004F250000}"/>
    <cellStyle name="Normal 5 3 2 2 2 6 3" xfId="9551" xr:uid="{00000000-0005-0000-0000-000050250000}"/>
    <cellStyle name="Normal 5 3 2 2 2 7" xfId="9552" xr:uid="{00000000-0005-0000-0000-000051250000}"/>
    <cellStyle name="Normal 5 3 2 2 2 7 2" xfId="9553" xr:uid="{00000000-0005-0000-0000-000052250000}"/>
    <cellStyle name="Normal 5 3 2 2 2 8" xfId="9554" xr:uid="{00000000-0005-0000-0000-000053250000}"/>
    <cellStyle name="Normal 5 3 2 2 3" xfId="9555" xr:uid="{00000000-0005-0000-0000-000054250000}"/>
    <cellStyle name="Normal 5 3 2 2 3 2" xfId="9556" xr:uid="{00000000-0005-0000-0000-000055250000}"/>
    <cellStyle name="Normal 5 3 2 2 3 2 2" xfId="9557" xr:uid="{00000000-0005-0000-0000-000056250000}"/>
    <cellStyle name="Normal 5 3 2 2 3 2 2 2" xfId="9558" xr:uid="{00000000-0005-0000-0000-000057250000}"/>
    <cellStyle name="Normal 5 3 2 2 3 2 2 2 2" xfId="9559" xr:uid="{00000000-0005-0000-0000-000058250000}"/>
    <cellStyle name="Normal 5 3 2 2 3 2 2 2 2 2" xfId="9560" xr:uid="{00000000-0005-0000-0000-000059250000}"/>
    <cellStyle name="Normal 5 3 2 2 3 2 2 2 2 2 2" xfId="9561" xr:uid="{00000000-0005-0000-0000-00005A250000}"/>
    <cellStyle name="Normal 5 3 2 2 3 2 2 2 2 3" xfId="9562" xr:uid="{00000000-0005-0000-0000-00005B250000}"/>
    <cellStyle name="Normal 5 3 2 2 3 2 2 2 3" xfId="9563" xr:uid="{00000000-0005-0000-0000-00005C250000}"/>
    <cellStyle name="Normal 5 3 2 2 3 2 2 2 3 2" xfId="9564" xr:uid="{00000000-0005-0000-0000-00005D250000}"/>
    <cellStyle name="Normal 5 3 2 2 3 2 2 2 4" xfId="9565" xr:uid="{00000000-0005-0000-0000-00005E250000}"/>
    <cellStyle name="Normal 5 3 2 2 3 2 2 3" xfId="9566" xr:uid="{00000000-0005-0000-0000-00005F250000}"/>
    <cellStyle name="Normal 5 3 2 2 3 2 2 3 2" xfId="9567" xr:uid="{00000000-0005-0000-0000-000060250000}"/>
    <cellStyle name="Normal 5 3 2 2 3 2 2 3 2 2" xfId="9568" xr:uid="{00000000-0005-0000-0000-000061250000}"/>
    <cellStyle name="Normal 5 3 2 2 3 2 2 3 3" xfId="9569" xr:uid="{00000000-0005-0000-0000-000062250000}"/>
    <cellStyle name="Normal 5 3 2 2 3 2 2 4" xfId="9570" xr:uid="{00000000-0005-0000-0000-000063250000}"/>
    <cellStyle name="Normal 5 3 2 2 3 2 2 4 2" xfId="9571" xr:uid="{00000000-0005-0000-0000-000064250000}"/>
    <cellStyle name="Normal 5 3 2 2 3 2 2 5" xfId="9572" xr:uid="{00000000-0005-0000-0000-000065250000}"/>
    <cellStyle name="Normal 5 3 2 2 3 2 3" xfId="9573" xr:uid="{00000000-0005-0000-0000-000066250000}"/>
    <cellStyle name="Normal 5 3 2 2 3 2 3 2" xfId="9574" xr:uid="{00000000-0005-0000-0000-000067250000}"/>
    <cellStyle name="Normal 5 3 2 2 3 2 3 2 2" xfId="9575" xr:uid="{00000000-0005-0000-0000-000068250000}"/>
    <cellStyle name="Normal 5 3 2 2 3 2 3 2 2 2" xfId="9576" xr:uid="{00000000-0005-0000-0000-000069250000}"/>
    <cellStyle name="Normal 5 3 2 2 3 2 3 2 3" xfId="9577" xr:uid="{00000000-0005-0000-0000-00006A250000}"/>
    <cellStyle name="Normal 5 3 2 2 3 2 3 3" xfId="9578" xr:uid="{00000000-0005-0000-0000-00006B250000}"/>
    <cellStyle name="Normal 5 3 2 2 3 2 3 3 2" xfId="9579" xr:uid="{00000000-0005-0000-0000-00006C250000}"/>
    <cellStyle name="Normal 5 3 2 2 3 2 3 4" xfId="9580" xr:uid="{00000000-0005-0000-0000-00006D250000}"/>
    <cellStyle name="Normal 5 3 2 2 3 2 4" xfId="9581" xr:uid="{00000000-0005-0000-0000-00006E250000}"/>
    <cellStyle name="Normal 5 3 2 2 3 2 4 2" xfId="9582" xr:uid="{00000000-0005-0000-0000-00006F250000}"/>
    <cellStyle name="Normal 5 3 2 2 3 2 4 2 2" xfId="9583" xr:uid="{00000000-0005-0000-0000-000070250000}"/>
    <cellStyle name="Normal 5 3 2 2 3 2 4 3" xfId="9584" xr:uid="{00000000-0005-0000-0000-000071250000}"/>
    <cellStyle name="Normal 5 3 2 2 3 2 5" xfId="9585" xr:uid="{00000000-0005-0000-0000-000072250000}"/>
    <cellStyle name="Normal 5 3 2 2 3 2 5 2" xfId="9586" xr:uid="{00000000-0005-0000-0000-000073250000}"/>
    <cellStyle name="Normal 5 3 2 2 3 2 6" xfId="9587" xr:uid="{00000000-0005-0000-0000-000074250000}"/>
    <cellStyle name="Normal 5 3 2 2 3 3" xfId="9588" xr:uid="{00000000-0005-0000-0000-000075250000}"/>
    <cellStyle name="Normal 5 3 2 2 3 3 2" xfId="9589" xr:uid="{00000000-0005-0000-0000-000076250000}"/>
    <cellStyle name="Normal 5 3 2 2 3 3 2 2" xfId="9590" xr:uid="{00000000-0005-0000-0000-000077250000}"/>
    <cellStyle name="Normal 5 3 2 2 3 3 2 2 2" xfId="9591" xr:uid="{00000000-0005-0000-0000-000078250000}"/>
    <cellStyle name="Normal 5 3 2 2 3 3 2 2 2 2" xfId="9592" xr:uid="{00000000-0005-0000-0000-000079250000}"/>
    <cellStyle name="Normal 5 3 2 2 3 3 2 2 3" xfId="9593" xr:uid="{00000000-0005-0000-0000-00007A250000}"/>
    <cellStyle name="Normal 5 3 2 2 3 3 2 3" xfId="9594" xr:uid="{00000000-0005-0000-0000-00007B250000}"/>
    <cellStyle name="Normal 5 3 2 2 3 3 2 3 2" xfId="9595" xr:uid="{00000000-0005-0000-0000-00007C250000}"/>
    <cellStyle name="Normal 5 3 2 2 3 3 2 4" xfId="9596" xr:uid="{00000000-0005-0000-0000-00007D250000}"/>
    <cellStyle name="Normal 5 3 2 2 3 3 3" xfId="9597" xr:uid="{00000000-0005-0000-0000-00007E250000}"/>
    <cellStyle name="Normal 5 3 2 2 3 3 3 2" xfId="9598" xr:uid="{00000000-0005-0000-0000-00007F250000}"/>
    <cellStyle name="Normal 5 3 2 2 3 3 3 2 2" xfId="9599" xr:uid="{00000000-0005-0000-0000-000080250000}"/>
    <cellStyle name="Normal 5 3 2 2 3 3 3 3" xfId="9600" xr:uid="{00000000-0005-0000-0000-000081250000}"/>
    <cellStyle name="Normal 5 3 2 2 3 3 4" xfId="9601" xr:uid="{00000000-0005-0000-0000-000082250000}"/>
    <cellStyle name="Normal 5 3 2 2 3 3 4 2" xfId="9602" xr:uid="{00000000-0005-0000-0000-000083250000}"/>
    <cellStyle name="Normal 5 3 2 2 3 3 5" xfId="9603" xr:uid="{00000000-0005-0000-0000-000084250000}"/>
    <cellStyle name="Normal 5 3 2 2 3 4" xfId="9604" xr:uid="{00000000-0005-0000-0000-000085250000}"/>
    <cellStyle name="Normal 5 3 2 2 3 4 2" xfId="9605" xr:uid="{00000000-0005-0000-0000-000086250000}"/>
    <cellStyle name="Normal 5 3 2 2 3 4 2 2" xfId="9606" xr:uid="{00000000-0005-0000-0000-000087250000}"/>
    <cellStyle name="Normal 5 3 2 2 3 4 2 2 2" xfId="9607" xr:uid="{00000000-0005-0000-0000-000088250000}"/>
    <cellStyle name="Normal 5 3 2 2 3 4 2 3" xfId="9608" xr:uid="{00000000-0005-0000-0000-000089250000}"/>
    <cellStyle name="Normal 5 3 2 2 3 4 3" xfId="9609" xr:uid="{00000000-0005-0000-0000-00008A250000}"/>
    <cellStyle name="Normal 5 3 2 2 3 4 3 2" xfId="9610" xr:uid="{00000000-0005-0000-0000-00008B250000}"/>
    <cellStyle name="Normal 5 3 2 2 3 4 4" xfId="9611" xr:uid="{00000000-0005-0000-0000-00008C250000}"/>
    <cellStyle name="Normal 5 3 2 2 3 5" xfId="9612" xr:uid="{00000000-0005-0000-0000-00008D250000}"/>
    <cellStyle name="Normal 5 3 2 2 3 5 2" xfId="9613" xr:uid="{00000000-0005-0000-0000-00008E250000}"/>
    <cellStyle name="Normal 5 3 2 2 3 5 2 2" xfId="9614" xr:uid="{00000000-0005-0000-0000-00008F250000}"/>
    <cellStyle name="Normal 5 3 2 2 3 5 3" xfId="9615" xr:uid="{00000000-0005-0000-0000-000090250000}"/>
    <cellStyle name="Normal 5 3 2 2 3 6" xfId="9616" xr:uid="{00000000-0005-0000-0000-000091250000}"/>
    <cellStyle name="Normal 5 3 2 2 3 6 2" xfId="9617" xr:uid="{00000000-0005-0000-0000-000092250000}"/>
    <cellStyle name="Normal 5 3 2 2 3 7" xfId="9618" xr:uid="{00000000-0005-0000-0000-000093250000}"/>
    <cellStyle name="Normal 5 3 2 2 4" xfId="9619" xr:uid="{00000000-0005-0000-0000-000094250000}"/>
    <cellStyle name="Normal 5 3 2 2 4 2" xfId="9620" xr:uid="{00000000-0005-0000-0000-000095250000}"/>
    <cellStyle name="Normal 5 3 2 2 4 2 2" xfId="9621" xr:uid="{00000000-0005-0000-0000-000096250000}"/>
    <cellStyle name="Normal 5 3 2 2 4 2 2 2" xfId="9622" xr:uid="{00000000-0005-0000-0000-000097250000}"/>
    <cellStyle name="Normal 5 3 2 2 4 2 2 2 2" xfId="9623" xr:uid="{00000000-0005-0000-0000-000098250000}"/>
    <cellStyle name="Normal 5 3 2 2 4 2 2 2 2 2" xfId="9624" xr:uid="{00000000-0005-0000-0000-000099250000}"/>
    <cellStyle name="Normal 5 3 2 2 4 2 2 2 3" xfId="9625" xr:uid="{00000000-0005-0000-0000-00009A250000}"/>
    <cellStyle name="Normal 5 3 2 2 4 2 2 3" xfId="9626" xr:uid="{00000000-0005-0000-0000-00009B250000}"/>
    <cellStyle name="Normal 5 3 2 2 4 2 2 3 2" xfId="9627" xr:uid="{00000000-0005-0000-0000-00009C250000}"/>
    <cellStyle name="Normal 5 3 2 2 4 2 2 4" xfId="9628" xr:uid="{00000000-0005-0000-0000-00009D250000}"/>
    <cellStyle name="Normal 5 3 2 2 4 2 3" xfId="9629" xr:uid="{00000000-0005-0000-0000-00009E250000}"/>
    <cellStyle name="Normal 5 3 2 2 4 2 3 2" xfId="9630" xr:uid="{00000000-0005-0000-0000-00009F250000}"/>
    <cellStyle name="Normal 5 3 2 2 4 2 3 2 2" xfId="9631" xr:uid="{00000000-0005-0000-0000-0000A0250000}"/>
    <cellStyle name="Normal 5 3 2 2 4 2 3 3" xfId="9632" xr:uid="{00000000-0005-0000-0000-0000A1250000}"/>
    <cellStyle name="Normal 5 3 2 2 4 2 4" xfId="9633" xr:uid="{00000000-0005-0000-0000-0000A2250000}"/>
    <cellStyle name="Normal 5 3 2 2 4 2 4 2" xfId="9634" xr:uid="{00000000-0005-0000-0000-0000A3250000}"/>
    <cellStyle name="Normal 5 3 2 2 4 2 5" xfId="9635" xr:uid="{00000000-0005-0000-0000-0000A4250000}"/>
    <cellStyle name="Normal 5 3 2 2 4 3" xfId="9636" xr:uid="{00000000-0005-0000-0000-0000A5250000}"/>
    <cellStyle name="Normal 5 3 2 2 4 3 2" xfId="9637" xr:uid="{00000000-0005-0000-0000-0000A6250000}"/>
    <cellStyle name="Normal 5 3 2 2 4 3 2 2" xfId="9638" xr:uid="{00000000-0005-0000-0000-0000A7250000}"/>
    <cellStyle name="Normal 5 3 2 2 4 3 2 2 2" xfId="9639" xr:uid="{00000000-0005-0000-0000-0000A8250000}"/>
    <cellStyle name="Normal 5 3 2 2 4 3 2 3" xfId="9640" xr:uid="{00000000-0005-0000-0000-0000A9250000}"/>
    <cellStyle name="Normal 5 3 2 2 4 3 3" xfId="9641" xr:uid="{00000000-0005-0000-0000-0000AA250000}"/>
    <cellStyle name="Normal 5 3 2 2 4 3 3 2" xfId="9642" xr:uid="{00000000-0005-0000-0000-0000AB250000}"/>
    <cellStyle name="Normal 5 3 2 2 4 3 4" xfId="9643" xr:uid="{00000000-0005-0000-0000-0000AC250000}"/>
    <cellStyle name="Normal 5 3 2 2 4 4" xfId="9644" xr:uid="{00000000-0005-0000-0000-0000AD250000}"/>
    <cellStyle name="Normal 5 3 2 2 4 4 2" xfId="9645" xr:uid="{00000000-0005-0000-0000-0000AE250000}"/>
    <cellStyle name="Normal 5 3 2 2 4 4 2 2" xfId="9646" xr:uid="{00000000-0005-0000-0000-0000AF250000}"/>
    <cellStyle name="Normal 5 3 2 2 4 4 3" xfId="9647" xr:uid="{00000000-0005-0000-0000-0000B0250000}"/>
    <cellStyle name="Normal 5 3 2 2 4 5" xfId="9648" xr:uid="{00000000-0005-0000-0000-0000B1250000}"/>
    <cellStyle name="Normal 5 3 2 2 4 5 2" xfId="9649" xr:uid="{00000000-0005-0000-0000-0000B2250000}"/>
    <cellStyle name="Normal 5 3 2 2 4 6" xfId="9650" xr:uid="{00000000-0005-0000-0000-0000B3250000}"/>
    <cellStyle name="Normal 5 3 2 2 5" xfId="9651" xr:uid="{00000000-0005-0000-0000-0000B4250000}"/>
    <cellStyle name="Normal 5 3 2 2 5 2" xfId="9652" xr:uid="{00000000-0005-0000-0000-0000B5250000}"/>
    <cellStyle name="Normal 5 3 2 2 5 2 2" xfId="9653" xr:uid="{00000000-0005-0000-0000-0000B6250000}"/>
    <cellStyle name="Normal 5 3 2 2 5 2 2 2" xfId="9654" xr:uid="{00000000-0005-0000-0000-0000B7250000}"/>
    <cellStyle name="Normal 5 3 2 2 5 2 2 2 2" xfId="9655" xr:uid="{00000000-0005-0000-0000-0000B8250000}"/>
    <cellStyle name="Normal 5 3 2 2 5 2 2 3" xfId="9656" xr:uid="{00000000-0005-0000-0000-0000B9250000}"/>
    <cellStyle name="Normal 5 3 2 2 5 2 3" xfId="9657" xr:uid="{00000000-0005-0000-0000-0000BA250000}"/>
    <cellStyle name="Normal 5 3 2 2 5 2 3 2" xfId="9658" xr:uid="{00000000-0005-0000-0000-0000BB250000}"/>
    <cellStyle name="Normal 5 3 2 2 5 2 4" xfId="9659" xr:uid="{00000000-0005-0000-0000-0000BC250000}"/>
    <cellStyle name="Normal 5 3 2 2 5 3" xfId="9660" xr:uid="{00000000-0005-0000-0000-0000BD250000}"/>
    <cellStyle name="Normal 5 3 2 2 5 3 2" xfId="9661" xr:uid="{00000000-0005-0000-0000-0000BE250000}"/>
    <cellStyle name="Normal 5 3 2 2 5 3 2 2" xfId="9662" xr:uid="{00000000-0005-0000-0000-0000BF250000}"/>
    <cellStyle name="Normal 5 3 2 2 5 3 3" xfId="9663" xr:uid="{00000000-0005-0000-0000-0000C0250000}"/>
    <cellStyle name="Normal 5 3 2 2 5 4" xfId="9664" xr:uid="{00000000-0005-0000-0000-0000C1250000}"/>
    <cellStyle name="Normal 5 3 2 2 5 4 2" xfId="9665" xr:uid="{00000000-0005-0000-0000-0000C2250000}"/>
    <cellStyle name="Normal 5 3 2 2 5 5" xfId="9666" xr:uid="{00000000-0005-0000-0000-0000C3250000}"/>
    <cellStyle name="Normal 5 3 2 2 6" xfId="9667" xr:uid="{00000000-0005-0000-0000-0000C4250000}"/>
    <cellStyle name="Normal 5 3 2 2 6 2" xfId="9668" xr:uid="{00000000-0005-0000-0000-0000C5250000}"/>
    <cellStyle name="Normal 5 3 2 2 6 2 2" xfId="9669" xr:uid="{00000000-0005-0000-0000-0000C6250000}"/>
    <cellStyle name="Normal 5 3 2 2 6 2 2 2" xfId="9670" xr:uid="{00000000-0005-0000-0000-0000C7250000}"/>
    <cellStyle name="Normal 5 3 2 2 6 2 3" xfId="9671" xr:uid="{00000000-0005-0000-0000-0000C8250000}"/>
    <cellStyle name="Normal 5 3 2 2 6 3" xfId="9672" xr:uid="{00000000-0005-0000-0000-0000C9250000}"/>
    <cellStyle name="Normal 5 3 2 2 6 3 2" xfId="9673" xr:uid="{00000000-0005-0000-0000-0000CA250000}"/>
    <cellStyle name="Normal 5 3 2 2 6 4" xfId="9674" xr:uid="{00000000-0005-0000-0000-0000CB250000}"/>
    <cellStyle name="Normal 5 3 2 2 7" xfId="9675" xr:uid="{00000000-0005-0000-0000-0000CC250000}"/>
    <cellStyle name="Normal 5 3 2 2 7 2" xfId="9676" xr:uid="{00000000-0005-0000-0000-0000CD250000}"/>
    <cellStyle name="Normal 5 3 2 2 7 2 2" xfId="9677" xr:uid="{00000000-0005-0000-0000-0000CE250000}"/>
    <cellStyle name="Normal 5 3 2 2 7 3" xfId="9678" xr:uid="{00000000-0005-0000-0000-0000CF250000}"/>
    <cellStyle name="Normal 5 3 2 2 8" xfId="9679" xr:uid="{00000000-0005-0000-0000-0000D0250000}"/>
    <cellStyle name="Normal 5 3 2 2 8 2" xfId="9680" xr:uid="{00000000-0005-0000-0000-0000D1250000}"/>
    <cellStyle name="Normal 5 3 2 2 9" xfId="9681" xr:uid="{00000000-0005-0000-0000-0000D2250000}"/>
    <cellStyle name="Normal 5 3 2 3" xfId="9682" xr:uid="{00000000-0005-0000-0000-0000D3250000}"/>
    <cellStyle name="Normal 5 3 2 3 2" xfId="9683" xr:uid="{00000000-0005-0000-0000-0000D4250000}"/>
    <cellStyle name="Normal 5 3 2 3 2 2" xfId="9684" xr:uid="{00000000-0005-0000-0000-0000D5250000}"/>
    <cellStyle name="Normal 5 3 2 3 2 2 2" xfId="9685" xr:uid="{00000000-0005-0000-0000-0000D6250000}"/>
    <cellStyle name="Normal 5 3 2 3 2 2 2 2" xfId="9686" xr:uid="{00000000-0005-0000-0000-0000D7250000}"/>
    <cellStyle name="Normal 5 3 2 3 2 2 2 2 2" xfId="9687" xr:uid="{00000000-0005-0000-0000-0000D8250000}"/>
    <cellStyle name="Normal 5 3 2 3 2 2 2 2 2 2" xfId="9688" xr:uid="{00000000-0005-0000-0000-0000D9250000}"/>
    <cellStyle name="Normal 5 3 2 3 2 2 2 2 2 2 2" xfId="9689" xr:uid="{00000000-0005-0000-0000-0000DA250000}"/>
    <cellStyle name="Normal 5 3 2 3 2 2 2 2 2 3" xfId="9690" xr:uid="{00000000-0005-0000-0000-0000DB250000}"/>
    <cellStyle name="Normal 5 3 2 3 2 2 2 2 3" xfId="9691" xr:uid="{00000000-0005-0000-0000-0000DC250000}"/>
    <cellStyle name="Normal 5 3 2 3 2 2 2 2 3 2" xfId="9692" xr:uid="{00000000-0005-0000-0000-0000DD250000}"/>
    <cellStyle name="Normal 5 3 2 3 2 2 2 2 4" xfId="9693" xr:uid="{00000000-0005-0000-0000-0000DE250000}"/>
    <cellStyle name="Normal 5 3 2 3 2 2 2 3" xfId="9694" xr:uid="{00000000-0005-0000-0000-0000DF250000}"/>
    <cellStyle name="Normal 5 3 2 3 2 2 2 3 2" xfId="9695" xr:uid="{00000000-0005-0000-0000-0000E0250000}"/>
    <cellStyle name="Normal 5 3 2 3 2 2 2 3 2 2" xfId="9696" xr:uid="{00000000-0005-0000-0000-0000E1250000}"/>
    <cellStyle name="Normal 5 3 2 3 2 2 2 3 3" xfId="9697" xr:uid="{00000000-0005-0000-0000-0000E2250000}"/>
    <cellStyle name="Normal 5 3 2 3 2 2 2 4" xfId="9698" xr:uid="{00000000-0005-0000-0000-0000E3250000}"/>
    <cellStyle name="Normal 5 3 2 3 2 2 2 4 2" xfId="9699" xr:uid="{00000000-0005-0000-0000-0000E4250000}"/>
    <cellStyle name="Normal 5 3 2 3 2 2 2 5" xfId="9700" xr:uid="{00000000-0005-0000-0000-0000E5250000}"/>
    <cellStyle name="Normal 5 3 2 3 2 2 3" xfId="9701" xr:uid="{00000000-0005-0000-0000-0000E6250000}"/>
    <cellStyle name="Normal 5 3 2 3 2 2 3 2" xfId="9702" xr:uid="{00000000-0005-0000-0000-0000E7250000}"/>
    <cellStyle name="Normal 5 3 2 3 2 2 3 2 2" xfId="9703" xr:uid="{00000000-0005-0000-0000-0000E8250000}"/>
    <cellStyle name="Normal 5 3 2 3 2 2 3 2 2 2" xfId="9704" xr:uid="{00000000-0005-0000-0000-0000E9250000}"/>
    <cellStyle name="Normal 5 3 2 3 2 2 3 2 3" xfId="9705" xr:uid="{00000000-0005-0000-0000-0000EA250000}"/>
    <cellStyle name="Normal 5 3 2 3 2 2 3 3" xfId="9706" xr:uid="{00000000-0005-0000-0000-0000EB250000}"/>
    <cellStyle name="Normal 5 3 2 3 2 2 3 3 2" xfId="9707" xr:uid="{00000000-0005-0000-0000-0000EC250000}"/>
    <cellStyle name="Normal 5 3 2 3 2 2 3 4" xfId="9708" xr:uid="{00000000-0005-0000-0000-0000ED250000}"/>
    <cellStyle name="Normal 5 3 2 3 2 2 4" xfId="9709" xr:uid="{00000000-0005-0000-0000-0000EE250000}"/>
    <cellStyle name="Normal 5 3 2 3 2 2 4 2" xfId="9710" xr:uid="{00000000-0005-0000-0000-0000EF250000}"/>
    <cellStyle name="Normal 5 3 2 3 2 2 4 2 2" xfId="9711" xr:uid="{00000000-0005-0000-0000-0000F0250000}"/>
    <cellStyle name="Normal 5 3 2 3 2 2 4 3" xfId="9712" xr:uid="{00000000-0005-0000-0000-0000F1250000}"/>
    <cellStyle name="Normal 5 3 2 3 2 2 5" xfId="9713" xr:uid="{00000000-0005-0000-0000-0000F2250000}"/>
    <cellStyle name="Normal 5 3 2 3 2 2 5 2" xfId="9714" xr:uid="{00000000-0005-0000-0000-0000F3250000}"/>
    <cellStyle name="Normal 5 3 2 3 2 2 6" xfId="9715" xr:uid="{00000000-0005-0000-0000-0000F4250000}"/>
    <cellStyle name="Normal 5 3 2 3 2 3" xfId="9716" xr:uid="{00000000-0005-0000-0000-0000F5250000}"/>
    <cellStyle name="Normal 5 3 2 3 2 3 2" xfId="9717" xr:uid="{00000000-0005-0000-0000-0000F6250000}"/>
    <cellStyle name="Normal 5 3 2 3 2 3 2 2" xfId="9718" xr:uid="{00000000-0005-0000-0000-0000F7250000}"/>
    <cellStyle name="Normal 5 3 2 3 2 3 2 2 2" xfId="9719" xr:uid="{00000000-0005-0000-0000-0000F8250000}"/>
    <cellStyle name="Normal 5 3 2 3 2 3 2 2 2 2" xfId="9720" xr:uid="{00000000-0005-0000-0000-0000F9250000}"/>
    <cellStyle name="Normal 5 3 2 3 2 3 2 2 3" xfId="9721" xr:uid="{00000000-0005-0000-0000-0000FA250000}"/>
    <cellStyle name="Normal 5 3 2 3 2 3 2 3" xfId="9722" xr:uid="{00000000-0005-0000-0000-0000FB250000}"/>
    <cellStyle name="Normal 5 3 2 3 2 3 2 3 2" xfId="9723" xr:uid="{00000000-0005-0000-0000-0000FC250000}"/>
    <cellStyle name="Normal 5 3 2 3 2 3 2 4" xfId="9724" xr:uid="{00000000-0005-0000-0000-0000FD250000}"/>
    <cellStyle name="Normal 5 3 2 3 2 3 3" xfId="9725" xr:uid="{00000000-0005-0000-0000-0000FE250000}"/>
    <cellStyle name="Normal 5 3 2 3 2 3 3 2" xfId="9726" xr:uid="{00000000-0005-0000-0000-0000FF250000}"/>
    <cellStyle name="Normal 5 3 2 3 2 3 3 2 2" xfId="9727" xr:uid="{00000000-0005-0000-0000-000000260000}"/>
    <cellStyle name="Normal 5 3 2 3 2 3 3 3" xfId="9728" xr:uid="{00000000-0005-0000-0000-000001260000}"/>
    <cellStyle name="Normal 5 3 2 3 2 3 4" xfId="9729" xr:uid="{00000000-0005-0000-0000-000002260000}"/>
    <cellStyle name="Normal 5 3 2 3 2 3 4 2" xfId="9730" xr:uid="{00000000-0005-0000-0000-000003260000}"/>
    <cellStyle name="Normal 5 3 2 3 2 3 5" xfId="9731" xr:uid="{00000000-0005-0000-0000-000004260000}"/>
    <cellStyle name="Normal 5 3 2 3 2 4" xfId="9732" xr:uid="{00000000-0005-0000-0000-000005260000}"/>
    <cellStyle name="Normal 5 3 2 3 2 4 2" xfId="9733" xr:uid="{00000000-0005-0000-0000-000006260000}"/>
    <cellStyle name="Normal 5 3 2 3 2 4 2 2" xfId="9734" xr:uid="{00000000-0005-0000-0000-000007260000}"/>
    <cellStyle name="Normal 5 3 2 3 2 4 2 2 2" xfId="9735" xr:uid="{00000000-0005-0000-0000-000008260000}"/>
    <cellStyle name="Normal 5 3 2 3 2 4 2 3" xfId="9736" xr:uid="{00000000-0005-0000-0000-000009260000}"/>
    <cellStyle name="Normal 5 3 2 3 2 4 3" xfId="9737" xr:uid="{00000000-0005-0000-0000-00000A260000}"/>
    <cellStyle name="Normal 5 3 2 3 2 4 3 2" xfId="9738" xr:uid="{00000000-0005-0000-0000-00000B260000}"/>
    <cellStyle name="Normal 5 3 2 3 2 4 4" xfId="9739" xr:uid="{00000000-0005-0000-0000-00000C260000}"/>
    <cellStyle name="Normal 5 3 2 3 2 5" xfId="9740" xr:uid="{00000000-0005-0000-0000-00000D260000}"/>
    <cellStyle name="Normal 5 3 2 3 2 5 2" xfId="9741" xr:uid="{00000000-0005-0000-0000-00000E260000}"/>
    <cellStyle name="Normal 5 3 2 3 2 5 2 2" xfId="9742" xr:uid="{00000000-0005-0000-0000-00000F260000}"/>
    <cellStyle name="Normal 5 3 2 3 2 5 3" xfId="9743" xr:uid="{00000000-0005-0000-0000-000010260000}"/>
    <cellStyle name="Normal 5 3 2 3 2 6" xfId="9744" xr:uid="{00000000-0005-0000-0000-000011260000}"/>
    <cellStyle name="Normal 5 3 2 3 2 6 2" xfId="9745" xr:uid="{00000000-0005-0000-0000-000012260000}"/>
    <cellStyle name="Normal 5 3 2 3 2 7" xfId="9746" xr:uid="{00000000-0005-0000-0000-000013260000}"/>
    <cellStyle name="Normal 5 3 2 3 3" xfId="9747" xr:uid="{00000000-0005-0000-0000-000014260000}"/>
    <cellStyle name="Normal 5 3 2 3 3 2" xfId="9748" xr:uid="{00000000-0005-0000-0000-000015260000}"/>
    <cellStyle name="Normal 5 3 2 3 3 2 2" xfId="9749" xr:uid="{00000000-0005-0000-0000-000016260000}"/>
    <cellStyle name="Normal 5 3 2 3 3 2 2 2" xfId="9750" xr:uid="{00000000-0005-0000-0000-000017260000}"/>
    <cellStyle name="Normal 5 3 2 3 3 2 2 2 2" xfId="9751" xr:uid="{00000000-0005-0000-0000-000018260000}"/>
    <cellStyle name="Normal 5 3 2 3 3 2 2 2 2 2" xfId="9752" xr:uid="{00000000-0005-0000-0000-000019260000}"/>
    <cellStyle name="Normal 5 3 2 3 3 2 2 2 3" xfId="9753" xr:uid="{00000000-0005-0000-0000-00001A260000}"/>
    <cellStyle name="Normal 5 3 2 3 3 2 2 3" xfId="9754" xr:uid="{00000000-0005-0000-0000-00001B260000}"/>
    <cellStyle name="Normal 5 3 2 3 3 2 2 3 2" xfId="9755" xr:uid="{00000000-0005-0000-0000-00001C260000}"/>
    <cellStyle name="Normal 5 3 2 3 3 2 2 4" xfId="9756" xr:uid="{00000000-0005-0000-0000-00001D260000}"/>
    <cellStyle name="Normal 5 3 2 3 3 2 3" xfId="9757" xr:uid="{00000000-0005-0000-0000-00001E260000}"/>
    <cellStyle name="Normal 5 3 2 3 3 2 3 2" xfId="9758" xr:uid="{00000000-0005-0000-0000-00001F260000}"/>
    <cellStyle name="Normal 5 3 2 3 3 2 3 2 2" xfId="9759" xr:uid="{00000000-0005-0000-0000-000020260000}"/>
    <cellStyle name="Normal 5 3 2 3 3 2 3 3" xfId="9760" xr:uid="{00000000-0005-0000-0000-000021260000}"/>
    <cellStyle name="Normal 5 3 2 3 3 2 4" xfId="9761" xr:uid="{00000000-0005-0000-0000-000022260000}"/>
    <cellStyle name="Normal 5 3 2 3 3 2 4 2" xfId="9762" xr:uid="{00000000-0005-0000-0000-000023260000}"/>
    <cellStyle name="Normal 5 3 2 3 3 2 5" xfId="9763" xr:uid="{00000000-0005-0000-0000-000024260000}"/>
    <cellStyle name="Normal 5 3 2 3 3 3" xfId="9764" xr:uid="{00000000-0005-0000-0000-000025260000}"/>
    <cellStyle name="Normal 5 3 2 3 3 3 2" xfId="9765" xr:uid="{00000000-0005-0000-0000-000026260000}"/>
    <cellStyle name="Normal 5 3 2 3 3 3 2 2" xfId="9766" xr:uid="{00000000-0005-0000-0000-000027260000}"/>
    <cellStyle name="Normal 5 3 2 3 3 3 2 2 2" xfId="9767" xr:uid="{00000000-0005-0000-0000-000028260000}"/>
    <cellStyle name="Normal 5 3 2 3 3 3 2 3" xfId="9768" xr:uid="{00000000-0005-0000-0000-000029260000}"/>
    <cellStyle name="Normal 5 3 2 3 3 3 3" xfId="9769" xr:uid="{00000000-0005-0000-0000-00002A260000}"/>
    <cellStyle name="Normal 5 3 2 3 3 3 3 2" xfId="9770" xr:uid="{00000000-0005-0000-0000-00002B260000}"/>
    <cellStyle name="Normal 5 3 2 3 3 3 4" xfId="9771" xr:uid="{00000000-0005-0000-0000-00002C260000}"/>
    <cellStyle name="Normal 5 3 2 3 3 4" xfId="9772" xr:uid="{00000000-0005-0000-0000-00002D260000}"/>
    <cellStyle name="Normal 5 3 2 3 3 4 2" xfId="9773" xr:uid="{00000000-0005-0000-0000-00002E260000}"/>
    <cellStyle name="Normal 5 3 2 3 3 4 2 2" xfId="9774" xr:uid="{00000000-0005-0000-0000-00002F260000}"/>
    <cellStyle name="Normal 5 3 2 3 3 4 3" xfId="9775" xr:uid="{00000000-0005-0000-0000-000030260000}"/>
    <cellStyle name="Normal 5 3 2 3 3 5" xfId="9776" xr:uid="{00000000-0005-0000-0000-000031260000}"/>
    <cellStyle name="Normal 5 3 2 3 3 5 2" xfId="9777" xr:uid="{00000000-0005-0000-0000-000032260000}"/>
    <cellStyle name="Normal 5 3 2 3 3 6" xfId="9778" xr:uid="{00000000-0005-0000-0000-000033260000}"/>
    <cellStyle name="Normal 5 3 2 3 4" xfId="9779" xr:uid="{00000000-0005-0000-0000-000034260000}"/>
    <cellStyle name="Normal 5 3 2 3 4 2" xfId="9780" xr:uid="{00000000-0005-0000-0000-000035260000}"/>
    <cellStyle name="Normal 5 3 2 3 4 2 2" xfId="9781" xr:uid="{00000000-0005-0000-0000-000036260000}"/>
    <cellStyle name="Normal 5 3 2 3 4 2 2 2" xfId="9782" xr:uid="{00000000-0005-0000-0000-000037260000}"/>
    <cellStyle name="Normal 5 3 2 3 4 2 2 2 2" xfId="9783" xr:uid="{00000000-0005-0000-0000-000038260000}"/>
    <cellStyle name="Normal 5 3 2 3 4 2 2 3" xfId="9784" xr:uid="{00000000-0005-0000-0000-000039260000}"/>
    <cellStyle name="Normal 5 3 2 3 4 2 3" xfId="9785" xr:uid="{00000000-0005-0000-0000-00003A260000}"/>
    <cellStyle name="Normal 5 3 2 3 4 2 3 2" xfId="9786" xr:uid="{00000000-0005-0000-0000-00003B260000}"/>
    <cellStyle name="Normal 5 3 2 3 4 2 4" xfId="9787" xr:uid="{00000000-0005-0000-0000-00003C260000}"/>
    <cellStyle name="Normal 5 3 2 3 4 3" xfId="9788" xr:uid="{00000000-0005-0000-0000-00003D260000}"/>
    <cellStyle name="Normal 5 3 2 3 4 3 2" xfId="9789" xr:uid="{00000000-0005-0000-0000-00003E260000}"/>
    <cellStyle name="Normal 5 3 2 3 4 3 2 2" xfId="9790" xr:uid="{00000000-0005-0000-0000-00003F260000}"/>
    <cellStyle name="Normal 5 3 2 3 4 3 3" xfId="9791" xr:uid="{00000000-0005-0000-0000-000040260000}"/>
    <cellStyle name="Normal 5 3 2 3 4 4" xfId="9792" xr:uid="{00000000-0005-0000-0000-000041260000}"/>
    <cellStyle name="Normal 5 3 2 3 4 4 2" xfId="9793" xr:uid="{00000000-0005-0000-0000-000042260000}"/>
    <cellStyle name="Normal 5 3 2 3 4 5" xfId="9794" xr:uid="{00000000-0005-0000-0000-000043260000}"/>
    <cellStyle name="Normal 5 3 2 3 5" xfId="9795" xr:uid="{00000000-0005-0000-0000-000044260000}"/>
    <cellStyle name="Normal 5 3 2 3 5 2" xfId="9796" xr:uid="{00000000-0005-0000-0000-000045260000}"/>
    <cellStyle name="Normal 5 3 2 3 5 2 2" xfId="9797" xr:uid="{00000000-0005-0000-0000-000046260000}"/>
    <cellStyle name="Normal 5 3 2 3 5 2 2 2" xfId="9798" xr:uid="{00000000-0005-0000-0000-000047260000}"/>
    <cellStyle name="Normal 5 3 2 3 5 2 3" xfId="9799" xr:uid="{00000000-0005-0000-0000-000048260000}"/>
    <cellStyle name="Normal 5 3 2 3 5 3" xfId="9800" xr:uid="{00000000-0005-0000-0000-000049260000}"/>
    <cellStyle name="Normal 5 3 2 3 5 3 2" xfId="9801" xr:uid="{00000000-0005-0000-0000-00004A260000}"/>
    <cellStyle name="Normal 5 3 2 3 5 4" xfId="9802" xr:uid="{00000000-0005-0000-0000-00004B260000}"/>
    <cellStyle name="Normal 5 3 2 3 6" xfId="9803" xr:uid="{00000000-0005-0000-0000-00004C260000}"/>
    <cellStyle name="Normal 5 3 2 3 6 2" xfId="9804" xr:uid="{00000000-0005-0000-0000-00004D260000}"/>
    <cellStyle name="Normal 5 3 2 3 6 2 2" xfId="9805" xr:uid="{00000000-0005-0000-0000-00004E260000}"/>
    <cellStyle name="Normal 5 3 2 3 6 3" xfId="9806" xr:uid="{00000000-0005-0000-0000-00004F260000}"/>
    <cellStyle name="Normal 5 3 2 3 7" xfId="9807" xr:uid="{00000000-0005-0000-0000-000050260000}"/>
    <cellStyle name="Normal 5 3 2 3 7 2" xfId="9808" xr:uid="{00000000-0005-0000-0000-000051260000}"/>
    <cellStyle name="Normal 5 3 2 3 8" xfId="9809" xr:uid="{00000000-0005-0000-0000-000052260000}"/>
    <cellStyle name="Normal 5 3 2 4" xfId="9810" xr:uid="{00000000-0005-0000-0000-000053260000}"/>
    <cellStyle name="Normal 5 3 2 4 2" xfId="9811" xr:uid="{00000000-0005-0000-0000-000054260000}"/>
    <cellStyle name="Normal 5 3 2 4 2 2" xfId="9812" xr:uid="{00000000-0005-0000-0000-000055260000}"/>
    <cellStyle name="Normal 5 3 2 4 2 2 2" xfId="9813" xr:uid="{00000000-0005-0000-0000-000056260000}"/>
    <cellStyle name="Normal 5 3 2 4 2 2 2 2" xfId="9814" xr:uid="{00000000-0005-0000-0000-000057260000}"/>
    <cellStyle name="Normal 5 3 2 4 2 2 2 2 2" xfId="9815" xr:uid="{00000000-0005-0000-0000-000058260000}"/>
    <cellStyle name="Normal 5 3 2 4 2 2 2 2 2 2" xfId="9816" xr:uid="{00000000-0005-0000-0000-000059260000}"/>
    <cellStyle name="Normal 5 3 2 4 2 2 2 2 3" xfId="9817" xr:uid="{00000000-0005-0000-0000-00005A260000}"/>
    <cellStyle name="Normal 5 3 2 4 2 2 2 3" xfId="9818" xr:uid="{00000000-0005-0000-0000-00005B260000}"/>
    <cellStyle name="Normal 5 3 2 4 2 2 2 3 2" xfId="9819" xr:uid="{00000000-0005-0000-0000-00005C260000}"/>
    <cellStyle name="Normal 5 3 2 4 2 2 2 4" xfId="9820" xr:uid="{00000000-0005-0000-0000-00005D260000}"/>
    <cellStyle name="Normal 5 3 2 4 2 2 3" xfId="9821" xr:uid="{00000000-0005-0000-0000-00005E260000}"/>
    <cellStyle name="Normal 5 3 2 4 2 2 3 2" xfId="9822" xr:uid="{00000000-0005-0000-0000-00005F260000}"/>
    <cellStyle name="Normal 5 3 2 4 2 2 3 2 2" xfId="9823" xr:uid="{00000000-0005-0000-0000-000060260000}"/>
    <cellStyle name="Normal 5 3 2 4 2 2 3 3" xfId="9824" xr:uid="{00000000-0005-0000-0000-000061260000}"/>
    <cellStyle name="Normal 5 3 2 4 2 2 4" xfId="9825" xr:uid="{00000000-0005-0000-0000-000062260000}"/>
    <cellStyle name="Normal 5 3 2 4 2 2 4 2" xfId="9826" xr:uid="{00000000-0005-0000-0000-000063260000}"/>
    <cellStyle name="Normal 5 3 2 4 2 2 5" xfId="9827" xr:uid="{00000000-0005-0000-0000-000064260000}"/>
    <cellStyle name="Normal 5 3 2 4 2 3" xfId="9828" xr:uid="{00000000-0005-0000-0000-000065260000}"/>
    <cellStyle name="Normal 5 3 2 4 2 3 2" xfId="9829" xr:uid="{00000000-0005-0000-0000-000066260000}"/>
    <cellStyle name="Normal 5 3 2 4 2 3 2 2" xfId="9830" xr:uid="{00000000-0005-0000-0000-000067260000}"/>
    <cellStyle name="Normal 5 3 2 4 2 3 2 2 2" xfId="9831" xr:uid="{00000000-0005-0000-0000-000068260000}"/>
    <cellStyle name="Normal 5 3 2 4 2 3 2 3" xfId="9832" xr:uid="{00000000-0005-0000-0000-000069260000}"/>
    <cellStyle name="Normal 5 3 2 4 2 3 3" xfId="9833" xr:uid="{00000000-0005-0000-0000-00006A260000}"/>
    <cellStyle name="Normal 5 3 2 4 2 3 3 2" xfId="9834" xr:uid="{00000000-0005-0000-0000-00006B260000}"/>
    <cellStyle name="Normal 5 3 2 4 2 3 4" xfId="9835" xr:uid="{00000000-0005-0000-0000-00006C260000}"/>
    <cellStyle name="Normal 5 3 2 4 2 4" xfId="9836" xr:uid="{00000000-0005-0000-0000-00006D260000}"/>
    <cellStyle name="Normal 5 3 2 4 2 4 2" xfId="9837" xr:uid="{00000000-0005-0000-0000-00006E260000}"/>
    <cellStyle name="Normal 5 3 2 4 2 4 2 2" xfId="9838" xr:uid="{00000000-0005-0000-0000-00006F260000}"/>
    <cellStyle name="Normal 5 3 2 4 2 4 3" xfId="9839" xr:uid="{00000000-0005-0000-0000-000070260000}"/>
    <cellStyle name="Normal 5 3 2 4 2 5" xfId="9840" xr:uid="{00000000-0005-0000-0000-000071260000}"/>
    <cellStyle name="Normal 5 3 2 4 2 5 2" xfId="9841" xr:uid="{00000000-0005-0000-0000-000072260000}"/>
    <cellStyle name="Normal 5 3 2 4 2 6" xfId="9842" xr:uid="{00000000-0005-0000-0000-000073260000}"/>
    <cellStyle name="Normal 5 3 2 4 3" xfId="9843" xr:uid="{00000000-0005-0000-0000-000074260000}"/>
    <cellStyle name="Normal 5 3 2 4 3 2" xfId="9844" xr:uid="{00000000-0005-0000-0000-000075260000}"/>
    <cellStyle name="Normal 5 3 2 4 3 2 2" xfId="9845" xr:uid="{00000000-0005-0000-0000-000076260000}"/>
    <cellStyle name="Normal 5 3 2 4 3 2 2 2" xfId="9846" xr:uid="{00000000-0005-0000-0000-000077260000}"/>
    <cellStyle name="Normal 5 3 2 4 3 2 2 2 2" xfId="9847" xr:uid="{00000000-0005-0000-0000-000078260000}"/>
    <cellStyle name="Normal 5 3 2 4 3 2 2 3" xfId="9848" xr:uid="{00000000-0005-0000-0000-000079260000}"/>
    <cellStyle name="Normal 5 3 2 4 3 2 3" xfId="9849" xr:uid="{00000000-0005-0000-0000-00007A260000}"/>
    <cellStyle name="Normal 5 3 2 4 3 2 3 2" xfId="9850" xr:uid="{00000000-0005-0000-0000-00007B260000}"/>
    <cellStyle name="Normal 5 3 2 4 3 2 4" xfId="9851" xr:uid="{00000000-0005-0000-0000-00007C260000}"/>
    <cellStyle name="Normal 5 3 2 4 3 3" xfId="9852" xr:uid="{00000000-0005-0000-0000-00007D260000}"/>
    <cellStyle name="Normal 5 3 2 4 3 3 2" xfId="9853" xr:uid="{00000000-0005-0000-0000-00007E260000}"/>
    <cellStyle name="Normal 5 3 2 4 3 3 2 2" xfId="9854" xr:uid="{00000000-0005-0000-0000-00007F260000}"/>
    <cellStyle name="Normal 5 3 2 4 3 3 3" xfId="9855" xr:uid="{00000000-0005-0000-0000-000080260000}"/>
    <cellStyle name="Normal 5 3 2 4 3 4" xfId="9856" xr:uid="{00000000-0005-0000-0000-000081260000}"/>
    <cellStyle name="Normal 5 3 2 4 3 4 2" xfId="9857" xr:uid="{00000000-0005-0000-0000-000082260000}"/>
    <cellStyle name="Normal 5 3 2 4 3 5" xfId="9858" xr:uid="{00000000-0005-0000-0000-000083260000}"/>
    <cellStyle name="Normal 5 3 2 4 4" xfId="9859" xr:uid="{00000000-0005-0000-0000-000084260000}"/>
    <cellStyle name="Normal 5 3 2 4 4 2" xfId="9860" xr:uid="{00000000-0005-0000-0000-000085260000}"/>
    <cellStyle name="Normal 5 3 2 4 4 2 2" xfId="9861" xr:uid="{00000000-0005-0000-0000-000086260000}"/>
    <cellStyle name="Normal 5 3 2 4 4 2 2 2" xfId="9862" xr:uid="{00000000-0005-0000-0000-000087260000}"/>
    <cellStyle name="Normal 5 3 2 4 4 2 3" xfId="9863" xr:uid="{00000000-0005-0000-0000-000088260000}"/>
    <cellStyle name="Normal 5 3 2 4 4 3" xfId="9864" xr:uid="{00000000-0005-0000-0000-000089260000}"/>
    <cellStyle name="Normal 5 3 2 4 4 3 2" xfId="9865" xr:uid="{00000000-0005-0000-0000-00008A260000}"/>
    <cellStyle name="Normal 5 3 2 4 4 4" xfId="9866" xr:uid="{00000000-0005-0000-0000-00008B260000}"/>
    <cellStyle name="Normal 5 3 2 4 5" xfId="9867" xr:uid="{00000000-0005-0000-0000-00008C260000}"/>
    <cellStyle name="Normal 5 3 2 4 5 2" xfId="9868" xr:uid="{00000000-0005-0000-0000-00008D260000}"/>
    <cellStyle name="Normal 5 3 2 4 5 2 2" xfId="9869" xr:uid="{00000000-0005-0000-0000-00008E260000}"/>
    <cellStyle name="Normal 5 3 2 4 5 3" xfId="9870" xr:uid="{00000000-0005-0000-0000-00008F260000}"/>
    <cellStyle name="Normal 5 3 2 4 6" xfId="9871" xr:uid="{00000000-0005-0000-0000-000090260000}"/>
    <cellStyle name="Normal 5 3 2 4 6 2" xfId="9872" xr:uid="{00000000-0005-0000-0000-000091260000}"/>
    <cellStyle name="Normal 5 3 2 4 7" xfId="9873" xr:uid="{00000000-0005-0000-0000-000092260000}"/>
    <cellStyle name="Normal 5 3 2 5" xfId="9874" xr:uid="{00000000-0005-0000-0000-000093260000}"/>
    <cellStyle name="Normal 5 3 2 5 2" xfId="9875" xr:uid="{00000000-0005-0000-0000-000094260000}"/>
    <cellStyle name="Normal 5 3 2 5 2 2" xfId="9876" xr:uid="{00000000-0005-0000-0000-000095260000}"/>
    <cellStyle name="Normal 5 3 2 5 2 2 2" xfId="9877" xr:uid="{00000000-0005-0000-0000-000096260000}"/>
    <cellStyle name="Normal 5 3 2 5 2 2 2 2" xfId="9878" xr:uid="{00000000-0005-0000-0000-000097260000}"/>
    <cellStyle name="Normal 5 3 2 5 2 2 2 2 2" xfId="9879" xr:uid="{00000000-0005-0000-0000-000098260000}"/>
    <cellStyle name="Normal 5 3 2 5 2 2 2 3" xfId="9880" xr:uid="{00000000-0005-0000-0000-000099260000}"/>
    <cellStyle name="Normal 5 3 2 5 2 2 3" xfId="9881" xr:uid="{00000000-0005-0000-0000-00009A260000}"/>
    <cellStyle name="Normal 5 3 2 5 2 2 3 2" xfId="9882" xr:uid="{00000000-0005-0000-0000-00009B260000}"/>
    <cellStyle name="Normal 5 3 2 5 2 2 4" xfId="9883" xr:uid="{00000000-0005-0000-0000-00009C260000}"/>
    <cellStyle name="Normal 5 3 2 5 2 3" xfId="9884" xr:uid="{00000000-0005-0000-0000-00009D260000}"/>
    <cellStyle name="Normal 5 3 2 5 2 3 2" xfId="9885" xr:uid="{00000000-0005-0000-0000-00009E260000}"/>
    <cellStyle name="Normal 5 3 2 5 2 3 2 2" xfId="9886" xr:uid="{00000000-0005-0000-0000-00009F260000}"/>
    <cellStyle name="Normal 5 3 2 5 2 3 3" xfId="9887" xr:uid="{00000000-0005-0000-0000-0000A0260000}"/>
    <cellStyle name="Normal 5 3 2 5 2 4" xfId="9888" xr:uid="{00000000-0005-0000-0000-0000A1260000}"/>
    <cellStyle name="Normal 5 3 2 5 2 4 2" xfId="9889" xr:uid="{00000000-0005-0000-0000-0000A2260000}"/>
    <cellStyle name="Normal 5 3 2 5 2 5" xfId="9890" xr:uid="{00000000-0005-0000-0000-0000A3260000}"/>
    <cellStyle name="Normal 5 3 2 5 3" xfId="9891" xr:uid="{00000000-0005-0000-0000-0000A4260000}"/>
    <cellStyle name="Normal 5 3 2 5 3 2" xfId="9892" xr:uid="{00000000-0005-0000-0000-0000A5260000}"/>
    <cellStyle name="Normal 5 3 2 5 3 2 2" xfId="9893" xr:uid="{00000000-0005-0000-0000-0000A6260000}"/>
    <cellStyle name="Normal 5 3 2 5 3 2 2 2" xfId="9894" xr:uid="{00000000-0005-0000-0000-0000A7260000}"/>
    <cellStyle name="Normal 5 3 2 5 3 2 3" xfId="9895" xr:uid="{00000000-0005-0000-0000-0000A8260000}"/>
    <cellStyle name="Normal 5 3 2 5 3 3" xfId="9896" xr:uid="{00000000-0005-0000-0000-0000A9260000}"/>
    <cellStyle name="Normal 5 3 2 5 3 3 2" xfId="9897" xr:uid="{00000000-0005-0000-0000-0000AA260000}"/>
    <cellStyle name="Normal 5 3 2 5 3 4" xfId="9898" xr:uid="{00000000-0005-0000-0000-0000AB260000}"/>
    <cellStyle name="Normal 5 3 2 5 4" xfId="9899" xr:uid="{00000000-0005-0000-0000-0000AC260000}"/>
    <cellStyle name="Normal 5 3 2 5 4 2" xfId="9900" xr:uid="{00000000-0005-0000-0000-0000AD260000}"/>
    <cellStyle name="Normal 5 3 2 5 4 2 2" xfId="9901" xr:uid="{00000000-0005-0000-0000-0000AE260000}"/>
    <cellStyle name="Normal 5 3 2 5 4 3" xfId="9902" xr:uid="{00000000-0005-0000-0000-0000AF260000}"/>
    <cellStyle name="Normal 5 3 2 5 5" xfId="9903" xr:uid="{00000000-0005-0000-0000-0000B0260000}"/>
    <cellStyle name="Normal 5 3 2 5 5 2" xfId="9904" xr:uid="{00000000-0005-0000-0000-0000B1260000}"/>
    <cellStyle name="Normal 5 3 2 5 6" xfId="9905" xr:uid="{00000000-0005-0000-0000-0000B2260000}"/>
    <cellStyle name="Normal 5 3 2 6" xfId="9906" xr:uid="{00000000-0005-0000-0000-0000B3260000}"/>
    <cellStyle name="Normal 5 3 2 6 2" xfId="9907" xr:uid="{00000000-0005-0000-0000-0000B4260000}"/>
    <cellStyle name="Normal 5 3 2 6 2 2" xfId="9908" xr:uid="{00000000-0005-0000-0000-0000B5260000}"/>
    <cellStyle name="Normal 5 3 2 6 2 2 2" xfId="9909" xr:uid="{00000000-0005-0000-0000-0000B6260000}"/>
    <cellStyle name="Normal 5 3 2 6 2 2 2 2" xfId="9910" xr:uid="{00000000-0005-0000-0000-0000B7260000}"/>
    <cellStyle name="Normal 5 3 2 6 2 2 3" xfId="9911" xr:uid="{00000000-0005-0000-0000-0000B8260000}"/>
    <cellStyle name="Normal 5 3 2 6 2 3" xfId="9912" xr:uid="{00000000-0005-0000-0000-0000B9260000}"/>
    <cellStyle name="Normal 5 3 2 6 2 3 2" xfId="9913" xr:uid="{00000000-0005-0000-0000-0000BA260000}"/>
    <cellStyle name="Normal 5 3 2 6 2 4" xfId="9914" xr:uid="{00000000-0005-0000-0000-0000BB260000}"/>
    <cellStyle name="Normal 5 3 2 6 3" xfId="9915" xr:uid="{00000000-0005-0000-0000-0000BC260000}"/>
    <cellStyle name="Normal 5 3 2 6 3 2" xfId="9916" xr:uid="{00000000-0005-0000-0000-0000BD260000}"/>
    <cellStyle name="Normal 5 3 2 6 3 2 2" xfId="9917" xr:uid="{00000000-0005-0000-0000-0000BE260000}"/>
    <cellStyle name="Normal 5 3 2 6 3 3" xfId="9918" xr:uid="{00000000-0005-0000-0000-0000BF260000}"/>
    <cellStyle name="Normal 5 3 2 6 4" xfId="9919" xr:uid="{00000000-0005-0000-0000-0000C0260000}"/>
    <cellStyle name="Normal 5 3 2 6 4 2" xfId="9920" xr:uid="{00000000-0005-0000-0000-0000C1260000}"/>
    <cellStyle name="Normal 5 3 2 6 5" xfId="9921" xr:uid="{00000000-0005-0000-0000-0000C2260000}"/>
    <cellStyle name="Normal 5 3 2 7" xfId="9922" xr:uid="{00000000-0005-0000-0000-0000C3260000}"/>
    <cellStyle name="Normal 5 3 2 7 2" xfId="9923" xr:uid="{00000000-0005-0000-0000-0000C4260000}"/>
    <cellStyle name="Normal 5 3 2 7 2 2" xfId="9924" xr:uid="{00000000-0005-0000-0000-0000C5260000}"/>
    <cellStyle name="Normal 5 3 2 7 2 2 2" xfId="9925" xr:uid="{00000000-0005-0000-0000-0000C6260000}"/>
    <cellStyle name="Normal 5 3 2 7 2 3" xfId="9926" xr:uid="{00000000-0005-0000-0000-0000C7260000}"/>
    <cellStyle name="Normal 5 3 2 7 3" xfId="9927" xr:uid="{00000000-0005-0000-0000-0000C8260000}"/>
    <cellStyle name="Normal 5 3 2 7 3 2" xfId="9928" xr:uid="{00000000-0005-0000-0000-0000C9260000}"/>
    <cellStyle name="Normal 5 3 2 7 4" xfId="9929" xr:uid="{00000000-0005-0000-0000-0000CA260000}"/>
    <cellStyle name="Normal 5 3 2 8" xfId="9930" xr:uid="{00000000-0005-0000-0000-0000CB260000}"/>
    <cellStyle name="Normal 5 3 2 8 2" xfId="9931" xr:uid="{00000000-0005-0000-0000-0000CC260000}"/>
    <cellStyle name="Normal 5 3 2 8 2 2" xfId="9932" xr:uid="{00000000-0005-0000-0000-0000CD260000}"/>
    <cellStyle name="Normal 5 3 2 8 3" xfId="9933" xr:uid="{00000000-0005-0000-0000-0000CE260000}"/>
    <cellStyle name="Normal 5 3 2 9" xfId="9934" xr:uid="{00000000-0005-0000-0000-0000CF260000}"/>
    <cellStyle name="Normal 5 3 2 9 2" xfId="9935" xr:uid="{00000000-0005-0000-0000-0000D0260000}"/>
    <cellStyle name="Normal 5 3 3" xfId="9936" xr:uid="{00000000-0005-0000-0000-0000D1260000}"/>
    <cellStyle name="Normal 5 3 3 2" xfId="9937" xr:uid="{00000000-0005-0000-0000-0000D2260000}"/>
    <cellStyle name="Normal 5 3 3 2 2" xfId="9938" xr:uid="{00000000-0005-0000-0000-0000D3260000}"/>
    <cellStyle name="Normal 5 3 3 2 2 2" xfId="9939" xr:uid="{00000000-0005-0000-0000-0000D4260000}"/>
    <cellStyle name="Normal 5 3 3 2 2 2 2" xfId="9940" xr:uid="{00000000-0005-0000-0000-0000D5260000}"/>
    <cellStyle name="Normal 5 3 3 2 2 2 2 2" xfId="9941" xr:uid="{00000000-0005-0000-0000-0000D6260000}"/>
    <cellStyle name="Normal 5 3 3 2 2 2 2 2 2" xfId="9942" xr:uid="{00000000-0005-0000-0000-0000D7260000}"/>
    <cellStyle name="Normal 5 3 3 2 2 2 2 2 2 2" xfId="9943" xr:uid="{00000000-0005-0000-0000-0000D8260000}"/>
    <cellStyle name="Normal 5 3 3 2 2 2 2 2 2 2 2" xfId="9944" xr:uid="{00000000-0005-0000-0000-0000D9260000}"/>
    <cellStyle name="Normal 5 3 3 2 2 2 2 2 2 3" xfId="9945" xr:uid="{00000000-0005-0000-0000-0000DA260000}"/>
    <cellStyle name="Normal 5 3 3 2 2 2 2 2 3" xfId="9946" xr:uid="{00000000-0005-0000-0000-0000DB260000}"/>
    <cellStyle name="Normal 5 3 3 2 2 2 2 2 3 2" xfId="9947" xr:uid="{00000000-0005-0000-0000-0000DC260000}"/>
    <cellStyle name="Normal 5 3 3 2 2 2 2 2 4" xfId="9948" xr:uid="{00000000-0005-0000-0000-0000DD260000}"/>
    <cellStyle name="Normal 5 3 3 2 2 2 2 3" xfId="9949" xr:uid="{00000000-0005-0000-0000-0000DE260000}"/>
    <cellStyle name="Normal 5 3 3 2 2 2 2 3 2" xfId="9950" xr:uid="{00000000-0005-0000-0000-0000DF260000}"/>
    <cellStyle name="Normal 5 3 3 2 2 2 2 3 2 2" xfId="9951" xr:uid="{00000000-0005-0000-0000-0000E0260000}"/>
    <cellStyle name="Normal 5 3 3 2 2 2 2 3 3" xfId="9952" xr:uid="{00000000-0005-0000-0000-0000E1260000}"/>
    <cellStyle name="Normal 5 3 3 2 2 2 2 4" xfId="9953" xr:uid="{00000000-0005-0000-0000-0000E2260000}"/>
    <cellStyle name="Normal 5 3 3 2 2 2 2 4 2" xfId="9954" xr:uid="{00000000-0005-0000-0000-0000E3260000}"/>
    <cellStyle name="Normal 5 3 3 2 2 2 2 5" xfId="9955" xr:uid="{00000000-0005-0000-0000-0000E4260000}"/>
    <cellStyle name="Normal 5 3 3 2 2 2 3" xfId="9956" xr:uid="{00000000-0005-0000-0000-0000E5260000}"/>
    <cellStyle name="Normal 5 3 3 2 2 2 3 2" xfId="9957" xr:uid="{00000000-0005-0000-0000-0000E6260000}"/>
    <cellStyle name="Normal 5 3 3 2 2 2 3 2 2" xfId="9958" xr:uid="{00000000-0005-0000-0000-0000E7260000}"/>
    <cellStyle name="Normal 5 3 3 2 2 2 3 2 2 2" xfId="9959" xr:uid="{00000000-0005-0000-0000-0000E8260000}"/>
    <cellStyle name="Normal 5 3 3 2 2 2 3 2 3" xfId="9960" xr:uid="{00000000-0005-0000-0000-0000E9260000}"/>
    <cellStyle name="Normal 5 3 3 2 2 2 3 3" xfId="9961" xr:uid="{00000000-0005-0000-0000-0000EA260000}"/>
    <cellStyle name="Normal 5 3 3 2 2 2 3 3 2" xfId="9962" xr:uid="{00000000-0005-0000-0000-0000EB260000}"/>
    <cellStyle name="Normal 5 3 3 2 2 2 3 4" xfId="9963" xr:uid="{00000000-0005-0000-0000-0000EC260000}"/>
    <cellStyle name="Normal 5 3 3 2 2 2 4" xfId="9964" xr:uid="{00000000-0005-0000-0000-0000ED260000}"/>
    <cellStyle name="Normal 5 3 3 2 2 2 4 2" xfId="9965" xr:uid="{00000000-0005-0000-0000-0000EE260000}"/>
    <cellStyle name="Normal 5 3 3 2 2 2 4 2 2" xfId="9966" xr:uid="{00000000-0005-0000-0000-0000EF260000}"/>
    <cellStyle name="Normal 5 3 3 2 2 2 4 3" xfId="9967" xr:uid="{00000000-0005-0000-0000-0000F0260000}"/>
    <cellStyle name="Normal 5 3 3 2 2 2 5" xfId="9968" xr:uid="{00000000-0005-0000-0000-0000F1260000}"/>
    <cellStyle name="Normal 5 3 3 2 2 2 5 2" xfId="9969" xr:uid="{00000000-0005-0000-0000-0000F2260000}"/>
    <cellStyle name="Normal 5 3 3 2 2 2 6" xfId="9970" xr:uid="{00000000-0005-0000-0000-0000F3260000}"/>
    <cellStyle name="Normal 5 3 3 2 2 3" xfId="9971" xr:uid="{00000000-0005-0000-0000-0000F4260000}"/>
    <cellStyle name="Normal 5 3 3 2 2 3 2" xfId="9972" xr:uid="{00000000-0005-0000-0000-0000F5260000}"/>
    <cellStyle name="Normal 5 3 3 2 2 3 2 2" xfId="9973" xr:uid="{00000000-0005-0000-0000-0000F6260000}"/>
    <cellStyle name="Normal 5 3 3 2 2 3 2 2 2" xfId="9974" xr:uid="{00000000-0005-0000-0000-0000F7260000}"/>
    <cellStyle name="Normal 5 3 3 2 2 3 2 2 2 2" xfId="9975" xr:uid="{00000000-0005-0000-0000-0000F8260000}"/>
    <cellStyle name="Normal 5 3 3 2 2 3 2 2 3" xfId="9976" xr:uid="{00000000-0005-0000-0000-0000F9260000}"/>
    <cellStyle name="Normal 5 3 3 2 2 3 2 3" xfId="9977" xr:uid="{00000000-0005-0000-0000-0000FA260000}"/>
    <cellStyle name="Normal 5 3 3 2 2 3 2 3 2" xfId="9978" xr:uid="{00000000-0005-0000-0000-0000FB260000}"/>
    <cellStyle name="Normal 5 3 3 2 2 3 2 4" xfId="9979" xr:uid="{00000000-0005-0000-0000-0000FC260000}"/>
    <cellStyle name="Normal 5 3 3 2 2 3 3" xfId="9980" xr:uid="{00000000-0005-0000-0000-0000FD260000}"/>
    <cellStyle name="Normal 5 3 3 2 2 3 3 2" xfId="9981" xr:uid="{00000000-0005-0000-0000-0000FE260000}"/>
    <cellStyle name="Normal 5 3 3 2 2 3 3 2 2" xfId="9982" xr:uid="{00000000-0005-0000-0000-0000FF260000}"/>
    <cellStyle name="Normal 5 3 3 2 2 3 3 3" xfId="9983" xr:uid="{00000000-0005-0000-0000-000000270000}"/>
    <cellStyle name="Normal 5 3 3 2 2 3 4" xfId="9984" xr:uid="{00000000-0005-0000-0000-000001270000}"/>
    <cellStyle name="Normal 5 3 3 2 2 3 4 2" xfId="9985" xr:uid="{00000000-0005-0000-0000-000002270000}"/>
    <cellStyle name="Normal 5 3 3 2 2 3 5" xfId="9986" xr:uid="{00000000-0005-0000-0000-000003270000}"/>
    <cellStyle name="Normal 5 3 3 2 2 4" xfId="9987" xr:uid="{00000000-0005-0000-0000-000004270000}"/>
    <cellStyle name="Normal 5 3 3 2 2 4 2" xfId="9988" xr:uid="{00000000-0005-0000-0000-000005270000}"/>
    <cellStyle name="Normal 5 3 3 2 2 4 2 2" xfId="9989" xr:uid="{00000000-0005-0000-0000-000006270000}"/>
    <cellStyle name="Normal 5 3 3 2 2 4 2 2 2" xfId="9990" xr:uid="{00000000-0005-0000-0000-000007270000}"/>
    <cellStyle name="Normal 5 3 3 2 2 4 2 3" xfId="9991" xr:uid="{00000000-0005-0000-0000-000008270000}"/>
    <cellStyle name="Normal 5 3 3 2 2 4 3" xfId="9992" xr:uid="{00000000-0005-0000-0000-000009270000}"/>
    <cellStyle name="Normal 5 3 3 2 2 4 3 2" xfId="9993" xr:uid="{00000000-0005-0000-0000-00000A270000}"/>
    <cellStyle name="Normal 5 3 3 2 2 4 4" xfId="9994" xr:uid="{00000000-0005-0000-0000-00000B270000}"/>
    <cellStyle name="Normal 5 3 3 2 2 5" xfId="9995" xr:uid="{00000000-0005-0000-0000-00000C270000}"/>
    <cellStyle name="Normal 5 3 3 2 2 5 2" xfId="9996" xr:uid="{00000000-0005-0000-0000-00000D270000}"/>
    <cellStyle name="Normal 5 3 3 2 2 5 2 2" xfId="9997" xr:uid="{00000000-0005-0000-0000-00000E270000}"/>
    <cellStyle name="Normal 5 3 3 2 2 5 3" xfId="9998" xr:uid="{00000000-0005-0000-0000-00000F270000}"/>
    <cellStyle name="Normal 5 3 3 2 2 6" xfId="9999" xr:uid="{00000000-0005-0000-0000-000010270000}"/>
    <cellStyle name="Normal 5 3 3 2 2 6 2" xfId="10000" xr:uid="{00000000-0005-0000-0000-000011270000}"/>
    <cellStyle name="Normal 5 3 3 2 2 7" xfId="10001" xr:uid="{00000000-0005-0000-0000-000012270000}"/>
    <cellStyle name="Normal 5 3 3 2 3" xfId="10002" xr:uid="{00000000-0005-0000-0000-000013270000}"/>
    <cellStyle name="Normal 5 3 3 2 3 2" xfId="10003" xr:uid="{00000000-0005-0000-0000-000014270000}"/>
    <cellStyle name="Normal 5 3 3 2 3 2 2" xfId="10004" xr:uid="{00000000-0005-0000-0000-000015270000}"/>
    <cellStyle name="Normal 5 3 3 2 3 2 2 2" xfId="10005" xr:uid="{00000000-0005-0000-0000-000016270000}"/>
    <cellStyle name="Normal 5 3 3 2 3 2 2 2 2" xfId="10006" xr:uid="{00000000-0005-0000-0000-000017270000}"/>
    <cellStyle name="Normal 5 3 3 2 3 2 2 2 2 2" xfId="10007" xr:uid="{00000000-0005-0000-0000-000018270000}"/>
    <cellStyle name="Normal 5 3 3 2 3 2 2 2 3" xfId="10008" xr:uid="{00000000-0005-0000-0000-000019270000}"/>
    <cellStyle name="Normal 5 3 3 2 3 2 2 3" xfId="10009" xr:uid="{00000000-0005-0000-0000-00001A270000}"/>
    <cellStyle name="Normal 5 3 3 2 3 2 2 3 2" xfId="10010" xr:uid="{00000000-0005-0000-0000-00001B270000}"/>
    <cellStyle name="Normal 5 3 3 2 3 2 2 4" xfId="10011" xr:uid="{00000000-0005-0000-0000-00001C270000}"/>
    <cellStyle name="Normal 5 3 3 2 3 2 3" xfId="10012" xr:uid="{00000000-0005-0000-0000-00001D270000}"/>
    <cellStyle name="Normal 5 3 3 2 3 2 3 2" xfId="10013" xr:uid="{00000000-0005-0000-0000-00001E270000}"/>
    <cellStyle name="Normal 5 3 3 2 3 2 3 2 2" xfId="10014" xr:uid="{00000000-0005-0000-0000-00001F270000}"/>
    <cellStyle name="Normal 5 3 3 2 3 2 3 3" xfId="10015" xr:uid="{00000000-0005-0000-0000-000020270000}"/>
    <cellStyle name="Normal 5 3 3 2 3 2 4" xfId="10016" xr:uid="{00000000-0005-0000-0000-000021270000}"/>
    <cellStyle name="Normal 5 3 3 2 3 2 4 2" xfId="10017" xr:uid="{00000000-0005-0000-0000-000022270000}"/>
    <cellStyle name="Normal 5 3 3 2 3 2 5" xfId="10018" xr:uid="{00000000-0005-0000-0000-000023270000}"/>
    <cellStyle name="Normal 5 3 3 2 3 3" xfId="10019" xr:uid="{00000000-0005-0000-0000-000024270000}"/>
    <cellStyle name="Normal 5 3 3 2 3 3 2" xfId="10020" xr:uid="{00000000-0005-0000-0000-000025270000}"/>
    <cellStyle name="Normal 5 3 3 2 3 3 2 2" xfId="10021" xr:uid="{00000000-0005-0000-0000-000026270000}"/>
    <cellStyle name="Normal 5 3 3 2 3 3 2 2 2" xfId="10022" xr:uid="{00000000-0005-0000-0000-000027270000}"/>
    <cellStyle name="Normal 5 3 3 2 3 3 2 3" xfId="10023" xr:uid="{00000000-0005-0000-0000-000028270000}"/>
    <cellStyle name="Normal 5 3 3 2 3 3 3" xfId="10024" xr:uid="{00000000-0005-0000-0000-000029270000}"/>
    <cellStyle name="Normal 5 3 3 2 3 3 3 2" xfId="10025" xr:uid="{00000000-0005-0000-0000-00002A270000}"/>
    <cellStyle name="Normal 5 3 3 2 3 3 4" xfId="10026" xr:uid="{00000000-0005-0000-0000-00002B270000}"/>
    <cellStyle name="Normal 5 3 3 2 3 4" xfId="10027" xr:uid="{00000000-0005-0000-0000-00002C270000}"/>
    <cellStyle name="Normal 5 3 3 2 3 4 2" xfId="10028" xr:uid="{00000000-0005-0000-0000-00002D270000}"/>
    <cellStyle name="Normal 5 3 3 2 3 4 2 2" xfId="10029" xr:uid="{00000000-0005-0000-0000-00002E270000}"/>
    <cellStyle name="Normal 5 3 3 2 3 4 3" xfId="10030" xr:uid="{00000000-0005-0000-0000-00002F270000}"/>
    <cellStyle name="Normal 5 3 3 2 3 5" xfId="10031" xr:uid="{00000000-0005-0000-0000-000030270000}"/>
    <cellStyle name="Normal 5 3 3 2 3 5 2" xfId="10032" xr:uid="{00000000-0005-0000-0000-000031270000}"/>
    <cellStyle name="Normal 5 3 3 2 3 6" xfId="10033" xr:uid="{00000000-0005-0000-0000-000032270000}"/>
    <cellStyle name="Normal 5 3 3 2 4" xfId="10034" xr:uid="{00000000-0005-0000-0000-000033270000}"/>
    <cellStyle name="Normal 5 3 3 2 4 2" xfId="10035" xr:uid="{00000000-0005-0000-0000-000034270000}"/>
    <cellStyle name="Normal 5 3 3 2 4 2 2" xfId="10036" xr:uid="{00000000-0005-0000-0000-000035270000}"/>
    <cellStyle name="Normal 5 3 3 2 4 2 2 2" xfId="10037" xr:uid="{00000000-0005-0000-0000-000036270000}"/>
    <cellStyle name="Normal 5 3 3 2 4 2 2 2 2" xfId="10038" xr:uid="{00000000-0005-0000-0000-000037270000}"/>
    <cellStyle name="Normal 5 3 3 2 4 2 2 3" xfId="10039" xr:uid="{00000000-0005-0000-0000-000038270000}"/>
    <cellStyle name="Normal 5 3 3 2 4 2 3" xfId="10040" xr:uid="{00000000-0005-0000-0000-000039270000}"/>
    <cellStyle name="Normal 5 3 3 2 4 2 3 2" xfId="10041" xr:uid="{00000000-0005-0000-0000-00003A270000}"/>
    <cellStyle name="Normal 5 3 3 2 4 2 4" xfId="10042" xr:uid="{00000000-0005-0000-0000-00003B270000}"/>
    <cellStyle name="Normal 5 3 3 2 4 3" xfId="10043" xr:uid="{00000000-0005-0000-0000-00003C270000}"/>
    <cellStyle name="Normal 5 3 3 2 4 3 2" xfId="10044" xr:uid="{00000000-0005-0000-0000-00003D270000}"/>
    <cellStyle name="Normal 5 3 3 2 4 3 2 2" xfId="10045" xr:uid="{00000000-0005-0000-0000-00003E270000}"/>
    <cellStyle name="Normal 5 3 3 2 4 3 3" xfId="10046" xr:uid="{00000000-0005-0000-0000-00003F270000}"/>
    <cellStyle name="Normal 5 3 3 2 4 4" xfId="10047" xr:uid="{00000000-0005-0000-0000-000040270000}"/>
    <cellStyle name="Normal 5 3 3 2 4 4 2" xfId="10048" xr:uid="{00000000-0005-0000-0000-000041270000}"/>
    <cellStyle name="Normal 5 3 3 2 4 5" xfId="10049" xr:uid="{00000000-0005-0000-0000-000042270000}"/>
    <cellStyle name="Normal 5 3 3 2 5" xfId="10050" xr:uid="{00000000-0005-0000-0000-000043270000}"/>
    <cellStyle name="Normal 5 3 3 2 5 2" xfId="10051" xr:uid="{00000000-0005-0000-0000-000044270000}"/>
    <cellStyle name="Normal 5 3 3 2 5 2 2" xfId="10052" xr:uid="{00000000-0005-0000-0000-000045270000}"/>
    <cellStyle name="Normal 5 3 3 2 5 2 2 2" xfId="10053" xr:uid="{00000000-0005-0000-0000-000046270000}"/>
    <cellStyle name="Normal 5 3 3 2 5 2 3" xfId="10054" xr:uid="{00000000-0005-0000-0000-000047270000}"/>
    <cellStyle name="Normal 5 3 3 2 5 3" xfId="10055" xr:uid="{00000000-0005-0000-0000-000048270000}"/>
    <cellStyle name="Normal 5 3 3 2 5 3 2" xfId="10056" xr:uid="{00000000-0005-0000-0000-000049270000}"/>
    <cellStyle name="Normal 5 3 3 2 5 4" xfId="10057" xr:uid="{00000000-0005-0000-0000-00004A270000}"/>
    <cellStyle name="Normal 5 3 3 2 6" xfId="10058" xr:uid="{00000000-0005-0000-0000-00004B270000}"/>
    <cellStyle name="Normal 5 3 3 2 6 2" xfId="10059" xr:uid="{00000000-0005-0000-0000-00004C270000}"/>
    <cellStyle name="Normal 5 3 3 2 6 2 2" xfId="10060" xr:uid="{00000000-0005-0000-0000-00004D270000}"/>
    <cellStyle name="Normal 5 3 3 2 6 3" xfId="10061" xr:uid="{00000000-0005-0000-0000-00004E270000}"/>
    <cellStyle name="Normal 5 3 3 2 7" xfId="10062" xr:uid="{00000000-0005-0000-0000-00004F270000}"/>
    <cellStyle name="Normal 5 3 3 2 7 2" xfId="10063" xr:uid="{00000000-0005-0000-0000-000050270000}"/>
    <cellStyle name="Normal 5 3 3 2 8" xfId="10064" xr:uid="{00000000-0005-0000-0000-000051270000}"/>
    <cellStyle name="Normal 5 3 3 3" xfId="10065" xr:uid="{00000000-0005-0000-0000-000052270000}"/>
    <cellStyle name="Normal 5 3 3 3 2" xfId="10066" xr:uid="{00000000-0005-0000-0000-000053270000}"/>
    <cellStyle name="Normal 5 3 3 3 2 2" xfId="10067" xr:uid="{00000000-0005-0000-0000-000054270000}"/>
    <cellStyle name="Normal 5 3 3 3 2 2 2" xfId="10068" xr:uid="{00000000-0005-0000-0000-000055270000}"/>
    <cellStyle name="Normal 5 3 3 3 2 2 2 2" xfId="10069" xr:uid="{00000000-0005-0000-0000-000056270000}"/>
    <cellStyle name="Normal 5 3 3 3 2 2 2 2 2" xfId="10070" xr:uid="{00000000-0005-0000-0000-000057270000}"/>
    <cellStyle name="Normal 5 3 3 3 2 2 2 2 2 2" xfId="10071" xr:uid="{00000000-0005-0000-0000-000058270000}"/>
    <cellStyle name="Normal 5 3 3 3 2 2 2 2 3" xfId="10072" xr:uid="{00000000-0005-0000-0000-000059270000}"/>
    <cellStyle name="Normal 5 3 3 3 2 2 2 3" xfId="10073" xr:uid="{00000000-0005-0000-0000-00005A270000}"/>
    <cellStyle name="Normal 5 3 3 3 2 2 2 3 2" xfId="10074" xr:uid="{00000000-0005-0000-0000-00005B270000}"/>
    <cellStyle name="Normal 5 3 3 3 2 2 2 4" xfId="10075" xr:uid="{00000000-0005-0000-0000-00005C270000}"/>
    <cellStyle name="Normal 5 3 3 3 2 2 3" xfId="10076" xr:uid="{00000000-0005-0000-0000-00005D270000}"/>
    <cellStyle name="Normal 5 3 3 3 2 2 3 2" xfId="10077" xr:uid="{00000000-0005-0000-0000-00005E270000}"/>
    <cellStyle name="Normal 5 3 3 3 2 2 3 2 2" xfId="10078" xr:uid="{00000000-0005-0000-0000-00005F270000}"/>
    <cellStyle name="Normal 5 3 3 3 2 2 3 3" xfId="10079" xr:uid="{00000000-0005-0000-0000-000060270000}"/>
    <cellStyle name="Normal 5 3 3 3 2 2 4" xfId="10080" xr:uid="{00000000-0005-0000-0000-000061270000}"/>
    <cellStyle name="Normal 5 3 3 3 2 2 4 2" xfId="10081" xr:uid="{00000000-0005-0000-0000-000062270000}"/>
    <cellStyle name="Normal 5 3 3 3 2 2 5" xfId="10082" xr:uid="{00000000-0005-0000-0000-000063270000}"/>
    <cellStyle name="Normal 5 3 3 3 2 3" xfId="10083" xr:uid="{00000000-0005-0000-0000-000064270000}"/>
    <cellStyle name="Normal 5 3 3 3 2 3 2" xfId="10084" xr:uid="{00000000-0005-0000-0000-000065270000}"/>
    <cellStyle name="Normal 5 3 3 3 2 3 2 2" xfId="10085" xr:uid="{00000000-0005-0000-0000-000066270000}"/>
    <cellStyle name="Normal 5 3 3 3 2 3 2 2 2" xfId="10086" xr:uid="{00000000-0005-0000-0000-000067270000}"/>
    <cellStyle name="Normal 5 3 3 3 2 3 2 3" xfId="10087" xr:uid="{00000000-0005-0000-0000-000068270000}"/>
    <cellStyle name="Normal 5 3 3 3 2 3 3" xfId="10088" xr:uid="{00000000-0005-0000-0000-000069270000}"/>
    <cellStyle name="Normal 5 3 3 3 2 3 3 2" xfId="10089" xr:uid="{00000000-0005-0000-0000-00006A270000}"/>
    <cellStyle name="Normal 5 3 3 3 2 3 4" xfId="10090" xr:uid="{00000000-0005-0000-0000-00006B270000}"/>
    <cellStyle name="Normal 5 3 3 3 2 4" xfId="10091" xr:uid="{00000000-0005-0000-0000-00006C270000}"/>
    <cellStyle name="Normal 5 3 3 3 2 4 2" xfId="10092" xr:uid="{00000000-0005-0000-0000-00006D270000}"/>
    <cellStyle name="Normal 5 3 3 3 2 4 2 2" xfId="10093" xr:uid="{00000000-0005-0000-0000-00006E270000}"/>
    <cellStyle name="Normal 5 3 3 3 2 4 3" xfId="10094" xr:uid="{00000000-0005-0000-0000-00006F270000}"/>
    <cellStyle name="Normal 5 3 3 3 2 5" xfId="10095" xr:uid="{00000000-0005-0000-0000-000070270000}"/>
    <cellStyle name="Normal 5 3 3 3 2 5 2" xfId="10096" xr:uid="{00000000-0005-0000-0000-000071270000}"/>
    <cellStyle name="Normal 5 3 3 3 2 6" xfId="10097" xr:uid="{00000000-0005-0000-0000-000072270000}"/>
    <cellStyle name="Normal 5 3 3 3 3" xfId="10098" xr:uid="{00000000-0005-0000-0000-000073270000}"/>
    <cellStyle name="Normal 5 3 3 3 3 2" xfId="10099" xr:uid="{00000000-0005-0000-0000-000074270000}"/>
    <cellStyle name="Normal 5 3 3 3 3 2 2" xfId="10100" xr:uid="{00000000-0005-0000-0000-000075270000}"/>
    <cellStyle name="Normal 5 3 3 3 3 2 2 2" xfId="10101" xr:uid="{00000000-0005-0000-0000-000076270000}"/>
    <cellStyle name="Normal 5 3 3 3 3 2 2 2 2" xfId="10102" xr:uid="{00000000-0005-0000-0000-000077270000}"/>
    <cellStyle name="Normal 5 3 3 3 3 2 2 3" xfId="10103" xr:uid="{00000000-0005-0000-0000-000078270000}"/>
    <cellStyle name="Normal 5 3 3 3 3 2 3" xfId="10104" xr:uid="{00000000-0005-0000-0000-000079270000}"/>
    <cellStyle name="Normal 5 3 3 3 3 2 3 2" xfId="10105" xr:uid="{00000000-0005-0000-0000-00007A270000}"/>
    <cellStyle name="Normal 5 3 3 3 3 2 4" xfId="10106" xr:uid="{00000000-0005-0000-0000-00007B270000}"/>
    <cellStyle name="Normal 5 3 3 3 3 3" xfId="10107" xr:uid="{00000000-0005-0000-0000-00007C270000}"/>
    <cellStyle name="Normal 5 3 3 3 3 3 2" xfId="10108" xr:uid="{00000000-0005-0000-0000-00007D270000}"/>
    <cellStyle name="Normal 5 3 3 3 3 3 2 2" xfId="10109" xr:uid="{00000000-0005-0000-0000-00007E270000}"/>
    <cellStyle name="Normal 5 3 3 3 3 3 3" xfId="10110" xr:uid="{00000000-0005-0000-0000-00007F270000}"/>
    <cellStyle name="Normal 5 3 3 3 3 4" xfId="10111" xr:uid="{00000000-0005-0000-0000-000080270000}"/>
    <cellStyle name="Normal 5 3 3 3 3 4 2" xfId="10112" xr:uid="{00000000-0005-0000-0000-000081270000}"/>
    <cellStyle name="Normal 5 3 3 3 3 5" xfId="10113" xr:uid="{00000000-0005-0000-0000-000082270000}"/>
    <cellStyle name="Normal 5 3 3 3 4" xfId="10114" xr:uid="{00000000-0005-0000-0000-000083270000}"/>
    <cellStyle name="Normal 5 3 3 3 4 2" xfId="10115" xr:uid="{00000000-0005-0000-0000-000084270000}"/>
    <cellStyle name="Normal 5 3 3 3 4 2 2" xfId="10116" xr:uid="{00000000-0005-0000-0000-000085270000}"/>
    <cellStyle name="Normal 5 3 3 3 4 2 2 2" xfId="10117" xr:uid="{00000000-0005-0000-0000-000086270000}"/>
    <cellStyle name="Normal 5 3 3 3 4 2 3" xfId="10118" xr:uid="{00000000-0005-0000-0000-000087270000}"/>
    <cellStyle name="Normal 5 3 3 3 4 3" xfId="10119" xr:uid="{00000000-0005-0000-0000-000088270000}"/>
    <cellStyle name="Normal 5 3 3 3 4 3 2" xfId="10120" xr:uid="{00000000-0005-0000-0000-000089270000}"/>
    <cellStyle name="Normal 5 3 3 3 4 4" xfId="10121" xr:uid="{00000000-0005-0000-0000-00008A270000}"/>
    <cellStyle name="Normal 5 3 3 3 5" xfId="10122" xr:uid="{00000000-0005-0000-0000-00008B270000}"/>
    <cellStyle name="Normal 5 3 3 3 5 2" xfId="10123" xr:uid="{00000000-0005-0000-0000-00008C270000}"/>
    <cellStyle name="Normal 5 3 3 3 5 2 2" xfId="10124" xr:uid="{00000000-0005-0000-0000-00008D270000}"/>
    <cellStyle name="Normal 5 3 3 3 5 3" xfId="10125" xr:uid="{00000000-0005-0000-0000-00008E270000}"/>
    <cellStyle name="Normal 5 3 3 3 6" xfId="10126" xr:uid="{00000000-0005-0000-0000-00008F270000}"/>
    <cellStyle name="Normal 5 3 3 3 6 2" xfId="10127" xr:uid="{00000000-0005-0000-0000-000090270000}"/>
    <cellStyle name="Normal 5 3 3 3 7" xfId="10128" xr:uid="{00000000-0005-0000-0000-000091270000}"/>
    <cellStyle name="Normal 5 3 3 4" xfId="10129" xr:uid="{00000000-0005-0000-0000-000092270000}"/>
    <cellStyle name="Normal 5 3 3 4 2" xfId="10130" xr:uid="{00000000-0005-0000-0000-000093270000}"/>
    <cellStyle name="Normal 5 3 3 4 2 2" xfId="10131" xr:uid="{00000000-0005-0000-0000-000094270000}"/>
    <cellStyle name="Normal 5 3 3 4 2 2 2" xfId="10132" xr:uid="{00000000-0005-0000-0000-000095270000}"/>
    <cellStyle name="Normal 5 3 3 4 2 2 2 2" xfId="10133" xr:uid="{00000000-0005-0000-0000-000096270000}"/>
    <cellStyle name="Normal 5 3 3 4 2 2 2 2 2" xfId="10134" xr:uid="{00000000-0005-0000-0000-000097270000}"/>
    <cellStyle name="Normal 5 3 3 4 2 2 2 3" xfId="10135" xr:uid="{00000000-0005-0000-0000-000098270000}"/>
    <cellStyle name="Normal 5 3 3 4 2 2 3" xfId="10136" xr:uid="{00000000-0005-0000-0000-000099270000}"/>
    <cellStyle name="Normal 5 3 3 4 2 2 3 2" xfId="10137" xr:uid="{00000000-0005-0000-0000-00009A270000}"/>
    <cellStyle name="Normal 5 3 3 4 2 2 4" xfId="10138" xr:uid="{00000000-0005-0000-0000-00009B270000}"/>
    <cellStyle name="Normal 5 3 3 4 2 3" xfId="10139" xr:uid="{00000000-0005-0000-0000-00009C270000}"/>
    <cellStyle name="Normal 5 3 3 4 2 3 2" xfId="10140" xr:uid="{00000000-0005-0000-0000-00009D270000}"/>
    <cellStyle name="Normal 5 3 3 4 2 3 2 2" xfId="10141" xr:uid="{00000000-0005-0000-0000-00009E270000}"/>
    <cellStyle name="Normal 5 3 3 4 2 3 3" xfId="10142" xr:uid="{00000000-0005-0000-0000-00009F270000}"/>
    <cellStyle name="Normal 5 3 3 4 2 4" xfId="10143" xr:uid="{00000000-0005-0000-0000-0000A0270000}"/>
    <cellStyle name="Normal 5 3 3 4 2 4 2" xfId="10144" xr:uid="{00000000-0005-0000-0000-0000A1270000}"/>
    <cellStyle name="Normal 5 3 3 4 2 5" xfId="10145" xr:uid="{00000000-0005-0000-0000-0000A2270000}"/>
    <cellStyle name="Normal 5 3 3 4 3" xfId="10146" xr:uid="{00000000-0005-0000-0000-0000A3270000}"/>
    <cellStyle name="Normal 5 3 3 4 3 2" xfId="10147" xr:uid="{00000000-0005-0000-0000-0000A4270000}"/>
    <cellStyle name="Normal 5 3 3 4 3 2 2" xfId="10148" xr:uid="{00000000-0005-0000-0000-0000A5270000}"/>
    <cellStyle name="Normal 5 3 3 4 3 2 2 2" xfId="10149" xr:uid="{00000000-0005-0000-0000-0000A6270000}"/>
    <cellStyle name="Normal 5 3 3 4 3 2 3" xfId="10150" xr:uid="{00000000-0005-0000-0000-0000A7270000}"/>
    <cellStyle name="Normal 5 3 3 4 3 3" xfId="10151" xr:uid="{00000000-0005-0000-0000-0000A8270000}"/>
    <cellStyle name="Normal 5 3 3 4 3 3 2" xfId="10152" xr:uid="{00000000-0005-0000-0000-0000A9270000}"/>
    <cellStyle name="Normal 5 3 3 4 3 4" xfId="10153" xr:uid="{00000000-0005-0000-0000-0000AA270000}"/>
    <cellStyle name="Normal 5 3 3 4 4" xfId="10154" xr:uid="{00000000-0005-0000-0000-0000AB270000}"/>
    <cellStyle name="Normal 5 3 3 4 4 2" xfId="10155" xr:uid="{00000000-0005-0000-0000-0000AC270000}"/>
    <cellStyle name="Normal 5 3 3 4 4 2 2" xfId="10156" xr:uid="{00000000-0005-0000-0000-0000AD270000}"/>
    <cellStyle name="Normal 5 3 3 4 4 3" xfId="10157" xr:uid="{00000000-0005-0000-0000-0000AE270000}"/>
    <cellStyle name="Normal 5 3 3 4 5" xfId="10158" xr:uid="{00000000-0005-0000-0000-0000AF270000}"/>
    <cellStyle name="Normal 5 3 3 4 5 2" xfId="10159" xr:uid="{00000000-0005-0000-0000-0000B0270000}"/>
    <cellStyle name="Normal 5 3 3 4 6" xfId="10160" xr:uid="{00000000-0005-0000-0000-0000B1270000}"/>
    <cellStyle name="Normal 5 3 3 5" xfId="10161" xr:uid="{00000000-0005-0000-0000-0000B2270000}"/>
    <cellStyle name="Normal 5 3 3 5 2" xfId="10162" xr:uid="{00000000-0005-0000-0000-0000B3270000}"/>
    <cellStyle name="Normal 5 3 3 5 2 2" xfId="10163" xr:uid="{00000000-0005-0000-0000-0000B4270000}"/>
    <cellStyle name="Normal 5 3 3 5 2 2 2" xfId="10164" xr:uid="{00000000-0005-0000-0000-0000B5270000}"/>
    <cellStyle name="Normal 5 3 3 5 2 2 2 2" xfId="10165" xr:uid="{00000000-0005-0000-0000-0000B6270000}"/>
    <cellStyle name="Normal 5 3 3 5 2 2 3" xfId="10166" xr:uid="{00000000-0005-0000-0000-0000B7270000}"/>
    <cellStyle name="Normal 5 3 3 5 2 3" xfId="10167" xr:uid="{00000000-0005-0000-0000-0000B8270000}"/>
    <cellStyle name="Normal 5 3 3 5 2 3 2" xfId="10168" xr:uid="{00000000-0005-0000-0000-0000B9270000}"/>
    <cellStyle name="Normal 5 3 3 5 2 4" xfId="10169" xr:uid="{00000000-0005-0000-0000-0000BA270000}"/>
    <cellStyle name="Normal 5 3 3 5 3" xfId="10170" xr:uid="{00000000-0005-0000-0000-0000BB270000}"/>
    <cellStyle name="Normal 5 3 3 5 3 2" xfId="10171" xr:uid="{00000000-0005-0000-0000-0000BC270000}"/>
    <cellStyle name="Normal 5 3 3 5 3 2 2" xfId="10172" xr:uid="{00000000-0005-0000-0000-0000BD270000}"/>
    <cellStyle name="Normal 5 3 3 5 3 3" xfId="10173" xr:uid="{00000000-0005-0000-0000-0000BE270000}"/>
    <cellStyle name="Normal 5 3 3 5 4" xfId="10174" xr:uid="{00000000-0005-0000-0000-0000BF270000}"/>
    <cellStyle name="Normal 5 3 3 5 4 2" xfId="10175" xr:uid="{00000000-0005-0000-0000-0000C0270000}"/>
    <cellStyle name="Normal 5 3 3 5 5" xfId="10176" xr:uid="{00000000-0005-0000-0000-0000C1270000}"/>
    <cellStyle name="Normal 5 3 3 6" xfId="10177" xr:uid="{00000000-0005-0000-0000-0000C2270000}"/>
    <cellStyle name="Normal 5 3 3 6 2" xfId="10178" xr:uid="{00000000-0005-0000-0000-0000C3270000}"/>
    <cellStyle name="Normal 5 3 3 6 2 2" xfId="10179" xr:uid="{00000000-0005-0000-0000-0000C4270000}"/>
    <cellStyle name="Normal 5 3 3 6 2 2 2" xfId="10180" xr:uid="{00000000-0005-0000-0000-0000C5270000}"/>
    <cellStyle name="Normal 5 3 3 6 2 3" xfId="10181" xr:uid="{00000000-0005-0000-0000-0000C6270000}"/>
    <cellStyle name="Normal 5 3 3 6 3" xfId="10182" xr:uid="{00000000-0005-0000-0000-0000C7270000}"/>
    <cellStyle name="Normal 5 3 3 6 3 2" xfId="10183" xr:uid="{00000000-0005-0000-0000-0000C8270000}"/>
    <cellStyle name="Normal 5 3 3 6 4" xfId="10184" xr:uid="{00000000-0005-0000-0000-0000C9270000}"/>
    <cellStyle name="Normal 5 3 3 7" xfId="10185" xr:uid="{00000000-0005-0000-0000-0000CA270000}"/>
    <cellStyle name="Normal 5 3 3 7 2" xfId="10186" xr:uid="{00000000-0005-0000-0000-0000CB270000}"/>
    <cellStyle name="Normal 5 3 3 7 2 2" xfId="10187" xr:uid="{00000000-0005-0000-0000-0000CC270000}"/>
    <cellStyle name="Normal 5 3 3 7 3" xfId="10188" xr:uid="{00000000-0005-0000-0000-0000CD270000}"/>
    <cellStyle name="Normal 5 3 3 8" xfId="10189" xr:uid="{00000000-0005-0000-0000-0000CE270000}"/>
    <cellStyle name="Normal 5 3 3 8 2" xfId="10190" xr:uid="{00000000-0005-0000-0000-0000CF270000}"/>
    <cellStyle name="Normal 5 3 3 9" xfId="10191" xr:uid="{00000000-0005-0000-0000-0000D0270000}"/>
    <cellStyle name="Normal 5 3 4" xfId="10192" xr:uid="{00000000-0005-0000-0000-0000D1270000}"/>
    <cellStyle name="Normal 5 3 4 2" xfId="10193" xr:uid="{00000000-0005-0000-0000-0000D2270000}"/>
    <cellStyle name="Normal 5 3 4 2 2" xfId="10194" xr:uid="{00000000-0005-0000-0000-0000D3270000}"/>
    <cellStyle name="Normal 5 3 4 2 2 2" xfId="10195" xr:uid="{00000000-0005-0000-0000-0000D4270000}"/>
    <cellStyle name="Normal 5 3 4 2 2 2 2" xfId="10196" xr:uid="{00000000-0005-0000-0000-0000D5270000}"/>
    <cellStyle name="Normal 5 3 4 2 2 2 2 2" xfId="10197" xr:uid="{00000000-0005-0000-0000-0000D6270000}"/>
    <cellStyle name="Normal 5 3 4 2 2 2 2 2 2" xfId="10198" xr:uid="{00000000-0005-0000-0000-0000D7270000}"/>
    <cellStyle name="Normal 5 3 4 2 2 2 2 2 2 2" xfId="10199" xr:uid="{00000000-0005-0000-0000-0000D8270000}"/>
    <cellStyle name="Normal 5 3 4 2 2 2 2 2 3" xfId="10200" xr:uid="{00000000-0005-0000-0000-0000D9270000}"/>
    <cellStyle name="Normal 5 3 4 2 2 2 2 3" xfId="10201" xr:uid="{00000000-0005-0000-0000-0000DA270000}"/>
    <cellStyle name="Normal 5 3 4 2 2 2 2 3 2" xfId="10202" xr:uid="{00000000-0005-0000-0000-0000DB270000}"/>
    <cellStyle name="Normal 5 3 4 2 2 2 2 4" xfId="10203" xr:uid="{00000000-0005-0000-0000-0000DC270000}"/>
    <cellStyle name="Normal 5 3 4 2 2 2 3" xfId="10204" xr:uid="{00000000-0005-0000-0000-0000DD270000}"/>
    <cellStyle name="Normal 5 3 4 2 2 2 3 2" xfId="10205" xr:uid="{00000000-0005-0000-0000-0000DE270000}"/>
    <cellStyle name="Normal 5 3 4 2 2 2 3 2 2" xfId="10206" xr:uid="{00000000-0005-0000-0000-0000DF270000}"/>
    <cellStyle name="Normal 5 3 4 2 2 2 3 3" xfId="10207" xr:uid="{00000000-0005-0000-0000-0000E0270000}"/>
    <cellStyle name="Normal 5 3 4 2 2 2 4" xfId="10208" xr:uid="{00000000-0005-0000-0000-0000E1270000}"/>
    <cellStyle name="Normal 5 3 4 2 2 2 4 2" xfId="10209" xr:uid="{00000000-0005-0000-0000-0000E2270000}"/>
    <cellStyle name="Normal 5 3 4 2 2 2 5" xfId="10210" xr:uid="{00000000-0005-0000-0000-0000E3270000}"/>
    <cellStyle name="Normal 5 3 4 2 2 3" xfId="10211" xr:uid="{00000000-0005-0000-0000-0000E4270000}"/>
    <cellStyle name="Normal 5 3 4 2 2 3 2" xfId="10212" xr:uid="{00000000-0005-0000-0000-0000E5270000}"/>
    <cellStyle name="Normal 5 3 4 2 2 3 2 2" xfId="10213" xr:uid="{00000000-0005-0000-0000-0000E6270000}"/>
    <cellStyle name="Normal 5 3 4 2 2 3 2 2 2" xfId="10214" xr:uid="{00000000-0005-0000-0000-0000E7270000}"/>
    <cellStyle name="Normal 5 3 4 2 2 3 2 3" xfId="10215" xr:uid="{00000000-0005-0000-0000-0000E8270000}"/>
    <cellStyle name="Normal 5 3 4 2 2 3 3" xfId="10216" xr:uid="{00000000-0005-0000-0000-0000E9270000}"/>
    <cellStyle name="Normal 5 3 4 2 2 3 3 2" xfId="10217" xr:uid="{00000000-0005-0000-0000-0000EA270000}"/>
    <cellStyle name="Normal 5 3 4 2 2 3 4" xfId="10218" xr:uid="{00000000-0005-0000-0000-0000EB270000}"/>
    <cellStyle name="Normal 5 3 4 2 2 4" xfId="10219" xr:uid="{00000000-0005-0000-0000-0000EC270000}"/>
    <cellStyle name="Normal 5 3 4 2 2 4 2" xfId="10220" xr:uid="{00000000-0005-0000-0000-0000ED270000}"/>
    <cellStyle name="Normal 5 3 4 2 2 4 2 2" xfId="10221" xr:uid="{00000000-0005-0000-0000-0000EE270000}"/>
    <cellStyle name="Normal 5 3 4 2 2 4 3" xfId="10222" xr:uid="{00000000-0005-0000-0000-0000EF270000}"/>
    <cellStyle name="Normal 5 3 4 2 2 5" xfId="10223" xr:uid="{00000000-0005-0000-0000-0000F0270000}"/>
    <cellStyle name="Normal 5 3 4 2 2 5 2" xfId="10224" xr:uid="{00000000-0005-0000-0000-0000F1270000}"/>
    <cellStyle name="Normal 5 3 4 2 2 6" xfId="10225" xr:uid="{00000000-0005-0000-0000-0000F2270000}"/>
    <cellStyle name="Normal 5 3 4 2 3" xfId="10226" xr:uid="{00000000-0005-0000-0000-0000F3270000}"/>
    <cellStyle name="Normal 5 3 4 2 3 2" xfId="10227" xr:uid="{00000000-0005-0000-0000-0000F4270000}"/>
    <cellStyle name="Normal 5 3 4 2 3 2 2" xfId="10228" xr:uid="{00000000-0005-0000-0000-0000F5270000}"/>
    <cellStyle name="Normal 5 3 4 2 3 2 2 2" xfId="10229" xr:uid="{00000000-0005-0000-0000-0000F6270000}"/>
    <cellStyle name="Normal 5 3 4 2 3 2 2 2 2" xfId="10230" xr:uid="{00000000-0005-0000-0000-0000F7270000}"/>
    <cellStyle name="Normal 5 3 4 2 3 2 2 3" xfId="10231" xr:uid="{00000000-0005-0000-0000-0000F8270000}"/>
    <cellStyle name="Normal 5 3 4 2 3 2 3" xfId="10232" xr:uid="{00000000-0005-0000-0000-0000F9270000}"/>
    <cellStyle name="Normal 5 3 4 2 3 2 3 2" xfId="10233" xr:uid="{00000000-0005-0000-0000-0000FA270000}"/>
    <cellStyle name="Normal 5 3 4 2 3 2 4" xfId="10234" xr:uid="{00000000-0005-0000-0000-0000FB270000}"/>
    <cellStyle name="Normal 5 3 4 2 3 3" xfId="10235" xr:uid="{00000000-0005-0000-0000-0000FC270000}"/>
    <cellStyle name="Normal 5 3 4 2 3 3 2" xfId="10236" xr:uid="{00000000-0005-0000-0000-0000FD270000}"/>
    <cellStyle name="Normal 5 3 4 2 3 3 2 2" xfId="10237" xr:uid="{00000000-0005-0000-0000-0000FE270000}"/>
    <cellStyle name="Normal 5 3 4 2 3 3 3" xfId="10238" xr:uid="{00000000-0005-0000-0000-0000FF270000}"/>
    <cellStyle name="Normal 5 3 4 2 3 4" xfId="10239" xr:uid="{00000000-0005-0000-0000-000000280000}"/>
    <cellStyle name="Normal 5 3 4 2 3 4 2" xfId="10240" xr:uid="{00000000-0005-0000-0000-000001280000}"/>
    <cellStyle name="Normal 5 3 4 2 3 5" xfId="10241" xr:uid="{00000000-0005-0000-0000-000002280000}"/>
    <cellStyle name="Normal 5 3 4 2 4" xfId="10242" xr:uid="{00000000-0005-0000-0000-000003280000}"/>
    <cellStyle name="Normal 5 3 4 2 4 2" xfId="10243" xr:uid="{00000000-0005-0000-0000-000004280000}"/>
    <cellStyle name="Normal 5 3 4 2 4 2 2" xfId="10244" xr:uid="{00000000-0005-0000-0000-000005280000}"/>
    <cellStyle name="Normal 5 3 4 2 4 2 2 2" xfId="10245" xr:uid="{00000000-0005-0000-0000-000006280000}"/>
    <cellStyle name="Normal 5 3 4 2 4 2 3" xfId="10246" xr:uid="{00000000-0005-0000-0000-000007280000}"/>
    <cellStyle name="Normal 5 3 4 2 4 3" xfId="10247" xr:uid="{00000000-0005-0000-0000-000008280000}"/>
    <cellStyle name="Normal 5 3 4 2 4 3 2" xfId="10248" xr:uid="{00000000-0005-0000-0000-000009280000}"/>
    <cellStyle name="Normal 5 3 4 2 4 4" xfId="10249" xr:uid="{00000000-0005-0000-0000-00000A280000}"/>
    <cellStyle name="Normal 5 3 4 2 5" xfId="10250" xr:uid="{00000000-0005-0000-0000-00000B280000}"/>
    <cellStyle name="Normal 5 3 4 2 5 2" xfId="10251" xr:uid="{00000000-0005-0000-0000-00000C280000}"/>
    <cellStyle name="Normal 5 3 4 2 5 2 2" xfId="10252" xr:uid="{00000000-0005-0000-0000-00000D280000}"/>
    <cellStyle name="Normal 5 3 4 2 5 3" xfId="10253" xr:uid="{00000000-0005-0000-0000-00000E280000}"/>
    <cellStyle name="Normal 5 3 4 2 6" xfId="10254" xr:uid="{00000000-0005-0000-0000-00000F280000}"/>
    <cellStyle name="Normal 5 3 4 2 6 2" xfId="10255" xr:uid="{00000000-0005-0000-0000-000010280000}"/>
    <cellStyle name="Normal 5 3 4 2 7" xfId="10256" xr:uid="{00000000-0005-0000-0000-000011280000}"/>
    <cellStyle name="Normal 5 3 4 3" xfId="10257" xr:uid="{00000000-0005-0000-0000-000012280000}"/>
    <cellStyle name="Normal 5 3 4 3 2" xfId="10258" xr:uid="{00000000-0005-0000-0000-000013280000}"/>
    <cellStyle name="Normal 5 3 4 3 2 2" xfId="10259" xr:uid="{00000000-0005-0000-0000-000014280000}"/>
    <cellStyle name="Normal 5 3 4 3 2 2 2" xfId="10260" xr:uid="{00000000-0005-0000-0000-000015280000}"/>
    <cellStyle name="Normal 5 3 4 3 2 2 2 2" xfId="10261" xr:uid="{00000000-0005-0000-0000-000016280000}"/>
    <cellStyle name="Normal 5 3 4 3 2 2 2 2 2" xfId="10262" xr:uid="{00000000-0005-0000-0000-000017280000}"/>
    <cellStyle name="Normal 5 3 4 3 2 2 2 3" xfId="10263" xr:uid="{00000000-0005-0000-0000-000018280000}"/>
    <cellStyle name="Normal 5 3 4 3 2 2 3" xfId="10264" xr:uid="{00000000-0005-0000-0000-000019280000}"/>
    <cellStyle name="Normal 5 3 4 3 2 2 3 2" xfId="10265" xr:uid="{00000000-0005-0000-0000-00001A280000}"/>
    <cellStyle name="Normal 5 3 4 3 2 2 4" xfId="10266" xr:uid="{00000000-0005-0000-0000-00001B280000}"/>
    <cellStyle name="Normal 5 3 4 3 2 3" xfId="10267" xr:uid="{00000000-0005-0000-0000-00001C280000}"/>
    <cellStyle name="Normal 5 3 4 3 2 3 2" xfId="10268" xr:uid="{00000000-0005-0000-0000-00001D280000}"/>
    <cellStyle name="Normal 5 3 4 3 2 3 2 2" xfId="10269" xr:uid="{00000000-0005-0000-0000-00001E280000}"/>
    <cellStyle name="Normal 5 3 4 3 2 3 3" xfId="10270" xr:uid="{00000000-0005-0000-0000-00001F280000}"/>
    <cellStyle name="Normal 5 3 4 3 2 4" xfId="10271" xr:uid="{00000000-0005-0000-0000-000020280000}"/>
    <cellStyle name="Normal 5 3 4 3 2 4 2" xfId="10272" xr:uid="{00000000-0005-0000-0000-000021280000}"/>
    <cellStyle name="Normal 5 3 4 3 2 5" xfId="10273" xr:uid="{00000000-0005-0000-0000-000022280000}"/>
    <cellStyle name="Normal 5 3 4 3 3" xfId="10274" xr:uid="{00000000-0005-0000-0000-000023280000}"/>
    <cellStyle name="Normal 5 3 4 3 3 2" xfId="10275" xr:uid="{00000000-0005-0000-0000-000024280000}"/>
    <cellStyle name="Normal 5 3 4 3 3 2 2" xfId="10276" xr:uid="{00000000-0005-0000-0000-000025280000}"/>
    <cellStyle name="Normal 5 3 4 3 3 2 2 2" xfId="10277" xr:uid="{00000000-0005-0000-0000-000026280000}"/>
    <cellStyle name="Normal 5 3 4 3 3 2 3" xfId="10278" xr:uid="{00000000-0005-0000-0000-000027280000}"/>
    <cellStyle name="Normal 5 3 4 3 3 3" xfId="10279" xr:uid="{00000000-0005-0000-0000-000028280000}"/>
    <cellStyle name="Normal 5 3 4 3 3 3 2" xfId="10280" xr:uid="{00000000-0005-0000-0000-000029280000}"/>
    <cellStyle name="Normal 5 3 4 3 3 4" xfId="10281" xr:uid="{00000000-0005-0000-0000-00002A280000}"/>
    <cellStyle name="Normal 5 3 4 3 4" xfId="10282" xr:uid="{00000000-0005-0000-0000-00002B280000}"/>
    <cellStyle name="Normal 5 3 4 3 4 2" xfId="10283" xr:uid="{00000000-0005-0000-0000-00002C280000}"/>
    <cellStyle name="Normal 5 3 4 3 4 2 2" xfId="10284" xr:uid="{00000000-0005-0000-0000-00002D280000}"/>
    <cellStyle name="Normal 5 3 4 3 4 3" xfId="10285" xr:uid="{00000000-0005-0000-0000-00002E280000}"/>
    <cellStyle name="Normal 5 3 4 3 5" xfId="10286" xr:uid="{00000000-0005-0000-0000-00002F280000}"/>
    <cellStyle name="Normal 5 3 4 3 5 2" xfId="10287" xr:uid="{00000000-0005-0000-0000-000030280000}"/>
    <cellStyle name="Normal 5 3 4 3 6" xfId="10288" xr:uid="{00000000-0005-0000-0000-000031280000}"/>
    <cellStyle name="Normal 5 3 4 4" xfId="10289" xr:uid="{00000000-0005-0000-0000-000032280000}"/>
    <cellStyle name="Normal 5 3 4 4 2" xfId="10290" xr:uid="{00000000-0005-0000-0000-000033280000}"/>
    <cellStyle name="Normal 5 3 4 4 2 2" xfId="10291" xr:uid="{00000000-0005-0000-0000-000034280000}"/>
    <cellStyle name="Normal 5 3 4 4 2 2 2" xfId="10292" xr:uid="{00000000-0005-0000-0000-000035280000}"/>
    <cellStyle name="Normal 5 3 4 4 2 2 2 2" xfId="10293" xr:uid="{00000000-0005-0000-0000-000036280000}"/>
    <cellStyle name="Normal 5 3 4 4 2 2 3" xfId="10294" xr:uid="{00000000-0005-0000-0000-000037280000}"/>
    <cellStyle name="Normal 5 3 4 4 2 3" xfId="10295" xr:uid="{00000000-0005-0000-0000-000038280000}"/>
    <cellStyle name="Normal 5 3 4 4 2 3 2" xfId="10296" xr:uid="{00000000-0005-0000-0000-000039280000}"/>
    <cellStyle name="Normal 5 3 4 4 2 4" xfId="10297" xr:uid="{00000000-0005-0000-0000-00003A280000}"/>
    <cellStyle name="Normal 5 3 4 4 3" xfId="10298" xr:uid="{00000000-0005-0000-0000-00003B280000}"/>
    <cellStyle name="Normal 5 3 4 4 3 2" xfId="10299" xr:uid="{00000000-0005-0000-0000-00003C280000}"/>
    <cellStyle name="Normal 5 3 4 4 3 2 2" xfId="10300" xr:uid="{00000000-0005-0000-0000-00003D280000}"/>
    <cellStyle name="Normal 5 3 4 4 3 3" xfId="10301" xr:uid="{00000000-0005-0000-0000-00003E280000}"/>
    <cellStyle name="Normal 5 3 4 4 4" xfId="10302" xr:uid="{00000000-0005-0000-0000-00003F280000}"/>
    <cellStyle name="Normal 5 3 4 4 4 2" xfId="10303" xr:uid="{00000000-0005-0000-0000-000040280000}"/>
    <cellStyle name="Normal 5 3 4 4 5" xfId="10304" xr:uid="{00000000-0005-0000-0000-000041280000}"/>
    <cellStyle name="Normal 5 3 4 5" xfId="10305" xr:uid="{00000000-0005-0000-0000-000042280000}"/>
    <cellStyle name="Normal 5 3 4 5 2" xfId="10306" xr:uid="{00000000-0005-0000-0000-000043280000}"/>
    <cellStyle name="Normal 5 3 4 5 2 2" xfId="10307" xr:uid="{00000000-0005-0000-0000-000044280000}"/>
    <cellStyle name="Normal 5 3 4 5 2 2 2" xfId="10308" xr:uid="{00000000-0005-0000-0000-000045280000}"/>
    <cellStyle name="Normal 5 3 4 5 2 3" xfId="10309" xr:uid="{00000000-0005-0000-0000-000046280000}"/>
    <cellStyle name="Normal 5 3 4 5 3" xfId="10310" xr:uid="{00000000-0005-0000-0000-000047280000}"/>
    <cellStyle name="Normal 5 3 4 5 3 2" xfId="10311" xr:uid="{00000000-0005-0000-0000-000048280000}"/>
    <cellStyle name="Normal 5 3 4 5 4" xfId="10312" xr:uid="{00000000-0005-0000-0000-000049280000}"/>
    <cellStyle name="Normal 5 3 4 6" xfId="10313" xr:uid="{00000000-0005-0000-0000-00004A280000}"/>
    <cellStyle name="Normal 5 3 4 6 2" xfId="10314" xr:uid="{00000000-0005-0000-0000-00004B280000}"/>
    <cellStyle name="Normal 5 3 4 6 2 2" xfId="10315" xr:uid="{00000000-0005-0000-0000-00004C280000}"/>
    <cellStyle name="Normal 5 3 4 6 3" xfId="10316" xr:uid="{00000000-0005-0000-0000-00004D280000}"/>
    <cellStyle name="Normal 5 3 4 7" xfId="10317" xr:uid="{00000000-0005-0000-0000-00004E280000}"/>
    <cellStyle name="Normal 5 3 4 7 2" xfId="10318" xr:uid="{00000000-0005-0000-0000-00004F280000}"/>
    <cellStyle name="Normal 5 3 4 8" xfId="10319" xr:uid="{00000000-0005-0000-0000-000050280000}"/>
    <cellStyle name="Normal 5 3 5" xfId="10320" xr:uid="{00000000-0005-0000-0000-000051280000}"/>
    <cellStyle name="Normal 5 3 5 2" xfId="10321" xr:uid="{00000000-0005-0000-0000-000052280000}"/>
    <cellStyle name="Normal 5 3 5 2 2" xfId="10322" xr:uid="{00000000-0005-0000-0000-000053280000}"/>
    <cellStyle name="Normal 5 3 5 2 2 2" xfId="10323" xr:uid="{00000000-0005-0000-0000-000054280000}"/>
    <cellStyle name="Normal 5 3 5 2 2 2 2" xfId="10324" xr:uid="{00000000-0005-0000-0000-000055280000}"/>
    <cellStyle name="Normal 5 3 5 2 2 2 2 2" xfId="10325" xr:uid="{00000000-0005-0000-0000-000056280000}"/>
    <cellStyle name="Normal 5 3 5 2 2 2 2 2 2" xfId="10326" xr:uid="{00000000-0005-0000-0000-000057280000}"/>
    <cellStyle name="Normal 5 3 5 2 2 2 2 3" xfId="10327" xr:uid="{00000000-0005-0000-0000-000058280000}"/>
    <cellStyle name="Normal 5 3 5 2 2 2 3" xfId="10328" xr:uid="{00000000-0005-0000-0000-000059280000}"/>
    <cellStyle name="Normal 5 3 5 2 2 2 3 2" xfId="10329" xr:uid="{00000000-0005-0000-0000-00005A280000}"/>
    <cellStyle name="Normal 5 3 5 2 2 2 4" xfId="10330" xr:uid="{00000000-0005-0000-0000-00005B280000}"/>
    <cellStyle name="Normal 5 3 5 2 2 3" xfId="10331" xr:uid="{00000000-0005-0000-0000-00005C280000}"/>
    <cellStyle name="Normal 5 3 5 2 2 3 2" xfId="10332" xr:uid="{00000000-0005-0000-0000-00005D280000}"/>
    <cellStyle name="Normal 5 3 5 2 2 3 2 2" xfId="10333" xr:uid="{00000000-0005-0000-0000-00005E280000}"/>
    <cellStyle name="Normal 5 3 5 2 2 3 3" xfId="10334" xr:uid="{00000000-0005-0000-0000-00005F280000}"/>
    <cellStyle name="Normal 5 3 5 2 2 4" xfId="10335" xr:uid="{00000000-0005-0000-0000-000060280000}"/>
    <cellStyle name="Normal 5 3 5 2 2 4 2" xfId="10336" xr:uid="{00000000-0005-0000-0000-000061280000}"/>
    <cellStyle name="Normal 5 3 5 2 2 5" xfId="10337" xr:uid="{00000000-0005-0000-0000-000062280000}"/>
    <cellStyle name="Normal 5 3 5 2 3" xfId="10338" xr:uid="{00000000-0005-0000-0000-000063280000}"/>
    <cellStyle name="Normal 5 3 5 2 3 2" xfId="10339" xr:uid="{00000000-0005-0000-0000-000064280000}"/>
    <cellStyle name="Normal 5 3 5 2 3 2 2" xfId="10340" xr:uid="{00000000-0005-0000-0000-000065280000}"/>
    <cellStyle name="Normal 5 3 5 2 3 2 2 2" xfId="10341" xr:uid="{00000000-0005-0000-0000-000066280000}"/>
    <cellStyle name="Normal 5 3 5 2 3 2 3" xfId="10342" xr:uid="{00000000-0005-0000-0000-000067280000}"/>
    <cellStyle name="Normal 5 3 5 2 3 3" xfId="10343" xr:uid="{00000000-0005-0000-0000-000068280000}"/>
    <cellStyle name="Normal 5 3 5 2 3 3 2" xfId="10344" xr:uid="{00000000-0005-0000-0000-000069280000}"/>
    <cellStyle name="Normal 5 3 5 2 3 4" xfId="10345" xr:uid="{00000000-0005-0000-0000-00006A280000}"/>
    <cellStyle name="Normal 5 3 5 2 4" xfId="10346" xr:uid="{00000000-0005-0000-0000-00006B280000}"/>
    <cellStyle name="Normal 5 3 5 2 4 2" xfId="10347" xr:uid="{00000000-0005-0000-0000-00006C280000}"/>
    <cellStyle name="Normal 5 3 5 2 4 2 2" xfId="10348" xr:uid="{00000000-0005-0000-0000-00006D280000}"/>
    <cellStyle name="Normal 5 3 5 2 4 3" xfId="10349" xr:uid="{00000000-0005-0000-0000-00006E280000}"/>
    <cellStyle name="Normal 5 3 5 2 5" xfId="10350" xr:uid="{00000000-0005-0000-0000-00006F280000}"/>
    <cellStyle name="Normal 5 3 5 2 5 2" xfId="10351" xr:uid="{00000000-0005-0000-0000-000070280000}"/>
    <cellStyle name="Normal 5 3 5 2 6" xfId="10352" xr:uid="{00000000-0005-0000-0000-000071280000}"/>
    <cellStyle name="Normal 5 3 5 3" xfId="10353" xr:uid="{00000000-0005-0000-0000-000072280000}"/>
    <cellStyle name="Normal 5 3 5 3 2" xfId="10354" xr:uid="{00000000-0005-0000-0000-000073280000}"/>
    <cellStyle name="Normal 5 3 5 3 2 2" xfId="10355" xr:uid="{00000000-0005-0000-0000-000074280000}"/>
    <cellStyle name="Normal 5 3 5 3 2 2 2" xfId="10356" xr:uid="{00000000-0005-0000-0000-000075280000}"/>
    <cellStyle name="Normal 5 3 5 3 2 2 2 2" xfId="10357" xr:uid="{00000000-0005-0000-0000-000076280000}"/>
    <cellStyle name="Normal 5 3 5 3 2 2 3" xfId="10358" xr:uid="{00000000-0005-0000-0000-000077280000}"/>
    <cellStyle name="Normal 5 3 5 3 2 3" xfId="10359" xr:uid="{00000000-0005-0000-0000-000078280000}"/>
    <cellStyle name="Normal 5 3 5 3 2 3 2" xfId="10360" xr:uid="{00000000-0005-0000-0000-000079280000}"/>
    <cellStyle name="Normal 5 3 5 3 2 4" xfId="10361" xr:uid="{00000000-0005-0000-0000-00007A280000}"/>
    <cellStyle name="Normal 5 3 5 3 3" xfId="10362" xr:uid="{00000000-0005-0000-0000-00007B280000}"/>
    <cellStyle name="Normal 5 3 5 3 3 2" xfId="10363" xr:uid="{00000000-0005-0000-0000-00007C280000}"/>
    <cellStyle name="Normal 5 3 5 3 3 2 2" xfId="10364" xr:uid="{00000000-0005-0000-0000-00007D280000}"/>
    <cellStyle name="Normal 5 3 5 3 3 3" xfId="10365" xr:uid="{00000000-0005-0000-0000-00007E280000}"/>
    <cellStyle name="Normal 5 3 5 3 4" xfId="10366" xr:uid="{00000000-0005-0000-0000-00007F280000}"/>
    <cellStyle name="Normal 5 3 5 3 4 2" xfId="10367" xr:uid="{00000000-0005-0000-0000-000080280000}"/>
    <cellStyle name="Normal 5 3 5 3 5" xfId="10368" xr:uid="{00000000-0005-0000-0000-000081280000}"/>
    <cellStyle name="Normal 5 3 5 4" xfId="10369" xr:uid="{00000000-0005-0000-0000-000082280000}"/>
    <cellStyle name="Normal 5 3 5 4 2" xfId="10370" xr:uid="{00000000-0005-0000-0000-000083280000}"/>
    <cellStyle name="Normal 5 3 5 4 2 2" xfId="10371" xr:uid="{00000000-0005-0000-0000-000084280000}"/>
    <cellStyle name="Normal 5 3 5 4 2 2 2" xfId="10372" xr:uid="{00000000-0005-0000-0000-000085280000}"/>
    <cellStyle name="Normal 5 3 5 4 2 3" xfId="10373" xr:uid="{00000000-0005-0000-0000-000086280000}"/>
    <cellStyle name="Normal 5 3 5 4 3" xfId="10374" xr:uid="{00000000-0005-0000-0000-000087280000}"/>
    <cellStyle name="Normal 5 3 5 4 3 2" xfId="10375" xr:uid="{00000000-0005-0000-0000-000088280000}"/>
    <cellStyle name="Normal 5 3 5 4 4" xfId="10376" xr:uid="{00000000-0005-0000-0000-000089280000}"/>
    <cellStyle name="Normal 5 3 5 5" xfId="10377" xr:uid="{00000000-0005-0000-0000-00008A280000}"/>
    <cellStyle name="Normal 5 3 5 5 2" xfId="10378" xr:uid="{00000000-0005-0000-0000-00008B280000}"/>
    <cellStyle name="Normal 5 3 5 5 2 2" xfId="10379" xr:uid="{00000000-0005-0000-0000-00008C280000}"/>
    <cellStyle name="Normal 5 3 5 5 3" xfId="10380" xr:uid="{00000000-0005-0000-0000-00008D280000}"/>
    <cellStyle name="Normal 5 3 5 6" xfId="10381" xr:uid="{00000000-0005-0000-0000-00008E280000}"/>
    <cellStyle name="Normal 5 3 5 6 2" xfId="10382" xr:uid="{00000000-0005-0000-0000-00008F280000}"/>
    <cellStyle name="Normal 5 3 5 7" xfId="10383" xr:uid="{00000000-0005-0000-0000-000090280000}"/>
    <cellStyle name="Normal 5 3 6" xfId="10384" xr:uid="{00000000-0005-0000-0000-000091280000}"/>
    <cellStyle name="Normal 5 3 6 2" xfId="10385" xr:uid="{00000000-0005-0000-0000-000092280000}"/>
    <cellStyle name="Normal 5 3 6 2 2" xfId="10386" xr:uid="{00000000-0005-0000-0000-000093280000}"/>
    <cellStyle name="Normal 5 3 6 2 2 2" xfId="10387" xr:uid="{00000000-0005-0000-0000-000094280000}"/>
    <cellStyle name="Normal 5 3 6 2 2 2 2" xfId="10388" xr:uid="{00000000-0005-0000-0000-000095280000}"/>
    <cellStyle name="Normal 5 3 6 2 2 2 2 2" xfId="10389" xr:uid="{00000000-0005-0000-0000-000096280000}"/>
    <cellStyle name="Normal 5 3 6 2 2 2 3" xfId="10390" xr:uid="{00000000-0005-0000-0000-000097280000}"/>
    <cellStyle name="Normal 5 3 6 2 2 3" xfId="10391" xr:uid="{00000000-0005-0000-0000-000098280000}"/>
    <cellStyle name="Normal 5 3 6 2 2 3 2" xfId="10392" xr:uid="{00000000-0005-0000-0000-000099280000}"/>
    <cellStyle name="Normal 5 3 6 2 2 4" xfId="10393" xr:uid="{00000000-0005-0000-0000-00009A280000}"/>
    <cellStyle name="Normal 5 3 6 2 3" xfId="10394" xr:uid="{00000000-0005-0000-0000-00009B280000}"/>
    <cellStyle name="Normal 5 3 6 2 3 2" xfId="10395" xr:uid="{00000000-0005-0000-0000-00009C280000}"/>
    <cellStyle name="Normal 5 3 6 2 3 2 2" xfId="10396" xr:uid="{00000000-0005-0000-0000-00009D280000}"/>
    <cellStyle name="Normal 5 3 6 2 3 3" xfId="10397" xr:uid="{00000000-0005-0000-0000-00009E280000}"/>
    <cellStyle name="Normal 5 3 6 2 4" xfId="10398" xr:uid="{00000000-0005-0000-0000-00009F280000}"/>
    <cellStyle name="Normal 5 3 6 2 4 2" xfId="10399" xr:uid="{00000000-0005-0000-0000-0000A0280000}"/>
    <cellStyle name="Normal 5 3 6 2 5" xfId="10400" xr:uid="{00000000-0005-0000-0000-0000A1280000}"/>
    <cellStyle name="Normal 5 3 6 3" xfId="10401" xr:uid="{00000000-0005-0000-0000-0000A2280000}"/>
    <cellStyle name="Normal 5 3 6 3 2" xfId="10402" xr:uid="{00000000-0005-0000-0000-0000A3280000}"/>
    <cellStyle name="Normal 5 3 6 3 2 2" xfId="10403" xr:uid="{00000000-0005-0000-0000-0000A4280000}"/>
    <cellStyle name="Normal 5 3 6 3 2 2 2" xfId="10404" xr:uid="{00000000-0005-0000-0000-0000A5280000}"/>
    <cellStyle name="Normal 5 3 6 3 2 3" xfId="10405" xr:uid="{00000000-0005-0000-0000-0000A6280000}"/>
    <cellStyle name="Normal 5 3 6 3 3" xfId="10406" xr:uid="{00000000-0005-0000-0000-0000A7280000}"/>
    <cellStyle name="Normal 5 3 6 3 3 2" xfId="10407" xr:uid="{00000000-0005-0000-0000-0000A8280000}"/>
    <cellStyle name="Normal 5 3 6 3 4" xfId="10408" xr:uid="{00000000-0005-0000-0000-0000A9280000}"/>
    <cellStyle name="Normal 5 3 6 4" xfId="10409" xr:uid="{00000000-0005-0000-0000-0000AA280000}"/>
    <cellStyle name="Normal 5 3 6 4 2" xfId="10410" xr:uid="{00000000-0005-0000-0000-0000AB280000}"/>
    <cellStyle name="Normal 5 3 6 4 2 2" xfId="10411" xr:uid="{00000000-0005-0000-0000-0000AC280000}"/>
    <cellStyle name="Normal 5 3 6 4 3" xfId="10412" xr:uid="{00000000-0005-0000-0000-0000AD280000}"/>
    <cellStyle name="Normal 5 3 6 5" xfId="10413" xr:uid="{00000000-0005-0000-0000-0000AE280000}"/>
    <cellStyle name="Normal 5 3 6 5 2" xfId="10414" xr:uid="{00000000-0005-0000-0000-0000AF280000}"/>
    <cellStyle name="Normal 5 3 6 6" xfId="10415" xr:uid="{00000000-0005-0000-0000-0000B0280000}"/>
    <cellStyle name="Normal 5 3 7" xfId="10416" xr:uid="{00000000-0005-0000-0000-0000B1280000}"/>
    <cellStyle name="Normal 5 3 7 2" xfId="10417" xr:uid="{00000000-0005-0000-0000-0000B2280000}"/>
    <cellStyle name="Normal 5 3 7 2 2" xfId="10418" xr:uid="{00000000-0005-0000-0000-0000B3280000}"/>
    <cellStyle name="Normal 5 3 7 2 2 2" xfId="10419" xr:uid="{00000000-0005-0000-0000-0000B4280000}"/>
    <cellStyle name="Normal 5 3 7 2 2 2 2" xfId="10420" xr:uid="{00000000-0005-0000-0000-0000B5280000}"/>
    <cellStyle name="Normal 5 3 7 2 2 3" xfId="10421" xr:uid="{00000000-0005-0000-0000-0000B6280000}"/>
    <cellStyle name="Normal 5 3 7 2 3" xfId="10422" xr:uid="{00000000-0005-0000-0000-0000B7280000}"/>
    <cellStyle name="Normal 5 3 7 2 3 2" xfId="10423" xr:uid="{00000000-0005-0000-0000-0000B8280000}"/>
    <cellStyle name="Normal 5 3 7 2 4" xfId="10424" xr:uid="{00000000-0005-0000-0000-0000B9280000}"/>
    <cellStyle name="Normal 5 3 7 3" xfId="10425" xr:uid="{00000000-0005-0000-0000-0000BA280000}"/>
    <cellStyle name="Normal 5 3 7 3 2" xfId="10426" xr:uid="{00000000-0005-0000-0000-0000BB280000}"/>
    <cellStyle name="Normal 5 3 7 3 2 2" xfId="10427" xr:uid="{00000000-0005-0000-0000-0000BC280000}"/>
    <cellStyle name="Normal 5 3 7 3 3" xfId="10428" xr:uid="{00000000-0005-0000-0000-0000BD280000}"/>
    <cellStyle name="Normal 5 3 7 4" xfId="10429" xr:uid="{00000000-0005-0000-0000-0000BE280000}"/>
    <cellStyle name="Normal 5 3 7 4 2" xfId="10430" xr:uid="{00000000-0005-0000-0000-0000BF280000}"/>
    <cellStyle name="Normal 5 3 7 5" xfId="10431" xr:uid="{00000000-0005-0000-0000-0000C0280000}"/>
    <cellStyle name="Normal 5 3 8" xfId="10432" xr:uid="{00000000-0005-0000-0000-0000C1280000}"/>
    <cellStyle name="Normal 5 3 8 2" xfId="10433" xr:uid="{00000000-0005-0000-0000-0000C2280000}"/>
    <cellStyle name="Normal 5 3 8 2 2" xfId="10434" xr:uid="{00000000-0005-0000-0000-0000C3280000}"/>
    <cellStyle name="Normal 5 3 8 2 2 2" xfId="10435" xr:uid="{00000000-0005-0000-0000-0000C4280000}"/>
    <cellStyle name="Normal 5 3 8 2 3" xfId="10436" xr:uid="{00000000-0005-0000-0000-0000C5280000}"/>
    <cellStyle name="Normal 5 3 8 3" xfId="10437" xr:uid="{00000000-0005-0000-0000-0000C6280000}"/>
    <cellStyle name="Normal 5 3 8 3 2" xfId="10438" xr:uid="{00000000-0005-0000-0000-0000C7280000}"/>
    <cellStyle name="Normal 5 3 8 4" xfId="10439" xr:uid="{00000000-0005-0000-0000-0000C8280000}"/>
    <cellStyle name="Normal 5 3 9" xfId="10440" xr:uid="{00000000-0005-0000-0000-0000C9280000}"/>
    <cellStyle name="Normal 5 3 9 2" xfId="10441" xr:uid="{00000000-0005-0000-0000-0000CA280000}"/>
    <cellStyle name="Normal 5 3 9 2 2" xfId="10442" xr:uid="{00000000-0005-0000-0000-0000CB280000}"/>
    <cellStyle name="Normal 5 3 9 3" xfId="10443" xr:uid="{00000000-0005-0000-0000-0000CC280000}"/>
    <cellStyle name="Normal 5 4" xfId="10444" xr:uid="{00000000-0005-0000-0000-0000CD280000}"/>
    <cellStyle name="Normal 5 4 10" xfId="10445" xr:uid="{00000000-0005-0000-0000-0000CE280000}"/>
    <cellStyle name="Normal 5 4 10 2" xfId="10446" xr:uid="{00000000-0005-0000-0000-0000CF280000}"/>
    <cellStyle name="Normal 5 4 11" xfId="10447" xr:uid="{00000000-0005-0000-0000-0000D0280000}"/>
    <cellStyle name="Normal 5 4 2" xfId="10448" xr:uid="{00000000-0005-0000-0000-0000D1280000}"/>
    <cellStyle name="Normal 5 4 2 10" xfId="10449" xr:uid="{00000000-0005-0000-0000-0000D2280000}"/>
    <cellStyle name="Normal 5 4 2 2" xfId="10450" xr:uid="{00000000-0005-0000-0000-0000D3280000}"/>
    <cellStyle name="Normal 5 4 2 2 2" xfId="10451" xr:uid="{00000000-0005-0000-0000-0000D4280000}"/>
    <cellStyle name="Normal 5 4 2 2 2 2" xfId="10452" xr:uid="{00000000-0005-0000-0000-0000D5280000}"/>
    <cellStyle name="Normal 5 4 2 2 2 2 2" xfId="10453" xr:uid="{00000000-0005-0000-0000-0000D6280000}"/>
    <cellStyle name="Normal 5 4 2 2 2 2 2 2" xfId="10454" xr:uid="{00000000-0005-0000-0000-0000D7280000}"/>
    <cellStyle name="Normal 5 4 2 2 2 2 2 2 2" xfId="10455" xr:uid="{00000000-0005-0000-0000-0000D8280000}"/>
    <cellStyle name="Normal 5 4 2 2 2 2 2 2 2 2" xfId="10456" xr:uid="{00000000-0005-0000-0000-0000D9280000}"/>
    <cellStyle name="Normal 5 4 2 2 2 2 2 2 2 2 2" xfId="10457" xr:uid="{00000000-0005-0000-0000-0000DA280000}"/>
    <cellStyle name="Normal 5 4 2 2 2 2 2 2 2 2 2 2" xfId="10458" xr:uid="{00000000-0005-0000-0000-0000DB280000}"/>
    <cellStyle name="Normal 5 4 2 2 2 2 2 2 2 2 3" xfId="10459" xr:uid="{00000000-0005-0000-0000-0000DC280000}"/>
    <cellStyle name="Normal 5 4 2 2 2 2 2 2 2 3" xfId="10460" xr:uid="{00000000-0005-0000-0000-0000DD280000}"/>
    <cellStyle name="Normal 5 4 2 2 2 2 2 2 2 3 2" xfId="10461" xr:uid="{00000000-0005-0000-0000-0000DE280000}"/>
    <cellStyle name="Normal 5 4 2 2 2 2 2 2 2 4" xfId="10462" xr:uid="{00000000-0005-0000-0000-0000DF280000}"/>
    <cellStyle name="Normal 5 4 2 2 2 2 2 2 3" xfId="10463" xr:uid="{00000000-0005-0000-0000-0000E0280000}"/>
    <cellStyle name="Normal 5 4 2 2 2 2 2 2 3 2" xfId="10464" xr:uid="{00000000-0005-0000-0000-0000E1280000}"/>
    <cellStyle name="Normal 5 4 2 2 2 2 2 2 3 2 2" xfId="10465" xr:uid="{00000000-0005-0000-0000-0000E2280000}"/>
    <cellStyle name="Normal 5 4 2 2 2 2 2 2 3 3" xfId="10466" xr:uid="{00000000-0005-0000-0000-0000E3280000}"/>
    <cellStyle name="Normal 5 4 2 2 2 2 2 2 4" xfId="10467" xr:uid="{00000000-0005-0000-0000-0000E4280000}"/>
    <cellStyle name="Normal 5 4 2 2 2 2 2 2 4 2" xfId="10468" xr:uid="{00000000-0005-0000-0000-0000E5280000}"/>
    <cellStyle name="Normal 5 4 2 2 2 2 2 2 5" xfId="10469" xr:uid="{00000000-0005-0000-0000-0000E6280000}"/>
    <cellStyle name="Normal 5 4 2 2 2 2 2 3" xfId="10470" xr:uid="{00000000-0005-0000-0000-0000E7280000}"/>
    <cellStyle name="Normal 5 4 2 2 2 2 2 3 2" xfId="10471" xr:uid="{00000000-0005-0000-0000-0000E8280000}"/>
    <cellStyle name="Normal 5 4 2 2 2 2 2 3 2 2" xfId="10472" xr:uid="{00000000-0005-0000-0000-0000E9280000}"/>
    <cellStyle name="Normal 5 4 2 2 2 2 2 3 2 2 2" xfId="10473" xr:uid="{00000000-0005-0000-0000-0000EA280000}"/>
    <cellStyle name="Normal 5 4 2 2 2 2 2 3 2 3" xfId="10474" xr:uid="{00000000-0005-0000-0000-0000EB280000}"/>
    <cellStyle name="Normal 5 4 2 2 2 2 2 3 3" xfId="10475" xr:uid="{00000000-0005-0000-0000-0000EC280000}"/>
    <cellStyle name="Normal 5 4 2 2 2 2 2 3 3 2" xfId="10476" xr:uid="{00000000-0005-0000-0000-0000ED280000}"/>
    <cellStyle name="Normal 5 4 2 2 2 2 2 3 4" xfId="10477" xr:uid="{00000000-0005-0000-0000-0000EE280000}"/>
    <cellStyle name="Normal 5 4 2 2 2 2 2 4" xfId="10478" xr:uid="{00000000-0005-0000-0000-0000EF280000}"/>
    <cellStyle name="Normal 5 4 2 2 2 2 2 4 2" xfId="10479" xr:uid="{00000000-0005-0000-0000-0000F0280000}"/>
    <cellStyle name="Normal 5 4 2 2 2 2 2 4 2 2" xfId="10480" xr:uid="{00000000-0005-0000-0000-0000F1280000}"/>
    <cellStyle name="Normal 5 4 2 2 2 2 2 4 3" xfId="10481" xr:uid="{00000000-0005-0000-0000-0000F2280000}"/>
    <cellStyle name="Normal 5 4 2 2 2 2 2 5" xfId="10482" xr:uid="{00000000-0005-0000-0000-0000F3280000}"/>
    <cellStyle name="Normal 5 4 2 2 2 2 2 5 2" xfId="10483" xr:uid="{00000000-0005-0000-0000-0000F4280000}"/>
    <cellStyle name="Normal 5 4 2 2 2 2 2 6" xfId="10484" xr:uid="{00000000-0005-0000-0000-0000F5280000}"/>
    <cellStyle name="Normal 5 4 2 2 2 2 3" xfId="10485" xr:uid="{00000000-0005-0000-0000-0000F6280000}"/>
    <cellStyle name="Normal 5 4 2 2 2 2 3 2" xfId="10486" xr:uid="{00000000-0005-0000-0000-0000F7280000}"/>
    <cellStyle name="Normal 5 4 2 2 2 2 3 2 2" xfId="10487" xr:uid="{00000000-0005-0000-0000-0000F8280000}"/>
    <cellStyle name="Normal 5 4 2 2 2 2 3 2 2 2" xfId="10488" xr:uid="{00000000-0005-0000-0000-0000F9280000}"/>
    <cellStyle name="Normal 5 4 2 2 2 2 3 2 2 2 2" xfId="10489" xr:uid="{00000000-0005-0000-0000-0000FA280000}"/>
    <cellStyle name="Normal 5 4 2 2 2 2 3 2 2 3" xfId="10490" xr:uid="{00000000-0005-0000-0000-0000FB280000}"/>
    <cellStyle name="Normal 5 4 2 2 2 2 3 2 3" xfId="10491" xr:uid="{00000000-0005-0000-0000-0000FC280000}"/>
    <cellStyle name="Normal 5 4 2 2 2 2 3 2 3 2" xfId="10492" xr:uid="{00000000-0005-0000-0000-0000FD280000}"/>
    <cellStyle name="Normal 5 4 2 2 2 2 3 2 4" xfId="10493" xr:uid="{00000000-0005-0000-0000-0000FE280000}"/>
    <cellStyle name="Normal 5 4 2 2 2 2 3 3" xfId="10494" xr:uid="{00000000-0005-0000-0000-0000FF280000}"/>
    <cellStyle name="Normal 5 4 2 2 2 2 3 3 2" xfId="10495" xr:uid="{00000000-0005-0000-0000-000000290000}"/>
    <cellStyle name="Normal 5 4 2 2 2 2 3 3 2 2" xfId="10496" xr:uid="{00000000-0005-0000-0000-000001290000}"/>
    <cellStyle name="Normal 5 4 2 2 2 2 3 3 3" xfId="10497" xr:uid="{00000000-0005-0000-0000-000002290000}"/>
    <cellStyle name="Normal 5 4 2 2 2 2 3 4" xfId="10498" xr:uid="{00000000-0005-0000-0000-000003290000}"/>
    <cellStyle name="Normal 5 4 2 2 2 2 3 4 2" xfId="10499" xr:uid="{00000000-0005-0000-0000-000004290000}"/>
    <cellStyle name="Normal 5 4 2 2 2 2 3 5" xfId="10500" xr:uid="{00000000-0005-0000-0000-000005290000}"/>
    <cellStyle name="Normal 5 4 2 2 2 2 4" xfId="10501" xr:uid="{00000000-0005-0000-0000-000006290000}"/>
    <cellStyle name="Normal 5 4 2 2 2 2 4 2" xfId="10502" xr:uid="{00000000-0005-0000-0000-000007290000}"/>
    <cellStyle name="Normal 5 4 2 2 2 2 4 2 2" xfId="10503" xr:uid="{00000000-0005-0000-0000-000008290000}"/>
    <cellStyle name="Normal 5 4 2 2 2 2 4 2 2 2" xfId="10504" xr:uid="{00000000-0005-0000-0000-000009290000}"/>
    <cellStyle name="Normal 5 4 2 2 2 2 4 2 3" xfId="10505" xr:uid="{00000000-0005-0000-0000-00000A290000}"/>
    <cellStyle name="Normal 5 4 2 2 2 2 4 3" xfId="10506" xr:uid="{00000000-0005-0000-0000-00000B290000}"/>
    <cellStyle name="Normal 5 4 2 2 2 2 4 3 2" xfId="10507" xr:uid="{00000000-0005-0000-0000-00000C290000}"/>
    <cellStyle name="Normal 5 4 2 2 2 2 4 4" xfId="10508" xr:uid="{00000000-0005-0000-0000-00000D290000}"/>
    <cellStyle name="Normal 5 4 2 2 2 2 5" xfId="10509" xr:uid="{00000000-0005-0000-0000-00000E290000}"/>
    <cellStyle name="Normal 5 4 2 2 2 2 5 2" xfId="10510" xr:uid="{00000000-0005-0000-0000-00000F290000}"/>
    <cellStyle name="Normal 5 4 2 2 2 2 5 2 2" xfId="10511" xr:uid="{00000000-0005-0000-0000-000010290000}"/>
    <cellStyle name="Normal 5 4 2 2 2 2 5 3" xfId="10512" xr:uid="{00000000-0005-0000-0000-000011290000}"/>
    <cellStyle name="Normal 5 4 2 2 2 2 6" xfId="10513" xr:uid="{00000000-0005-0000-0000-000012290000}"/>
    <cellStyle name="Normal 5 4 2 2 2 2 6 2" xfId="10514" xr:uid="{00000000-0005-0000-0000-000013290000}"/>
    <cellStyle name="Normal 5 4 2 2 2 2 7" xfId="10515" xr:uid="{00000000-0005-0000-0000-000014290000}"/>
    <cellStyle name="Normal 5 4 2 2 2 3" xfId="10516" xr:uid="{00000000-0005-0000-0000-000015290000}"/>
    <cellStyle name="Normal 5 4 2 2 2 3 2" xfId="10517" xr:uid="{00000000-0005-0000-0000-000016290000}"/>
    <cellStyle name="Normal 5 4 2 2 2 3 2 2" xfId="10518" xr:uid="{00000000-0005-0000-0000-000017290000}"/>
    <cellStyle name="Normal 5 4 2 2 2 3 2 2 2" xfId="10519" xr:uid="{00000000-0005-0000-0000-000018290000}"/>
    <cellStyle name="Normal 5 4 2 2 2 3 2 2 2 2" xfId="10520" xr:uid="{00000000-0005-0000-0000-000019290000}"/>
    <cellStyle name="Normal 5 4 2 2 2 3 2 2 2 2 2" xfId="10521" xr:uid="{00000000-0005-0000-0000-00001A290000}"/>
    <cellStyle name="Normal 5 4 2 2 2 3 2 2 2 3" xfId="10522" xr:uid="{00000000-0005-0000-0000-00001B290000}"/>
    <cellStyle name="Normal 5 4 2 2 2 3 2 2 3" xfId="10523" xr:uid="{00000000-0005-0000-0000-00001C290000}"/>
    <cellStyle name="Normal 5 4 2 2 2 3 2 2 3 2" xfId="10524" xr:uid="{00000000-0005-0000-0000-00001D290000}"/>
    <cellStyle name="Normal 5 4 2 2 2 3 2 2 4" xfId="10525" xr:uid="{00000000-0005-0000-0000-00001E290000}"/>
    <cellStyle name="Normal 5 4 2 2 2 3 2 3" xfId="10526" xr:uid="{00000000-0005-0000-0000-00001F290000}"/>
    <cellStyle name="Normal 5 4 2 2 2 3 2 3 2" xfId="10527" xr:uid="{00000000-0005-0000-0000-000020290000}"/>
    <cellStyle name="Normal 5 4 2 2 2 3 2 3 2 2" xfId="10528" xr:uid="{00000000-0005-0000-0000-000021290000}"/>
    <cellStyle name="Normal 5 4 2 2 2 3 2 3 3" xfId="10529" xr:uid="{00000000-0005-0000-0000-000022290000}"/>
    <cellStyle name="Normal 5 4 2 2 2 3 2 4" xfId="10530" xr:uid="{00000000-0005-0000-0000-000023290000}"/>
    <cellStyle name="Normal 5 4 2 2 2 3 2 4 2" xfId="10531" xr:uid="{00000000-0005-0000-0000-000024290000}"/>
    <cellStyle name="Normal 5 4 2 2 2 3 2 5" xfId="10532" xr:uid="{00000000-0005-0000-0000-000025290000}"/>
    <cellStyle name="Normal 5 4 2 2 2 3 3" xfId="10533" xr:uid="{00000000-0005-0000-0000-000026290000}"/>
    <cellStyle name="Normal 5 4 2 2 2 3 3 2" xfId="10534" xr:uid="{00000000-0005-0000-0000-000027290000}"/>
    <cellStyle name="Normal 5 4 2 2 2 3 3 2 2" xfId="10535" xr:uid="{00000000-0005-0000-0000-000028290000}"/>
    <cellStyle name="Normal 5 4 2 2 2 3 3 2 2 2" xfId="10536" xr:uid="{00000000-0005-0000-0000-000029290000}"/>
    <cellStyle name="Normal 5 4 2 2 2 3 3 2 3" xfId="10537" xr:uid="{00000000-0005-0000-0000-00002A290000}"/>
    <cellStyle name="Normal 5 4 2 2 2 3 3 3" xfId="10538" xr:uid="{00000000-0005-0000-0000-00002B290000}"/>
    <cellStyle name="Normal 5 4 2 2 2 3 3 3 2" xfId="10539" xr:uid="{00000000-0005-0000-0000-00002C290000}"/>
    <cellStyle name="Normal 5 4 2 2 2 3 3 4" xfId="10540" xr:uid="{00000000-0005-0000-0000-00002D290000}"/>
    <cellStyle name="Normal 5 4 2 2 2 3 4" xfId="10541" xr:uid="{00000000-0005-0000-0000-00002E290000}"/>
    <cellStyle name="Normal 5 4 2 2 2 3 4 2" xfId="10542" xr:uid="{00000000-0005-0000-0000-00002F290000}"/>
    <cellStyle name="Normal 5 4 2 2 2 3 4 2 2" xfId="10543" xr:uid="{00000000-0005-0000-0000-000030290000}"/>
    <cellStyle name="Normal 5 4 2 2 2 3 4 3" xfId="10544" xr:uid="{00000000-0005-0000-0000-000031290000}"/>
    <cellStyle name="Normal 5 4 2 2 2 3 5" xfId="10545" xr:uid="{00000000-0005-0000-0000-000032290000}"/>
    <cellStyle name="Normal 5 4 2 2 2 3 5 2" xfId="10546" xr:uid="{00000000-0005-0000-0000-000033290000}"/>
    <cellStyle name="Normal 5 4 2 2 2 3 6" xfId="10547" xr:uid="{00000000-0005-0000-0000-000034290000}"/>
    <cellStyle name="Normal 5 4 2 2 2 4" xfId="10548" xr:uid="{00000000-0005-0000-0000-000035290000}"/>
    <cellStyle name="Normal 5 4 2 2 2 4 2" xfId="10549" xr:uid="{00000000-0005-0000-0000-000036290000}"/>
    <cellStyle name="Normal 5 4 2 2 2 4 2 2" xfId="10550" xr:uid="{00000000-0005-0000-0000-000037290000}"/>
    <cellStyle name="Normal 5 4 2 2 2 4 2 2 2" xfId="10551" xr:uid="{00000000-0005-0000-0000-000038290000}"/>
    <cellStyle name="Normal 5 4 2 2 2 4 2 2 2 2" xfId="10552" xr:uid="{00000000-0005-0000-0000-000039290000}"/>
    <cellStyle name="Normal 5 4 2 2 2 4 2 2 3" xfId="10553" xr:uid="{00000000-0005-0000-0000-00003A290000}"/>
    <cellStyle name="Normal 5 4 2 2 2 4 2 3" xfId="10554" xr:uid="{00000000-0005-0000-0000-00003B290000}"/>
    <cellStyle name="Normal 5 4 2 2 2 4 2 3 2" xfId="10555" xr:uid="{00000000-0005-0000-0000-00003C290000}"/>
    <cellStyle name="Normal 5 4 2 2 2 4 2 4" xfId="10556" xr:uid="{00000000-0005-0000-0000-00003D290000}"/>
    <cellStyle name="Normal 5 4 2 2 2 4 3" xfId="10557" xr:uid="{00000000-0005-0000-0000-00003E290000}"/>
    <cellStyle name="Normal 5 4 2 2 2 4 3 2" xfId="10558" xr:uid="{00000000-0005-0000-0000-00003F290000}"/>
    <cellStyle name="Normal 5 4 2 2 2 4 3 2 2" xfId="10559" xr:uid="{00000000-0005-0000-0000-000040290000}"/>
    <cellStyle name="Normal 5 4 2 2 2 4 3 3" xfId="10560" xr:uid="{00000000-0005-0000-0000-000041290000}"/>
    <cellStyle name="Normal 5 4 2 2 2 4 4" xfId="10561" xr:uid="{00000000-0005-0000-0000-000042290000}"/>
    <cellStyle name="Normal 5 4 2 2 2 4 4 2" xfId="10562" xr:uid="{00000000-0005-0000-0000-000043290000}"/>
    <cellStyle name="Normal 5 4 2 2 2 4 5" xfId="10563" xr:uid="{00000000-0005-0000-0000-000044290000}"/>
    <cellStyle name="Normal 5 4 2 2 2 5" xfId="10564" xr:uid="{00000000-0005-0000-0000-000045290000}"/>
    <cellStyle name="Normal 5 4 2 2 2 5 2" xfId="10565" xr:uid="{00000000-0005-0000-0000-000046290000}"/>
    <cellStyle name="Normal 5 4 2 2 2 5 2 2" xfId="10566" xr:uid="{00000000-0005-0000-0000-000047290000}"/>
    <cellStyle name="Normal 5 4 2 2 2 5 2 2 2" xfId="10567" xr:uid="{00000000-0005-0000-0000-000048290000}"/>
    <cellStyle name="Normal 5 4 2 2 2 5 2 3" xfId="10568" xr:uid="{00000000-0005-0000-0000-000049290000}"/>
    <cellStyle name="Normal 5 4 2 2 2 5 3" xfId="10569" xr:uid="{00000000-0005-0000-0000-00004A290000}"/>
    <cellStyle name="Normal 5 4 2 2 2 5 3 2" xfId="10570" xr:uid="{00000000-0005-0000-0000-00004B290000}"/>
    <cellStyle name="Normal 5 4 2 2 2 5 4" xfId="10571" xr:uid="{00000000-0005-0000-0000-00004C290000}"/>
    <cellStyle name="Normal 5 4 2 2 2 6" xfId="10572" xr:uid="{00000000-0005-0000-0000-00004D290000}"/>
    <cellStyle name="Normal 5 4 2 2 2 6 2" xfId="10573" xr:uid="{00000000-0005-0000-0000-00004E290000}"/>
    <cellStyle name="Normal 5 4 2 2 2 6 2 2" xfId="10574" xr:uid="{00000000-0005-0000-0000-00004F290000}"/>
    <cellStyle name="Normal 5 4 2 2 2 6 3" xfId="10575" xr:uid="{00000000-0005-0000-0000-000050290000}"/>
    <cellStyle name="Normal 5 4 2 2 2 7" xfId="10576" xr:uid="{00000000-0005-0000-0000-000051290000}"/>
    <cellStyle name="Normal 5 4 2 2 2 7 2" xfId="10577" xr:uid="{00000000-0005-0000-0000-000052290000}"/>
    <cellStyle name="Normal 5 4 2 2 2 8" xfId="10578" xr:uid="{00000000-0005-0000-0000-000053290000}"/>
    <cellStyle name="Normal 5 4 2 2 3" xfId="10579" xr:uid="{00000000-0005-0000-0000-000054290000}"/>
    <cellStyle name="Normal 5 4 2 2 3 2" xfId="10580" xr:uid="{00000000-0005-0000-0000-000055290000}"/>
    <cellStyle name="Normal 5 4 2 2 3 2 2" xfId="10581" xr:uid="{00000000-0005-0000-0000-000056290000}"/>
    <cellStyle name="Normal 5 4 2 2 3 2 2 2" xfId="10582" xr:uid="{00000000-0005-0000-0000-000057290000}"/>
    <cellStyle name="Normal 5 4 2 2 3 2 2 2 2" xfId="10583" xr:uid="{00000000-0005-0000-0000-000058290000}"/>
    <cellStyle name="Normal 5 4 2 2 3 2 2 2 2 2" xfId="10584" xr:uid="{00000000-0005-0000-0000-000059290000}"/>
    <cellStyle name="Normal 5 4 2 2 3 2 2 2 2 2 2" xfId="10585" xr:uid="{00000000-0005-0000-0000-00005A290000}"/>
    <cellStyle name="Normal 5 4 2 2 3 2 2 2 2 3" xfId="10586" xr:uid="{00000000-0005-0000-0000-00005B290000}"/>
    <cellStyle name="Normal 5 4 2 2 3 2 2 2 3" xfId="10587" xr:uid="{00000000-0005-0000-0000-00005C290000}"/>
    <cellStyle name="Normal 5 4 2 2 3 2 2 2 3 2" xfId="10588" xr:uid="{00000000-0005-0000-0000-00005D290000}"/>
    <cellStyle name="Normal 5 4 2 2 3 2 2 2 4" xfId="10589" xr:uid="{00000000-0005-0000-0000-00005E290000}"/>
    <cellStyle name="Normal 5 4 2 2 3 2 2 3" xfId="10590" xr:uid="{00000000-0005-0000-0000-00005F290000}"/>
    <cellStyle name="Normal 5 4 2 2 3 2 2 3 2" xfId="10591" xr:uid="{00000000-0005-0000-0000-000060290000}"/>
    <cellStyle name="Normal 5 4 2 2 3 2 2 3 2 2" xfId="10592" xr:uid="{00000000-0005-0000-0000-000061290000}"/>
    <cellStyle name="Normal 5 4 2 2 3 2 2 3 3" xfId="10593" xr:uid="{00000000-0005-0000-0000-000062290000}"/>
    <cellStyle name="Normal 5 4 2 2 3 2 2 4" xfId="10594" xr:uid="{00000000-0005-0000-0000-000063290000}"/>
    <cellStyle name="Normal 5 4 2 2 3 2 2 4 2" xfId="10595" xr:uid="{00000000-0005-0000-0000-000064290000}"/>
    <cellStyle name="Normal 5 4 2 2 3 2 2 5" xfId="10596" xr:uid="{00000000-0005-0000-0000-000065290000}"/>
    <cellStyle name="Normal 5 4 2 2 3 2 3" xfId="10597" xr:uid="{00000000-0005-0000-0000-000066290000}"/>
    <cellStyle name="Normal 5 4 2 2 3 2 3 2" xfId="10598" xr:uid="{00000000-0005-0000-0000-000067290000}"/>
    <cellStyle name="Normal 5 4 2 2 3 2 3 2 2" xfId="10599" xr:uid="{00000000-0005-0000-0000-000068290000}"/>
    <cellStyle name="Normal 5 4 2 2 3 2 3 2 2 2" xfId="10600" xr:uid="{00000000-0005-0000-0000-000069290000}"/>
    <cellStyle name="Normal 5 4 2 2 3 2 3 2 3" xfId="10601" xr:uid="{00000000-0005-0000-0000-00006A290000}"/>
    <cellStyle name="Normal 5 4 2 2 3 2 3 3" xfId="10602" xr:uid="{00000000-0005-0000-0000-00006B290000}"/>
    <cellStyle name="Normal 5 4 2 2 3 2 3 3 2" xfId="10603" xr:uid="{00000000-0005-0000-0000-00006C290000}"/>
    <cellStyle name="Normal 5 4 2 2 3 2 3 4" xfId="10604" xr:uid="{00000000-0005-0000-0000-00006D290000}"/>
    <cellStyle name="Normal 5 4 2 2 3 2 4" xfId="10605" xr:uid="{00000000-0005-0000-0000-00006E290000}"/>
    <cellStyle name="Normal 5 4 2 2 3 2 4 2" xfId="10606" xr:uid="{00000000-0005-0000-0000-00006F290000}"/>
    <cellStyle name="Normal 5 4 2 2 3 2 4 2 2" xfId="10607" xr:uid="{00000000-0005-0000-0000-000070290000}"/>
    <cellStyle name="Normal 5 4 2 2 3 2 4 3" xfId="10608" xr:uid="{00000000-0005-0000-0000-000071290000}"/>
    <cellStyle name="Normal 5 4 2 2 3 2 5" xfId="10609" xr:uid="{00000000-0005-0000-0000-000072290000}"/>
    <cellStyle name="Normal 5 4 2 2 3 2 5 2" xfId="10610" xr:uid="{00000000-0005-0000-0000-000073290000}"/>
    <cellStyle name="Normal 5 4 2 2 3 2 6" xfId="10611" xr:uid="{00000000-0005-0000-0000-000074290000}"/>
    <cellStyle name="Normal 5 4 2 2 3 3" xfId="10612" xr:uid="{00000000-0005-0000-0000-000075290000}"/>
    <cellStyle name="Normal 5 4 2 2 3 3 2" xfId="10613" xr:uid="{00000000-0005-0000-0000-000076290000}"/>
    <cellStyle name="Normal 5 4 2 2 3 3 2 2" xfId="10614" xr:uid="{00000000-0005-0000-0000-000077290000}"/>
    <cellStyle name="Normal 5 4 2 2 3 3 2 2 2" xfId="10615" xr:uid="{00000000-0005-0000-0000-000078290000}"/>
    <cellStyle name="Normal 5 4 2 2 3 3 2 2 2 2" xfId="10616" xr:uid="{00000000-0005-0000-0000-000079290000}"/>
    <cellStyle name="Normal 5 4 2 2 3 3 2 2 3" xfId="10617" xr:uid="{00000000-0005-0000-0000-00007A290000}"/>
    <cellStyle name="Normal 5 4 2 2 3 3 2 3" xfId="10618" xr:uid="{00000000-0005-0000-0000-00007B290000}"/>
    <cellStyle name="Normal 5 4 2 2 3 3 2 3 2" xfId="10619" xr:uid="{00000000-0005-0000-0000-00007C290000}"/>
    <cellStyle name="Normal 5 4 2 2 3 3 2 4" xfId="10620" xr:uid="{00000000-0005-0000-0000-00007D290000}"/>
    <cellStyle name="Normal 5 4 2 2 3 3 3" xfId="10621" xr:uid="{00000000-0005-0000-0000-00007E290000}"/>
    <cellStyle name="Normal 5 4 2 2 3 3 3 2" xfId="10622" xr:uid="{00000000-0005-0000-0000-00007F290000}"/>
    <cellStyle name="Normal 5 4 2 2 3 3 3 2 2" xfId="10623" xr:uid="{00000000-0005-0000-0000-000080290000}"/>
    <cellStyle name="Normal 5 4 2 2 3 3 3 3" xfId="10624" xr:uid="{00000000-0005-0000-0000-000081290000}"/>
    <cellStyle name="Normal 5 4 2 2 3 3 4" xfId="10625" xr:uid="{00000000-0005-0000-0000-000082290000}"/>
    <cellStyle name="Normal 5 4 2 2 3 3 4 2" xfId="10626" xr:uid="{00000000-0005-0000-0000-000083290000}"/>
    <cellStyle name="Normal 5 4 2 2 3 3 5" xfId="10627" xr:uid="{00000000-0005-0000-0000-000084290000}"/>
    <cellStyle name="Normal 5 4 2 2 3 4" xfId="10628" xr:uid="{00000000-0005-0000-0000-000085290000}"/>
    <cellStyle name="Normal 5 4 2 2 3 4 2" xfId="10629" xr:uid="{00000000-0005-0000-0000-000086290000}"/>
    <cellStyle name="Normal 5 4 2 2 3 4 2 2" xfId="10630" xr:uid="{00000000-0005-0000-0000-000087290000}"/>
    <cellStyle name="Normal 5 4 2 2 3 4 2 2 2" xfId="10631" xr:uid="{00000000-0005-0000-0000-000088290000}"/>
    <cellStyle name="Normal 5 4 2 2 3 4 2 3" xfId="10632" xr:uid="{00000000-0005-0000-0000-000089290000}"/>
    <cellStyle name="Normal 5 4 2 2 3 4 3" xfId="10633" xr:uid="{00000000-0005-0000-0000-00008A290000}"/>
    <cellStyle name="Normal 5 4 2 2 3 4 3 2" xfId="10634" xr:uid="{00000000-0005-0000-0000-00008B290000}"/>
    <cellStyle name="Normal 5 4 2 2 3 4 4" xfId="10635" xr:uid="{00000000-0005-0000-0000-00008C290000}"/>
    <cellStyle name="Normal 5 4 2 2 3 5" xfId="10636" xr:uid="{00000000-0005-0000-0000-00008D290000}"/>
    <cellStyle name="Normal 5 4 2 2 3 5 2" xfId="10637" xr:uid="{00000000-0005-0000-0000-00008E290000}"/>
    <cellStyle name="Normal 5 4 2 2 3 5 2 2" xfId="10638" xr:uid="{00000000-0005-0000-0000-00008F290000}"/>
    <cellStyle name="Normal 5 4 2 2 3 5 3" xfId="10639" xr:uid="{00000000-0005-0000-0000-000090290000}"/>
    <cellStyle name="Normal 5 4 2 2 3 6" xfId="10640" xr:uid="{00000000-0005-0000-0000-000091290000}"/>
    <cellStyle name="Normal 5 4 2 2 3 6 2" xfId="10641" xr:uid="{00000000-0005-0000-0000-000092290000}"/>
    <cellStyle name="Normal 5 4 2 2 3 7" xfId="10642" xr:uid="{00000000-0005-0000-0000-000093290000}"/>
    <cellStyle name="Normal 5 4 2 2 4" xfId="10643" xr:uid="{00000000-0005-0000-0000-000094290000}"/>
    <cellStyle name="Normal 5 4 2 2 4 2" xfId="10644" xr:uid="{00000000-0005-0000-0000-000095290000}"/>
    <cellStyle name="Normal 5 4 2 2 4 2 2" xfId="10645" xr:uid="{00000000-0005-0000-0000-000096290000}"/>
    <cellStyle name="Normal 5 4 2 2 4 2 2 2" xfId="10646" xr:uid="{00000000-0005-0000-0000-000097290000}"/>
    <cellStyle name="Normal 5 4 2 2 4 2 2 2 2" xfId="10647" xr:uid="{00000000-0005-0000-0000-000098290000}"/>
    <cellStyle name="Normal 5 4 2 2 4 2 2 2 2 2" xfId="10648" xr:uid="{00000000-0005-0000-0000-000099290000}"/>
    <cellStyle name="Normal 5 4 2 2 4 2 2 2 3" xfId="10649" xr:uid="{00000000-0005-0000-0000-00009A290000}"/>
    <cellStyle name="Normal 5 4 2 2 4 2 2 3" xfId="10650" xr:uid="{00000000-0005-0000-0000-00009B290000}"/>
    <cellStyle name="Normal 5 4 2 2 4 2 2 3 2" xfId="10651" xr:uid="{00000000-0005-0000-0000-00009C290000}"/>
    <cellStyle name="Normal 5 4 2 2 4 2 2 4" xfId="10652" xr:uid="{00000000-0005-0000-0000-00009D290000}"/>
    <cellStyle name="Normal 5 4 2 2 4 2 3" xfId="10653" xr:uid="{00000000-0005-0000-0000-00009E290000}"/>
    <cellStyle name="Normal 5 4 2 2 4 2 3 2" xfId="10654" xr:uid="{00000000-0005-0000-0000-00009F290000}"/>
    <cellStyle name="Normal 5 4 2 2 4 2 3 2 2" xfId="10655" xr:uid="{00000000-0005-0000-0000-0000A0290000}"/>
    <cellStyle name="Normal 5 4 2 2 4 2 3 3" xfId="10656" xr:uid="{00000000-0005-0000-0000-0000A1290000}"/>
    <cellStyle name="Normal 5 4 2 2 4 2 4" xfId="10657" xr:uid="{00000000-0005-0000-0000-0000A2290000}"/>
    <cellStyle name="Normal 5 4 2 2 4 2 4 2" xfId="10658" xr:uid="{00000000-0005-0000-0000-0000A3290000}"/>
    <cellStyle name="Normal 5 4 2 2 4 2 5" xfId="10659" xr:uid="{00000000-0005-0000-0000-0000A4290000}"/>
    <cellStyle name="Normal 5 4 2 2 4 3" xfId="10660" xr:uid="{00000000-0005-0000-0000-0000A5290000}"/>
    <cellStyle name="Normal 5 4 2 2 4 3 2" xfId="10661" xr:uid="{00000000-0005-0000-0000-0000A6290000}"/>
    <cellStyle name="Normal 5 4 2 2 4 3 2 2" xfId="10662" xr:uid="{00000000-0005-0000-0000-0000A7290000}"/>
    <cellStyle name="Normal 5 4 2 2 4 3 2 2 2" xfId="10663" xr:uid="{00000000-0005-0000-0000-0000A8290000}"/>
    <cellStyle name="Normal 5 4 2 2 4 3 2 3" xfId="10664" xr:uid="{00000000-0005-0000-0000-0000A9290000}"/>
    <cellStyle name="Normal 5 4 2 2 4 3 3" xfId="10665" xr:uid="{00000000-0005-0000-0000-0000AA290000}"/>
    <cellStyle name="Normal 5 4 2 2 4 3 3 2" xfId="10666" xr:uid="{00000000-0005-0000-0000-0000AB290000}"/>
    <cellStyle name="Normal 5 4 2 2 4 3 4" xfId="10667" xr:uid="{00000000-0005-0000-0000-0000AC290000}"/>
    <cellStyle name="Normal 5 4 2 2 4 4" xfId="10668" xr:uid="{00000000-0005-0000-0000-0000AD290000}"/>
    <cellStyle name="Normal 5 4 2 2 4 4 2" xfId="10669" xr:uid="{00000000-0005-0000-0000-0000AE290000}"/>
    <cellStyle name="Normal 5 4 2 2 4 4 2 2" xfId="10670" xr:uid="{00000000-0005-0000-0000-0000AF290000}"/>
    <cellStyle name="Normal 5 4 2 2 4 4 3" xfId="10671" xr:uid="{00000000-0005-0000-0000-0000B0290000}"/>
    <cellStyle name="Normal 5 4 2 2 4 5" xfId="10672" xr:uid="{00000000-0005-0000-0000-0000B1290000}"/>
    <cellStyle name="Normal 5 4 2 2 4 5 2" xfId="10673" xr:uid="{00000000-0005-0000-0000-0000B2290000}"/>
    <cellStyle name="Normal 5 4 2 2 4 6" xfId="10674" xr:uid="{00000000-0005-0000-0000-0000B3290000}"/>
    <cellStyle name="Normal 5 4 2 2 5" xfId="10675" xr:uid="{00000000-0005-0000-0000-0000B4290000}"/>
    <cellStyle name="Normal 5 4 2 2 5 2" xfId="10676" xr:uid="{00000000-0005-0000-0000-0000B5290000}"/>
    <cellStyle name="Normal 5 4 2 2 5 2 2" xfId="10677" xr:uid="{00000000-0005-0000-0000-0000B6290000}"/>
    <cellStyle name="Normal 5 4 2 2 5 2 2 2" xfId="10678" xr:uid="{00000000-0005-0000-0000-0000B7290000}"/>
    <cellStyle name="Normal 5 4 2 2 5 2 2 2 2" xfId="10679" xr:uid="{00000000-0005-0000-0000-0000B8290000}"/>
    <cellStyle name="Normal 5 4 2 2 5 2 2 3" xfId="10680" xr:uid="{00000000-0005-0000-0000-0000B9290000}"/>
    <cellStyle name="Normal 5 4 2 2 5 2 3" xfId="10681" xr:uid="{00000000-0005-0000-0000-0000BA290000}"/>
    <cellStyle name="Normal 5 4 2 2 5 2 3 2" xfId="10682" xr:uid="{00000000-0005-0000-0000-0000BB290000}"/>
    <cellStyle name="Normal 5 4 2 2 5 2 4" xfId="10683" xr:uid="{00000000-0005-0000-0000-0000BC290000}"/>
    <cellStyle name="Normal 5 4 2 2 5 3" xfId="10684" xr:uid="{00000000-0005-0000-0000-0000BD290000}"/>
    <cellStyle name="Normal 5 4 2 2 5 3 2" xfId="10685" xr:uid="{00000000-0005-0000-0000-0000BE290000}"/>
    <cellStyle name="Normal 5 4 2 2 5 3 2 2" xfId="10686" xr:uid="{00000000-0005-0000-0000-0000BF290000}"/>
    <cellStyle name="Normal 5 4 2 2 5 3 3" xfId="10687" xr:uid="{00000000-0005-0000-0000-0000C0290000}"/>
    <cellStyle name="Normal 5 4 2 2 5 4" xfId="10688" xr:uid="{00000000-0005-0000-0000-0000C1290000}"/>
    <cellStyle name="Normal 5 4 2 2 5 4 2" xfId="10689" xr:uid="{00000000-0005-0000-0000-0000C2290000}"/>
    <cellStyle name="Normal 5 4 2 2 5 5" xfId="10690" xr:uid="{00000000-0005-0000-0000-0000C3290000}"/>
    <cellStyle name="Normal 5 4 2 2 6" xfId="10691" xr:uid="{00000000-0005-0000-0000-0000C4290000}"/>
    <cellStyle name="Normal 5 4 2 2 6 2" xfId="10692" xr:uid="{00000000-0005-0000-0000-0000C5290000}"/>
    <cellStyle name="Normal 5 4 2 2 6 2 2" xfId="10693" xr:uid="{00000000-0005-0000-0000-0000C6290000}"/>
    <cellStyle name="Normal 5 4 2 2 6 2 2 2" xfId="10694" xr:uid="{00000000-0005-0000-0000-0000C7290000}"/>
    <cellStyle name="Normal 5 4 2 2 6 2 3" xfId="10695" xr:uid="{00000000-0005-0000-0000-0000C8290000}"/>
    <cellStyle name="Normal 5 4 2 2 6 3" xfId="10696" xr:uid="{00000000-0005-0000-0000-0000C9290000}"/>
    <cellStyle name="Normal 5 4 2 2 6 3 2" xfId="10697" xr:uid="{00000000-0005-0000-0000-0000CA290000}"/>
    <cellStyle name="Normal 5 4 2 2 6 4" xfId="10698" xr:uid="{00000000-0005-0000-0000-0000CB290000}"/>
    <cellStyle name="Normal 5 4 2 2 7" xfId="10699" xr:uid="{00000000-0005-0000-0000-0000CC290000}"/>
    <cellStyle name="Normal 5 4 2 2 7 2" xfId="10700" xr:uid="{00000000-0005-0000-0000-0000CD290000}"/>
    <cellStyle name="Normal 5 4 2 2 7 2 2" xfId="10701" xr:uid="{00000000-0005-0000-0000-0000CE290000}"/>
    <cellStyle name="Normal 5 4 2 2 7 3" xfId="10702" xr:uid="{00000000-0005-0000-0000-0000CF290000}"/>
    <cellStyle name="Normal 5 4 2 2 8" xfId="10703" xr:uid="{00000000-0005-0000-0000-0000D0290000}"/>
    <cellStyle name="Normal 5 4 2 2 8 2" xfId="10704" xr:uid="{00000000-0005-0000-0000-0000D1290000}"/>
    <cellStyle name="Normal 5 4 2 2 9" xfId="10705" xr:uid="{00000000-0005-0000-0000-0000D2290000}"/>
    <cellStyle name="Normal 5 4 2 3" xfId="10706" xr:uid="{00000000-0005-0000-0000-0000D3290000}"/>
    <cellStyle name="Normal 5 4 2 3 2" xfId="10707" xr:uid="{00000000-0005-0000-0000-0000D4290000}"/>
    <cellStyle name="Normal 5 4 2 3 2 2" xfId="10708" xr:uid="{00000000-0005-0000-0000-0000D5290000}"/>
    <cellStyle name="Normal 5 4 2 3 2 2 2" xfId="10709" xr:uid="{00000000-0005-0000-0000-0000D6290000}"/>
    <cellStyle name="Normal 5 4 2 3 2 2 2 2" xfId="10710" xr:uid="{00000000-0005-0000-0000-0000D7290000}"/>
    <cellStyle name="Normal 5 4 2 3 2 2 2 2 2" xfId="10711" xr:uid="{00000000-0005-0000-0000-0000D8290000}"/>
    <cellStyle name="Normal 5 4 2 3 2 2 2 2 2 2" xfId="10712" xr:uid="{00000000-0005-0000-0000-0000D9290000}"/>
    <cellStyle name="Normal 5 4 2 3 2 2 2 2 2 2 2" xfId="10713" xr:uid="{00000000-0005-0000-0000-0000DA290000}"/>
    <cellStyle name="Normal 5 4 2 3 2 2 2 2 2 3" xfId="10714" xr:uid="{00000000-0005-0000-0000-0000DB290000}"/>
    <cellStyle name="Normal 5 4 2 3 2 2 2 2 3" xfId="10715" xr:uid="{00000000-0005-0000-0000-0000DC290000}"/>
    <cellStyle name="Normal 5 4 2 3 2 2 2 2 3 2" xfId="10716" xr:uid="{00000000-0005-0000-0000-0000DD290000}"/>
    <cellStyle name="Normal 5 4 2 3 2 2 2 2 4" xfId="10717" xr:uid="{00000000-0005-0000-0000-0000DE290000}"/>
    <cellStyle name="Normal 5 4 2 3 2 2 2 3" xfId="10718" xr:uid="{00000000-0005-0000-0000-0000DF290000}"/>
    <cellStyle name="Normal 5 4 2 3 2 2 2 3 2" xfId="10719" xr:uid="{00000000-0005-0000-0000-0000E0290000}"/>
    <cellStyle name="Normal 5 4 2 3 2 2 2 3 2 2" xfId="10720" xr:uid="{00000000-0005-0000-0000-0000E1290000}"/>
    <cellStyle name="Normal 5 4 2 3 2 2 2 3 3" xfId="10721" xr:uid="{00000000-0005-0000-0000-0000E2290000}"/>
    <cellStyle name="Normal 5 4 2 3 2 2 2 4" xfId="10722" xr:uid="{00000000-0005-0000-0000-0000E3290000}"/>
    <cellStyle name="Normal 5 4 2 3 2 2 2 4 2" xfId="10723" xr:uid="{00000000-0005-0000-0000-0000E4290000}"/>
    <cellStyle name="Normal 5 4 2 3 2 2 2 5" xfId="10724" xr:uid="{00000000-0005-0000-0000-0000E5290000}"/>
    <cellStyle name="Normal 5 4 2 3 2 2 3" xfId="10725" xr:uid="{00000000-0005-0000-0000-0000E6290000}"/>
    <cellStyle name="Normal 5 4 2 3 2 2 3 2" xfId="10726" xr:uid="{00000000-0005-0000-0000-0000E7290000}"/>
    <cellStyle name="Normal 5 4 2 3 2 2 3 2 2" xfId="10727" xr:uid="{00000000-0005-0000-0000-0000E8290000}"/>
    <cellStyle name="Normal 5 4 2 3 2 2 3 2 2 2" xfId="10728" xr:uid="{00000000-0005-0000-0000-0000E9290000}"/>
    <cellStyle name="Normal 5 4 2 3 2 2 3 2 3" xfId="10729" xr:uid="{00000000-0005-0000-0000-0000EA290000}"/>
    <cellStyle name="Normal 5 4 2 3 2 2 3 3" xfId="10730" xr:uid="{00000000-0005-0000-0000-0000EB290000}"/>
    <cellStyle name="Normal 5 4 2 3 2 2 3 3 2" xfId="10731" xr:uid="{00000000-0005-0000-0000-0000EC290000}"/>
    <cellStyle name="Normal 5 4 2 3 2 2 3 4" xfId="10732" xr:uid="{00000000-0005-0000-0000-0000ED290000}"/>
    <cellStyle name="Normal 5 4 2 3 2 2 4" xfId="10733" xr:uid="{00000000-0005-0000-0000-0000EE290000}"/>
    <cellStyle name="Normal 5 4 2 3 2 2 4 2" xfId="10734" xr:uid="{00000000-0005-0000-0000-0000EF290000}"/>
    <cellStyle name="Normal 5 4 2 3 2 2 4 2 2" xfId="10735" xr:uid="{00000000-0005-0000-0000-0000F0290000}"/>
    <cellStyle name="Normal 5 4 2 3 2 2 4 3" xfId="10736" xr:uid="{00000000-0005-0000-0000-0000F1290000}"/>
    <cellStyle name="Normal 5 4 2 3 2 2 5" xfId="10737" xr:uid="{00000000-0005-0000-0000-0000F2290000}"/>
    <cellStyle name="Normal 5 4 2 3 2 2 5 2" xfId="10738" xr:uid="{00000000-0005-0000-0000-0000F3290000}"/>
    <cellStyle name="Normal 5 4 2 3 2 2 6" xfId="10739" xr:uid="{00000000-0005-0000-0000-0000F4290000}"/>
    <cellStyle name="Normal 5 4 2 3 2 3" xfId="10740" xr:uid="{00000000-0005-0000-0000-0000F5290000}"/>
    <cellStyle name="Normal 5 4 2 3 2 3 2" xfId="10741" xr:uid="{00000000-0005-0000-0000-0000F6290000}"/>
    <cellStyle name="Normal 5 4 2 3 2 3 2 2" xfId="10742" xr:uid="{00000000-0005-0000-0000-0000F7290000}"/>
    <cellStyle name="Normal 5 4 2 3 2 3 2 2 2" xfId="10743" xr:uid="{00000000-0005-0000-0000-0000F8290000}"/>
    <cellStyle name="Normal 5 4 2 3 2 3 2 2 2 2" xfId="10744" xr:uid="{00000000-0005-0000-0000-0000F9290000}"/>
    <cellStyle name="Normal 5 4 2 3 2 3 2 2 3" xfId="10745" xr:uid="{00000000-0005-0000-0000-0000FA290000}"/>
    <cellStyle name="Normal 5 4 2 3 2 3 2 3" xfId="10746" xr:uid="{00000000-0005-0000-0000-0000FB290000}"/>
    <cellStyle name="Normal 5 4 2 3 2 3 2 3 2" xfId="10747" xr:uid="{00000000-0005-0000-0000-0000FC290000}"/>
    <cellStyle name="Normal 5 4 2 3 2 3 2 4" xfId="10748" xr:uid="{00000000-0005-0000-0000-0000FD290000}"/>
    <cellStyle name="Normal 5 4 2 3 2 3 3" xfId="10749" xr:uid="{00000000-0005-0000-0000-0000FE290000}"/>
    <cellStyle name="Normal 5 4 2 3 2 3 3 2" xfId="10750" xr:uid="{00000000-0005-0000-0000-0000FF290000}"/>
    <cellStyle name="Normal 5 4 2 3 2 3 3 2 2" xfId="10751" xr:uid="{00000000-0005-0000-0000-0000002A0000}"/>
    <cellStyle name="Normal 5 4 2 3 2 3 3 3" xfId="10752" xr:uid="{00000000-0005-0000-0000-0000012A0000}"/>
    <cellStyle name="Normal 5 4 2 3 2 3 4" xfId="10753" xr:uid="{00000000-0005-0000-0000-0000022A0000}"/>
    <cellStyle name="Normal 5 4 2 3 2 3 4 2" xfId="10754" xr:uid="{00000000-0005-0000-0000-0000032A0000}"/>
    <cellStyle name="Normal 5 4 2 3 2 3 5" xfId="10755" xr:uid="{00000000-0005-0000-0000-0000042A0000}"/>
    <cellStyle name="Normal 5 4 2 3 2 4" xfId="10756" xr:uid="{00000000-0005-0000-0000-0000052A0000}"/>
    <cellStyle name="Normal 5 4 2 3 2 4 2" xfId="10757" xr:uid="{00000000-0005-0000-0000-0000062A0000}"/>
    <cellStyle name="Normal 5 4 2 3 2 4 2 2" xfId="10758" xr:uid="{00000000-0005-0000-0000-0000072A0000}"/>
    <cellStyle name="Normal 5 4 2 3 2 4 2 2 2" xfId="10759" xr:uid="{00000000-0005-0000-0000-0000082A0000}"/>
    <cellStyle name="Normal 5 4 2 3 2 4 2 3" xfId="10760" xr:uid="{00000000-0005-0000-0000-0000092A0000}"/>
    <cellStyle name="Normal 5 4 2 3 2 4 3" xfId="10761" xr:uid="{00000000-0005-0000-0000-00000A2A0000}"/>
    <cellStyle name="Normal 5 4 2 3 2 4 3 2" xfId="10762" xr:uid="{00000000-0005-0000-0000-00000B2A0000}"/>
    <cellStyle name="Normal 5 4 2 3 2 4 4" xfId="10763" xr:uid="{00000000-0005-0000-0000-00000C2A0000}"/>
    <cellStyle name="Normal 5 4 2 3 2 5" xfId="10764" xr:uid="{00000000-0005-0000-0000-00000D2A0000}"/>
    <cellStyle name="Normal 5 4 2 3 2 5 2" xfId="10765" xr:uid="{00000000-0005-0000-0000-00000E2A0000}"/>
    <cellStyle name="Normal 5 4 2 3 2 5 2 2" xfId="10766" xr:uid="{00000000-0005-0000-0000-00000F2A0000}"/>
    <cellStyle name="Normal 5 4 2 3 2 5 3" xfId="10767" xr:uid="{00000000-0005-0000-0000-0000102A0000}"/>
    <cellStyle name="Normal 5 4 2 3 2 6" xfId="10768" xr:uid="{00000000-0005-0000-0000-0000112A0000}"/>
    <cellStyle name="Normal 5 4 2 3 2 6 2" xfId="10769" xr:uid="{00000000-0005-0000-0000-0000122A0000}"/>
    <cellStyle name="Normal 5 4 2 3 2 7" xfId="10770" xr:uid="{00000000-0005-0000-0000-0000132A0000}"/>
    <cellStyle name="Normal 5 4 2 3 3" xfId="10771" xr:uid="{00000000-0005-0000-0000-0000142A0000}"/>
    <cellStyle name="Normal 5 4 2 3 3 2" xfId="10772" xr:uid="{00000000-0005-0000-0000-0000152A0000}"/>
    <cellStyle name="Normal 5 4 2 3 3 2 2" xfId="10773" xr:uid="{00000000-0005-0000-0000-0000162A0000}"/>
    <cellStyle name="Normal 5 4 2 3 3 2 2 2" xfId="10774" xr:uid="{00000000-0005-0000-0000-0000172A0000}"/>
    <cellStyle name="Normal 5 4 2 3 3 2 2 2 2" xfId="10775" xr:uid="{00000000-0005-0000-0000-0000182A0000}"/>
    <cellStyle name="Normal 5 4 2 3 3 2 2 2 2 2" xfId="10776" xr:uid="{00000000-0005-0000-0000-0000192A0000}"/>
    <cellStyle name="Normal 5 4 2 3 3 2 2 2 3" xfId="10777" xr:uid="{00000000-0005-0000-0000-00001A2A0000}"/>
    <cellStyle name="Normal 5 4 2 3 3 2 2 3" xfId="10778" xr:uid="{00000000-0005-0000-0000-00001B2A0000}"/>
    <cellStyle name="Normal 5 4 2 3 3 2 2 3 2" xfId="10779" xr:uid="{00000000-0005-0000-0000-00001C2A0000}"/>
    <cellStyle name="Normal 5 4 2 3 3 2 2 4" xfId="10780" xr:uid="{00000000-0005-0000-0000-00001D2A0000}"/>
    <cellStyle name="Normal 5 4 2 3 3 2 3" xfId="10781" xr:uid="{00000000-0005-0000-0000-00001E2A0000}"/>
    <cellStyle name="Normal 5 4 2 3 3 2 3 2" xfId="10782" xr:uid="{00000000-0005-0000-0000-00001F2A0000}"/>
    <cellStyle name="Normal 5 4 2 3 3 2 3 2 2" xfId="10783" xr:uid="{00000000-0005-0000-0000-0000202A0000}"/>
    <cellStyle name="Normal 5 4 2 3 3 2 3 3" xfId="10784" xr:uid="{00000000-0005-0000-0000-0000212A0000}"/>
    <cellStyle name="Normal 5 4 2 3 3 2 4" xfId="10785" xr:uid="{00000000-0005-0000-0000-0000222A0000}"/>
    <cellStyle name="Normal 5 4 2 3 3 2 4 2" xfId="10786" xr:uid="{00000000-0005-0000-0000-0000232A0000}"/>
    <cellStyle name="Normal 5 4 2 3 3 2 5" xfId="10787" xr:uid="{00000000-0005-0000-0000-0000242A0000}"/>
    <cellStyle name="Normal 5 4 2 3 3 3" xfId="10788" xr:uid="{00000000-0005-0000-0000-0000252A0000}"/>
    <cellStyle name="Normal 5 4 2 3 3 3 2" xfId="10789" xr:uid="{00000000-0005-0000-0000-0000262A0000}"/>
    <cellStyle name="Normal 5 4 2 3 3 3 2 2" xfId="10790" xr:uid="{00000000-0005-0000-0000-0000272A0000}"/>
    <cellStyle name="Normal 5 4 2 3 3 3 2 2 2" xfId="10791" xr:uid="{00000000-0005-0000-0000-0000282A0000}"/>
    <cellStyle name="Normal 5 4 2 3 3 3 2 3" xfId="10792" xr:uid="{00000000-0005-0000-0000-0000292A0000}"/>
    <cellStyle name="Normal 5 4 2 3 3 3 3" xfId="10793" xr:uid="{00000000-0005-0000-0000-00002A2A0000}"/>
    <cellStyle name="Normal 5 4 2 3 3 3 3 2" xfId="10794" xr:uid="{00000000-0005-0000-0000-00002B2A0000}"/>
    <cellStyle name="Normal 5 4 2 3 3 3 4" xfId="10795" xr:uid="{00000000-0005-0000-0000-00002C2A0000}"/>
    <cellStyle name="Normal 5 4 2 3 3 4" xfId="10796" xr:uid="{00000000-0005-0000-0000-00002D2A0000}"/>
    <cellStyle name="Normal 5 4 2 3 3 4 2" xfId="10797" xr:uid="{00000000-0005-0000-0000-00002E2A0000}"/>
    <cellStyle name="Normal 5 4 2 3 3 4 2 2" xfId="10798" xr:uid="{00000000-0005-0000-0000-00002F2A0000}"/>
    <cellStyle name="Normal 5 4 2 3 3 4 3" xfId="10799" xr:uid="{00000000-0005-0000-0000-0000302A0000}"/>
    <cellStyle name="Normal 5 4 2 3 3 5" xfId="10800" xr:uid="{00000000-0005-0000-0000-0000312A0000}"/>
    <cellStyle name="Normal 5 4 2 3 3 5 2" xfId="10801" xr:uid="{00000000-0005-0000-0000-0000322A0000}"/>
    <cellStyle name="Normal 5 4 2 3 3 6" xfId="10802" xr:uid="{00000000-0005-0000-0000-0000332A0000}"/>
    <cellStyle name="Normal 5 4 2 3 4" xfId="10803" xr:uid="{00000000-0005-0000-0000-0000342A0000}"/>
    <cellStyle name="Normal 5 4 2 3 4 2" xfId="10804" xr:uid="{00000000-0005-0000-0000-0000352A0000}"/>
    <cellStyle name="Normal 5 4 2 3 4 2 2" xfId="10805" xr:uid="{00000000-0005-0000-0000-0000362A0000}"/>
    <cellStyle name="Normal 5 4 2 3 4 2 2 2" xfId="10806" xr:uid="{00000000-0005-0000-0000-0000372A0000}"/>
    <cellStyle name="Normal 5 4 2 3 4 2 2 2 2" xfId="10807" xr:uid="{00000000-0005-0000-0000-0000382A0000}"/>
    <cellStyle name="Normal 5 4 2 3 4 2 2 3" xfId="10808" xr:uid="{00000000-0005-0000-0000-0000392A0000}"/>
    <cellStyle name="Normal 5 4 2 3 4 2 3" xfId="10809" xr:uid="{00000000-0005-0000-0000-00003A2A0000}"/>
    <cellStyle name="Normal 5 4 2 3 4 2 3 2" xfId="10810" xr:uid="{00000000-0005-0000-0000-00003B2A0000}"/>
    <cellStyle name="Normal 5 4 2 3 4 2 4" xfId="10811" xr:uid="{00000000-0005-0000-0000-00003C2A0000}"/>
    <cellStyle name="Normal 5 4 2 3 4 3" xfId="10812" xr:uid="{00000000-0005-0000-0000-00003D2A0000}"/>
    <cellStyle name="Normal 5 4 2 3 4 3 2" xfId="10813" xr:uid="{00000000-0005-0000-0000-00003E2A0000}"/>
    <cellStyle name="Normal 5 4 2 3 4 3 2 2" xfId="10814" xr:uid="{00000000-0005-0000-0000-00003F2A0000}"/>
    <cellStyle name="Normal 5 4 2 3 4 3 3" xfId="10815" xr:uid="{00000000-0005-0000-0000-0000402A0000}"/>
    <cellStyle name="Normal 5 4 2 3 4 4" xfId="10816" xr:uid="{00000000-0005-0000-0000-0000412A0000}"/>
    <cellStyle name="Normal 5 4 2 3 4 4 2" xfId="10817" xr:uid="{00000000-0005-0000-0000-0000422A0000}"/>
    <cellStyle name="Normal 5 4 2 3 4 5" xfId="10818" xr:uid="{00000000-0005-0000-0000-0000432A0000}"/>
    <cellStyle name="Normal 5 4 2 3 5" xfId="10819" xr:uid="{00000000-0005-0000-0000-0000442A0000}"/>
    <cellStyle name="Normal 5 4 2 3 5 2" xfId="10820" xr:uid="{00000000-0005-0000-0000-0000452A0000}"/>
    <cellStyle name="Normal 5 4 2 3 5 2 2" xfId="10821" xr:uid="{00000000-0005-0000-0000-0000462A0000}"/>
    <cellStyle name="Normal 5 4 2 3 5 2 2 2" xfId="10822" xr:uid="{00000000-0005-0000-0000-0000472A0000}"/>
    <cellStyle name="Normal 5 4 2 3 5 2 3" xfId="10823" xr:uid="{00000000-0005-0000-0000-0000482A0000}"/>
    <cellStyle name="Normal 5 4 2 3 5 3" xfId="10824" xr:uid="{00000000-0005-0000-0000-0000492A0000}"/>
    <cellStyle name="Normal 5 4 2 3 5 3 2" xfId="10825" xr:uid="{00000000-0005-0000-0000-00004A2A0000}"/>
    <cellStyle name="Normal 5 4 2 3 5 4" xfId="10826" xr:uid="{00000000-0005-0000-0000-00004B2A0000}"/>
    <cellStyle name="Normal 5 4 2 3 6" xfId="10827" xr:uid="{00000000-0005-0000-0000-00004C2A0000}"/>
    <cellStyle name="Normal 5 4 2 3 6 2" xfId="10828" xr:uid="{00000000-0005-0000-0000-00004D2A0000}"/>
    <cellStyle name="Normal 5 4 2 3 6 2 2" xfId="10829" xr:uid="{00000000-0005-0000-0000-00004E2A0000}"/>
    <cellStyle name="Normal 5 4 2 3 6 3" xfId="10830" xr:uid="{00000000-0005-0000-0000-00004F2A0000}"/>
    <cellStyle name="Normal 5 4 2 3 7" xfId="10831" xr:uid="{00000000-0005-0000-0000-0000502A0000}"/>
    <cellStyle name="Normal 5 4 2 3 7 2" xfId="10832" xr:uid="{00000000-0005-0000-0000-0000512A0000}"/>
    <cellStyle name="Normal 5 4 2 3 8" xfId="10833" xr:uid="{00000000-0005-0000-0000-0000522A0000}"/>
    <cellStyle name="Normal 5 4 2 4" xfId="10834" xr:uid="{00000000-0005-0000-0000-0000532A0000}"/>
    <cellStyle name="Normal 5 4 2 4 2" xfId="10835" xr:uid="{00000000-0005-0000-0000-0000542A0000}"/>
    <cellStyle name="Normal 5 4 2 4 2 2" xfId="10836" xr:uid="{00000000-0005-0000-0000-0000552A0000}"/>
    <cellStyle name="Normal 5 4 2 4 2 2 2" xfId="10837" xr:uid="{00000000-0005-0000-0000-0000562A0000}"/>
    <cellStyle name="Normal 5 4 2 4 2 2 2 2" xfId="10838" xr:uid="{00000000-0005-0000-0000-0000572A0000}"/>
    <cellStyle name="Normal 5 4 2 4 2 2 2 2 2" xfId="10839" xr:uid="{00000000-0005-0000-0000-0000582A0000}"/>
    <cellStyle name="Normal 5 4 2 4 2 2 2 2 2 2" xfId="10840" xr:uid="{00000000-0005-0000-0000-0000592A0000}"/>
    <cellStyle name="Normal 5 4 2 4 2 2 2 2 3" xfId="10841" xr:uid="{00000000-0005-0000-0000-00005A2A0000}"/>
    <cellStyle name="Normal 5 4 2 4 2 2 2 3" xfId="10842" xr:uid="{00000000-0005-0000-0000-00005B2A0000}"/>
    <cellStyle name="Normal 5 4 2 4 2 2 2 3 2" xfId="10843" xr:uid="{00000000-0005-0000-0000-00005C2A0000}"/>
    <cellStyle name="Normal 5 4 2 4 2 2 2 4" xfId="10844" xr:uid="{00000000-0005-0000-0000-00005D2A0000}"/>
    <cellStyle name="Normal 5 4 2 4 2 2 3" xfId="10845" xr:uid="{00000000-0005-0000-0000-00005E2A0000}"/>
    <cellStyle name="Normal 5 4 2 4 2 2 3 2" xfId="10846" xr:uid="{00000000-0005-0000-0000-00005F2A0000}"/>
    <cellStyle name="Normal 5 4 2 4 2 2 3 2 2" xfId="10847" xr:uid="{00000000-0005-0000-0000-0000602A0000}"/>
    <cellStyle name="Normal 5 4 2 4 2 2 3 3" xfId="10848" xr:uid="{00000000-0005-0000-0000-0000612A0000}"/>
    <cellStyle name="Normal 5 4 2 4 2 2 4" xfId="10849" xr:uid="{00000000-0005-0000-0000-0000622A0000}"/>
    <cellStyle name="Normal 5 4 2 4 2 2 4 2" xfId="10850" xr:uid="{00000000-0005-0000-0000-0000632A0000}"/>
    <cellStyle name="Normal 5 4 2 4 2 2 5" xfId="10851" xr:uid="{00000000-0005-0000-0000-0000642A0000}"/>
    <cellStyle name="Normal 5 4 2 4 2 3" xfId="10852" xr:uid="{00000000-0005-0000-0000-0000652A0000}"/>
    <cellStyle name="Normal 5 4 2 4 2 3 2" xfId="10853" xr:uid="{00000000-0005-0000-0000-0000662A0000}"/>
    <cellStyle name="Normal 5 4 2 4 2 3 2 2" xfId="10854" xr:uid="{00000000-0005-0000-0000-0000672A0000}"/>
    <cellStyle name="Normal 5 4 2 4 2 3 2 2 2" xfId="10855" xr:uid="{00000000-0005-0000-0000-0000682A0000}"/>
    <cellStyle name="Normal 5 4 2 4 2 3 2 3" xfId="10856" xr:uid="{00000000-0005-0000-0000-0000692A0000}"/>
    <cellStyle name="Normal 5 4 2 4 2 3 3" xfId="10857" xr:uid="{00000000-0005-0000-0000-00006A2A0000}"/>
    <cellStyle name="Normal 5 4 2 4 2 3 3 2" xfId="10858" xr:uid="{00000000-0005-0000-0000-00006B2A0000}"/>
    <cellStyle name="Normal 5 4 2 4 2 3 4" xfId="10859" xr:uid="{00000000-0005-0000-0000-00006C2A0000}"/>
    <cellStyle name="Normal 5 4 2 4 2 4" xfId="10860" xr:uid="{00000000-0005-0000-0000-00006D2A0000}"/>
    <cellStyle name="Normal 5 4 2 4 2 4 2" xfId="10861" xr:uid="{00000000-0005-0000-0000-00006E2A0000}"/>
    <cellStyle name="Normal 5 4 2 4 2 4 2 2" xfId="10862" xr:uid="{00000000-0005-0000-0000-00006F2A0000}"/>
    <cellStyle name="Normal 5 4 2 4 2 4 3" xfId="10863" xr:uid="{00000000-0005-0000-0000-0000702A0000}"/>
    <cellStyle name="Normal 5 4 2 4 2 5" xfId="10864" xr:uid="{00000000-0005-0000-0000-0000712A0000}"/>
    <cellStyle name="Normal 5 4 2 4 2 5 2" xfId="10865" xr:uid="{00000000-0005-0000-0000-0000722A0000}"/>
    <cellStyle name="Normal 5 4 2 4 2 6" xfId="10866" xr:uid="{00000000-0005-0000-0000-0000732A0000}"/>
    <cellStyle name="Normal 5 4 2 4 3" xfId="10867" xr:uid="{00000000-0005-0000-0000-0000742A0000}"/>
    <cellStyle name="Normal 5 4 2 4 3 2" xfId="10868" xr:uid="{00000000-0005-0000-0000-0000752A0000}"/>
    <cellStyle name="Normal 5 4 2 4 3 2 2" xfId="10869" xr:uid="{00000000-0005-0000-0000-0000762A0000}"/>
    <cellStyle name="Normal 5 4 2 4 3 2 2 2" xfId="10870" xr:uid="{00000000-0005-0000-0000-0000772A0000}"/>
    <cellStyle name="Normal 5 4 2 4 3 2 2 2 2" xfId="10871" xr:uid="{00000000-0005-0000-0000-0000782A0000}"/>
    <cellStyle name="Normal 5 4 2 4 3 2 2 3" xfId="10872" xr:uid="{00000000-0005-0000-0000-0000792A0000}"/>
    <cellStyle name="Normal 5 4 2 4 3 2 3" xfId="10873" xr:uid="{00000000-0005-0000-0000-00007A2A0000}"/>
    <cellStyle name="Normal 5 4 2 4 3 2 3 2" xfId="10874" xr:uid="{00000000-0005-0000-0000-00007B2A0000}"/>
    <cellStyle name="Normal 5 4 2 4 3 2 4" xfId="10875" xr:uid="{00000000-0005-0000-0000-00007C2A0000}"/>
    <cellStyle name="Normal 5 4 2 4 3 3" xfId="10876" xr:uid="{00000000-0005-0000-0000-00007D2A0000}"/>
    <cellStyle name="Normal 5 4 2 4 3 3 2" xfId="10877" xr:uid="{00000000-0005-0000-0000-00007E2A0000}"/>
    <cellStyle name="Normal 5 4 2 4 3 3 2 2" xfId="10878" xr:uid="{00000000-0005-0000-0000-00007F2A0000}"/>
    <cellStyle name="Normal 5 4 2 4 3 3 3" xfId="10879" xr:uid="{00000000-0005-0000-0000-0000802A0000}"/>
    <cellStyle name="Normal 5 4 2 4 3 4" xfId="10880" xr:uid="{00000000-0005-0000-0000-0000812A0000}"/>
    <cellStyle name="Normal 5 4 2 4 3 4 2" xfId="10881" xr:uid="{00000000-0005-0000-0000-0000822A0000}"/>
    <cellStyle name="Normal 5 4 2 4 3 5" xfId="10882" xr:uid="{00000000-0005-0000-0000-0000832A0000}"/>
    <cellStyle name="Normal 5 4 2 4 4" xfId="10883" xr:uid="{00000000-0005-0000-0000-0000842A0000}"/>
    <cellStyle name="Normal 5 4 2 4 4 2" xfId="10884" xr:uid="{00000000-0005-0000-0000-0000852A0000}"/>
    <cellStyle name="Normal 5 4 2 4 4 2 2" xfId="10885" xr:uid="{00000000-0005-0000-0000-0000862A0000}"/>
    <cellStyle name="Normal 5 4 2 4 4 2 2 2" xfId="10886" xr:uid="{00000000-0005-0000-0000-0000872A0000}"/>
    <cellStyle name="Normal 5 4 2 4 4 2 3" xfId="10887" xr:uid="{00000000-0005-0000-0000-0000882A0000}"/>
    <cellStyle name="Normal 5 4 2 4 4 3" xfId="10888" xr:uid="{00000000-0005-0000-0000-0000892A0000}"/>
    <cellStyle name="Normal 5 4 2 4 4 3 2" xfId="10889" xr:uid="{00000000-0005-0000-0000-00008A2A0000}"/>
    <cellStyle name="Normal 5 4 2 4 4 4" xfId="10890" xr:uid="{00000000-0005-0000-0000-00008B2A0000}"/>
    <cellStyle name="Normal 5 4 2 4 5" xfId="10891" xr:uid="{00000000-0005-0000-0000-00008C2A0000}"/>
    <cellStyle name="Normal 5 4 2 4 5 2" xfId="10892" xr:uid="{00000000-0005-0000-0000-00008D2A0000}"/>
    <cellStyle name="Normal 5 4 2 4 5 2 2" xfId="10893" xr:uid="{00000000-0005-0000-0000-00008E2A0000}"/>
    <cellStyle name="Normal 5 4 2 4 5 3" xfId="10894" xr:uid="{00000000-0005-0000-0000-00008F2A0000}"/>
    <cellStyle name="Normal 5 4 2 4 6" xfId="10895" xr:uid="{00000000-0005-0000-0000-0000902A0000}"/>
    <cellStyle name="Normal 5 4 2 4 6 2" xfId="10896" xr:uid="{00000000-0005-0000-0000-0000912A0000}"/>
    <cellStyle name="Normal 5 4 2 4 7" xfId="10897" xr:uid="{00000000-0005-0000-0000-0000922A0000}"/>
    <cellStyle name="Normal 5 4 2 5" xfId="10898" xr:uid="{00000000-0005-0000-0000-0000932A0000}"/>
    <cellStyle name="Normal 5 4 2 5 2" xfId="10899" xr:uid="{00000000-0005-0000-0000-0000942A0000}"/>
    <cellStyle name="Normal 5 4 2 5 2 2" xfId="10900" xr:uid="{00000000-0005-0000-0000-0000952A0000}"/>
    <cellStyle name="Normal 5 4 2 5 2 2 2" xfId="10901" xr:uid="{00000000-0005-0000-0000-0000962A0000}"/>
    <cellStyle name="Normal 5 4 2 5 2 2 2 2" xfId="10902" xr:uid="{00000000-0005-0000-0000-0000972A0000}"/>
    <cellStyle name="Normal 5 4 2 5 2 2 2 2 2" xfId="10903" xr:uid="{00000000-0005-0000-0000-0000982A0000}"/>
    <cellStyle name="Normal 5 4 2 5 2 2 2 3" xfId="10904" xr:uid="{00000000-0005-0000-0000-0000992A0000}"/>
    <cellStyle name="Normal 5 4 2 5 2 2 3" xfId="10905" xr:uid="{00000000-0005-0000-0000-00009A2A0000}"/>
    <cellStyle name="Normal 5 4 2 5 2 2 3 2" xfId="10906" xr:uid="{00000000-0005-0000-0000-00009B2A0000}"/>
    <cellStyle name="Normal 5 4 2 5 2 2 4" xfId="10907" xr:uid="{00000000-0005-0000-0000-00009C2A0000}"/>
    <cellStyle name="Normal 5 4 2 5 2 3" xfId="10908" xr:uid="{00000000-0005-0000-0000-00009D2A0000}"/>
    <cellStyle name="Normal 5 4 2 5 2 3 2" xfId="10909" xr:uid="{00000000-0005-0000-0000-00009E2A0000}"/>
    <cellStyle name="Normal 5 4 2 5 2 3 2 2" xfId="10910" xr:uid="{00000000-0005-0000-0000-00009F2A0000}"/>
    <cellStyle name="Normal 5 4 2 5 2 3 3" xfId="10911" xr:uid="{00000000-0005-0000-0000-0000A02A0000}"/>
    <cellStyle name="Normal 5 4 2 5 2 4" xfId="10912" xr:uid="{00000000-0005-0000-0000-0000A12A0000}"/>
    <cellStyle name="Normal 5 4 2 5 2 4 2" xfId="10913" xr:uid="{00000000-0005-0000-0000-0000A22A0000}"/>
    <cellStyle name="Normal 5 4 2 5 2 5" xfId="10914" xr:uid="{00000000-0005-0000-0000-0000A32A0000}"/>
    <cellStyle name="Normal 5 4 2 5 3" xfId="10915" xr:uid="{00000000-0005-0000-0000-0000A42A0000}"/>
    <cellStyle name="Normal 5 4 2 5 3 2" xfId="10916" xr:uid="{00000000-0005-0000-0000-0000A52A0000}"/>
    <cellStyle name="Normal 5 4 2 5 3 2 2" xfId="10917" xr:uid="{00000000-0005-0000-0000-0000A62A0000}"/>
    <cellStyle name="Normal 5 4 2 5 3 2 2 2" xfId="10918" xr:uid="{00000000-0005-0000-0000-0000A72A0000}"/>
    <cellStyle name="Normal 5 4 2 5 3 2 3" xfId="10919" xr:uid="{00000000-0005-0000-0000-0000A82A0000}"/>
    <cellStyle name="Normal 5 4 2 5 3 3" xfId="10920" xr:uid="{00000000-0005-0000-0000-0000A92A0000}"/>
    <cellStyle name="Normal 5 4 2 5 3 3 2" xfId="10921" xr:uid="{00000000-0005-0000-0000-0000AA2A0000}"/>
    <cellStyle name="Normal 5 4 2 5 3 4" xfId="10922" xr:uid="{00000000-0005-0000-0000-0000AB2A0000}"/>
    <cellStyle name="Normal 5 4 2 5 4" xfId="10923" xr:uid="{00000000-0005-0000-0000-0000AC2A0000}"/>
    <cellStyle name="Normal 5 4 2 5 4 2" xfId="10924" xr:uid="{00000000-0005-0000-0000-0000AD2A0000}"/>
    <cellStyle name="Normal 5 4 2 5 4 2 2" xfId="10925" xr:uid="{00000000-0005-0000-0000-0000AE2A0000}"/>
    <cellStyle name="Normal 5 4 2 5 4 3" xfId="10926" xr:uid="{00000000-0005-0000-0000-0000AF2A0000}"/>
    <cellStyle name="Normal 5 4 2 5 5" xfId="10927" xr:uid="{00000000-0005-0000-0000-0000B02A0000}"/>
    <cellStyle name="Normal 5 4 2 5 5 2" xfId="10928" xr:uid="{00000000-0005-0000-0000-0000B12A0000}"/>
    <cellStyle name="Normal 5 4 2 5 6" xfId="10929" xr:uid="{00000000-0005-0000-0000-0000B22A0000}"/>
    <cellStyle name="Normal 5 4 2 6" xfId="10930" xr:uid="{00000000-0005-0000-0000-0000B32A0000}"/>
    <cellStyle name="Normal 5 4 2 6 2" xfId="10931" xr:uid="{00000000-0005-0000-0000-0000B42A0000}"/>
    <cellStyle name="Normal 5 4 2 6 2 2" xfId="10932" xr:uid="{00000000-0005-0000-0000-0000B52A0000}"/>
    <cellStyle name="Normal 5 4 2 6 2 2 2" xfId="10933" xr:uid="{00000000-0005-0000-0000-0000B62A0000}"/>
    <cellStyle name="Normal 5 4 2 6 2 2 2 2" xfId="10934" xr:uid="{00000000-0005-0000-0000-0000B72A0000}"/>
    <cellStyle name="Normal 5 4 2 6 2 2 3" xfId="10935" xr:uid="{00000000-0005-0000-0000-0000B82A0000}"/>
    <cellStyle name="Normal 5 4 2 6 2 3" xfId="10936" xr:uid="{00000000-0005-0000-0000-0000B92A0000}"/>
    <cellStyle name="Normal 5 4 2 6 2 3 2" xfId="10937" xr:uid="{00000000-0005-0000-0000-0000BA2A0000}"/>
    <cellStyle name="Normal 5 4 2 6 2 4" xfId="10938" xr:uid="{00000000-0005-0000-0000-0000BB2A0000}"/>
    <cellStyle name="Normal 5 4 2 6 3" xfId="10939" xr:uid="{00000000-0005-0000-0000-0000BC2A0000}"/>
    <cellStyle name="Normal 5 4 2 6 3 2" xfId="10940" xr:uid="{00000000-0005-0000-0000-0000BD2A0000}"/>
    <cellStyle name="Normal 5 4 2 6 3 2 2" xfId="10941" xr:uid="{00000000-0005-0000-0000-0000BE2A0000}"/>
    <cellStyle name="Normal 5 4 2 6 3 3" xfId="10942" xr:uid="{00000000-0005-0000-0000-0000BF2A0000}"/>
    <cellStyle name="Normal 5 4 2 6 4" xfId="10943" xr:uid="{00000000-0005-0000-0000-0000C02A0000}"/>
    <cellStyle name="Normal 5 4 2 6 4 2" xfId="10944" xr:uid="{00000000-0005-0000-0000-0000C12A0000}"/>
    <cellStyle name="Normal 5 4 2 6 5" xfId="10945" xr:uid="{00000000-0005-0000-0000-0000C22A0000}"/>
    <cellStyle name="Normal 5 4 2 7" xfId="10946" xr:uid="{00000000-0005-0000-0000-0000C32A0000}"/>
    <cellStyle name="Normal 5 4 2 7 2" xfId="10947" xr:uid="{00000000-0005-0000-0000-0000C42A0000}"/>
    <cellStyle name="Normal 5 4 2 7 2 2" xfId="10948" xr:uid="{00000000-0005-0000-0000-0000C52A0000}"/>
    <cellStyle name="Normal 5 4 2 7 2 2 2" xfId="10949" xr:uid="{00000000-0005-0000-0000-0000C62A0000}"/>
    <cellStyle name="Normal 5 4 2 7 2 3" xfId="10950" xr:uid="{00000000-0005-0000-0000-0000C72A0000}"/>
    <cellStyle name="Normal 5 4 2 7 3" xfId="10951" xr:uid="{00000000-0005-0000-0000-0000C82A0000}"/>
    <cellStyle name="Normal 5 4 2 7 3 2" xfId="10952" xr:uid="{00000000-0005-0000-0000-0000C92A0000}"/>
    <cellStyle name="Normal 5 4 2 7 4" xfId="10953" xr:uid="{00000000-0005-0000-0000-0000CA2A0000}"/>
    <cellStyle name="Normal 5 4 2 8" xfId="10954" xr:uid="{00000000-0005-0000-0000-0000CB2A0000}"/>
    <cellStyle name="Normal 5 4 2 8 2" xfId="10955" xr:uid="{00000000-0005-0000-0000-0000CC2A0000}"/>
    <cellStyle name="Normal 5 4 2 8 2 2" xfId="10956" xr:uid="{00000000-0005-0000-0000-0000CD2A0000}"/>
    <cellStyle name="Normal 5 4 2 8 3" xfId="10957" xr:uid="{00000000-0005-0000-0000-0000CE2A0000}"/>
    <cellStyle name="Normal 5 4 2 9" xfId="10958" xr:uid="{00000000-0005-0000-0000-0000CF2A0000}"/>
    <cellStyle name="Normal 5 4 2 9 2" xfId="10959" xr:uid="{00000000-0005-0000-0000-0000D02A0000}"/>
    <cellStyle name="Normal 5 4 3" xfId="10960" xr:uid="{00000000-0005-0000-0000-0000D12A0000}"/>
    <cellStyle name="Normal 5 4 3 2" xfId="10961" xr:uid="{00000000-0005-0000-0000-0000D22A0000}"/>
    <cellStyle name="Normal 5 4 3 2 2" xfId="10962" xr:uid="{00000000-0005-0000-0000-0000D32A0000}"/>
    <cellStyle name="Normal 5 4 3 2 2 2" xfId="10963" xr:uid="{00000000-0005-0000-0000-0000D42A0000}"/>
    <cellStyle name="Normal 5 4 3 2 2 2 2" xfId="10964" xr:uid="{00000000-0005-0000-0000-0000D52A0000}"/>
    <cellStyle name="Normal 5 4 3 2 2 2 2 2" xfId="10965" xr:uid="{00000000-0005-0000-0000-0000D62A0000}"/>
    <cellStyle name="Normal 5 4 3 2 2 2 2 2 2" xfId="10966" xr:uid="{00000000-0005-0000-0000-0000D72A0000}"/>
    <cellStyle name="Normal 5 4 3 2 2 2 2 2 2 2" xfId="10967" xr:uid="{00000000-0005-0000-0000-0000D82A0000}"/>
    <cellStyle name="Normal 5 4 3 2 2 2 2 2 2 2 2" xfId="10968" xr:uid="{00000000-0005-0000-0000-0000D92A0000}"/>
    <cellStyle name="Normal 5 4 3 2 2 2 2 2 2 3" xfId="10969" xr:uid="{00000000-0005-0000-0000-0000DA2A0000}"/>
    <cellStyle name="Normal 5 4 3 2 2 2 2 2 3" xfId="10970" xr:uid="{00000000-0005-0000-0000-0000DB2A0000}"/>
    <cellStyle name="Normal 5 4 3 2 2 2 2 2 3 2" xfId="10971" xr:uid="{00000000-0005-0000-0000-0000DC2A0000}"/>
    <cellStyle name="Normal 5 4 3 2 2 2 2 2 4" xfId="10972" xr:uid="{00000000-0005-0000-0000-0000DD2A0000}"/>
    <cellStyle name="Normal 5 4 3 2 2 2 2 3" xfId="10973" xr:uid="{00000000-0005-0000-0000-0000DE2A0000}"/>
    <cellStyle name="Normal 5 4 3 2 2 2 2 3 2" xfId="10974" xr:uid="{00000000-0005-0000-0000-0000DF2A0000}"/>
    <cellStyle name="Normal 5 4 3 2 2 2 2 3 2 2" xfId="10975" xr:uid="{00000000-0005-0000-0000-0000E02A0000}"/>
    <cellStyle name="Normal 5 4 3 2 2 2 2 3 3" xfId="10976" xr:uid="{00000000-0005-0000-0000-0000E12A0000}"/>
    <cellStyle name="Normal 5 4 3 2 2 2 2 4" xfId="10977" xr:uid="{00000000-0005-0000-0000-0000E22A0000}"/>
    <cellStyle name="Normal 5 4 3 2 2 2 2 4 2" xfId="10978" xr:uid="{00000000-0005-0000-0000-0000E32A0000}"/>
    <cellStyle name="Normal 5 4 3 2 2 2 2 5" xfId="10979" xr:uid="{00000000-0005-0000-0000-0000E42A0000}"/>
    <cellStyle name="Normal 5 4 3 2 2 2 3" xfId="10980" xr:uid="{00000000-0005-0000-0000-0000E52A0000}"/>
    <cellStyle name="Normal 5 4 3 2 2 2 3 2" xfId="10981" xr:uid="{00000000-0005-0000-0000-0000E62A0000}"/>
    <cellStyle name="Normal 5 4 3 2 2 2 3 2 2" xfId="10982" xr:uid="{00000000-0005-0000-0000-0000E72A0000}"/>
    <cellStyle name="Normal 5 4 3 2 2 2 3 2 2 2" xfId="10983" xr:uid="{00000000-0005-0000-0000-0000E82A0000}"/>
    <cellStyle name="Normal 5 4 3 2 2 2 3 2 3" xfId="10984" xr:uid="{00000000-0005-0000-0000-0000E92A0000}"/>
    <cellStyle name="Normal 5 4 3 2 2 2 3 3" xfId="10985" xr:uid="{00000000-0005-0000-0000-0000EA2A0000}"/>
    <cellStyle name="Normal 5 4 3 2 2 2 3 3 2" xfId="10986" xr:uid="{00000000-0005-0000-0000-0000EB2A0000}"/>
    <cellStyle name="Normal 5 4 3 2 2 2 3 4" xfId="10987" xr:uid="{00000000-0005-0000-0000-0000EC2A0000}"/>
    <cellStyle name="Normal 5 4 3 2 2 2 4" xfId="10988" xr:uid="{00000000-0005-0000-0000-0000ED2A0000}"/>
    <cellStyle name="Normal 5 4 3 2 2 2 4 2" xfId="10989" xr:uid="{00000000-0005-0000-0000-0000EE2A0000}"/>
    <cellStyle name="Normal 5 4 3 2 2 2 4 2 2" xfId="10990" xr:uid="{00000000-0005-0000-0000-0000EF2A0000}"/>
    <cellStyle name="Normal 5 4 3 2 2 2 4 3" xfId="10991" xr:uid="{00000000-0005-0000-0000-0000F02A0000}"/>
    <cellStyle name="Normal 5 4 3 2 2 2 5" xfId="10992" xr:uid="{00000000-0005-0000-0000-0000F12A0000}"/>
    <cellStyle name="Normal 5 4 3 2 2 2 5 2" xfId="10993" xr:uid="{00000000-0005-0000-0000-0000F22A0000}"/>
    <cellStyle name="Normal 5 4 3 2 2 2 6" xfId="10994" xr:uid="{00000000-0005-0000-0000-0000F32A0000}"/>
    <cellStyle name="Normal 5 4 3 2 2 3" xfId="10995" xr:uid="{00000000-0005-0000-0000-0000F42A0000}"/>
    <cellStyle name="Normal 5 4 3 2 2 3 2" xfId="10996" xr:uid="{00000000-0005-0000-0000-0000F52A0000}"/>
    <cellStyle name="Normal 5 4 3 2 2 3 2 2" xfId="10997" xr:uid="{00000000-0005-0000-0000-0000F62A0000}"/>
    <cellStyle name="Normal 5 4 3 2 2 3 2 2 2" xfId="10998" xr:uid="{00000000-0005-0000-0000-0000F72A0000}"/>
    <cellStyle name="Normal 5 4 3 2 2 3 2 2 2 2" xfId="10999" xr:uid="{00000000-0005-0000-0000-0000F82A0000}"/>
    <cellStyle name="Normal 5 4 3 2 2 3 2 2 3" xfId="11000" xr:uid="{00000000-0005-0000-0000-0000F92A0000}"/>
    <cellStyle name="Normal 5 4 3 2 2 3 2 3" xfId="11001" xr:uid="{00000000-0005-0000-0000-0000FA2A0000}"/>
    <cellStyle name="Normal 5 4 3 2 2 3 2 3 2" xfId="11002" xr:uid="{00000000-0005-0000-0000-0000FB2A0000}"/>
    <cellStyle name="Normal 5 4 3 2 2 3 2 4" xfId="11003" xr:uid="{00000000-0005-0000-0000-0000FC2A0000}"/>
    <cellStyle name="Normal 5 4 3 2 2 3 3" xfId="11004" xr:uid="{00000000-0005-0000-0000-0000FD2A0000}"/>
    <cellStyle name="Normal 5 4 3 2 2 3 3 2" xfId="11005" xr:uid="{00000000-0005-0000-0000-0000FE2A0000}"/>
    <cellStyle name="Normal 5 4 3 2 2 3 3 2 2" xfId="11006" xr:uid="{00000000-0005-0000-0000-0000FF2A0000}"/>
    <cellStyle name="Normal 5 4 3 2 2 3 3 3" xfId="11007" xr:uid="{00000000-0005-0000-0000-0000002B0000}"/>
    <cellStyle name="Normal 5 4 3 2 2 3 4" xfId="11008" xr:uid="{00000000-0005-0000-0000-0000012B0000}"/>
    <cellStyle name="Normal 5 4 3 2 2 3 4 2" xfId="11009" xr:uid="{00000000-0005-0000-0000-0000022B0000}"/>
    <cellStyle name="Normal 5 4 3 2 2 3 5" xfId="11010" xr:uid="{00000000-0005-0000-0000-0000032B0000}"/>
    <cellStyle name="Normal 5 4 3 2 2 4" xfId="11011" xr:uid="{00000000-0005-0000-0000-0000042B0000}"/>
    <cellStyle name="Normal 5 4 3 2 2 4 2" xfId="11012" xr:uid="{00000000-0005-0000-0000-0000052B0000}"/>
    <cellStyle name="Normal 5 4 3 2 2 4 2 2" xfId="11013" xr:uid="{00000000-0005-0000-0000-0000062B0000}"/>
    <cellStyle name="Normal 5 4 3 2 2 4 2 2 2" xfId="11014" xr:uid="{00000000-0005-0000-0000-0000072B0000}"/>
    <cellStyle name="Normal 5 4 3 2 2 4 2 3" xfId="11015" xr:uid="{00000000-0005-0000-0000-0000082B0000}"/>
    <cellStyle name="Normal 5 4 3 2 2 4 3" xfId="11016" xr:uid="{00000000-0005-0000-0000-0000092B0000}"/>
    <cellStyle name="Normal 5 4 3 2 2 4 3 2" xfId="11017" xr:uid="{00000000-0005-0000-0000-00000A2B0000}"/>
    <cellStyle name="Normal 5 4 3 2 2 4 4" xfId="11018" xr:uid="{00000000-0005-0000-0000-00000B2B0000}"/>
    <cellStyle name="Normal 5 4 3 2 2 5" xfId="11019" xr:uid="{00000000-0005-0000-0000-00000C2B0000}"/>
    <cellStyle name="Normal 5 4 3 2 2 5 2" xfId="11020" xr:uid="{00000000-0005-0000-0000-00000D2B0000}"/>
    <cellStyle name="Normal 5 4 3 2 2 5 2 2" xfId="11021" xr:uid="{00000000-0005-0000-0000-00000E2B0000}"/>
    <cellStyle name="Normal 5 4 3 2 2 5 3" xfId="11022" xr:uid="{00000000-0005-0000-0000-00000F2B0000}"/>
    <cellStyle name="Normal 5 4 3 2 2 6" xfId="11023" xr:uid="{00000000-0005-0000-0000-0000102B0000}"/>
    <cellStyle name="Normal 5 4 3 2 2 6 2" xfId="11024" xr:uid="{00000000-0005-0000-0000-0000112B0000}"/>
    <cellStyle name="Normal 5 4 3 2 2 7" xfId="11025" xr:uid="{00000000-0005-0000-0000-0000122B0000}"/>
    <cellStyle name="Normal 5 4 3 2 3" xfId="11026" xr:uid="{00000000-0005-0000-0000-0000132B0000}"/>
    <cellStyle name="Normal 5 4 3 2 3 2" xfId="11027" xr:uid="{00000000-0005-0000-0000-0000142B0000}"/>
    <cellStyle name="Normal 5 4 3 2 3 2 2" xfId="11028" xr:uid="{00000000-0005-0000-0000-0000152B0000}"/>
    <cellStyle name="Normal 5 4 3 2 3 2 2 2" xfId="11029" xr:uid="{00000000-0005-0000-0000-0000162B0000}"/>
    <cellStyle name="Normal 5 4 3 2 3 2 2 2 2" xfId="11030" xr:uid="{00000000-0005-0000-0000-0000172B0000}"/>
    <cellStyle name="Normal 5 4 3 2 3 2 2 2 2 2" xfId="11031" xr:uid="{00000000-0005-0000-0000-0000182B0000}"/>
    <cellStyle name="Normal 5 4 3 2 3 2 2 2 3" xfId="11032" xr:uid="{00000000-0005-0000-0000-0000192B0000}"/>
    <cellStyle name="Normal 5 4 3 2 3 2 2 3" xfId="11033" xr:uid="{00000000-0005-0000-0000-00001A2B0000}"/>
    <cellStyle name="Normal 5 4 3 2 3 2 2 3 2" xfId="11034" xr:uid="{00000000-0005-0000-0000-00001B2B0000}"/>
    <cellStyle name="Normal 5 4 3 2 3 2 2 4" xfId="11035" xr:uid="{00000000-0005-0000-0000-00001C2B0000}"/>
    <cellStyle name="Normal 5 4 3 2 3 2 3" xfId="11036" xr:uid="{00000000-0005-0000-0000-00001D2B0000}"/>
    <cellStyle name="Normal 5 4 3 2 3 2 3 2" xfId="11037" xr:uid="{00000000-0005-0000-0000-00001E2B0000}"/>
    <cellStyle name="Normal 5 4 3 2 3 2 3 2 2" xfId="11038" xr:uid="{00000000-0005-0000-0000-00001F2B0000}"/>
    <cellStyle name="Normal 5 4 3 2 3 2 3 3" xfId="11039" xr:uid="{00000000-0005-0000-0000-0000202B0000}"/>
    <cellStyle name="Normal 5 4 3 2 3 2 4" xfId="11040" xr:uid="{00000000-0005-0000-0000-0000212B0000}"/>
    <cellStyle name="Normal 5 4 3 2 3 2 4 2" xfId="11041" xr:uid="{00000000-0005-0000-0000-0000222B0000}"/>
    <cellStyle name="Normal 5 4 3 2 3 2 5" xfId="11042" xr:uid="{00000000-0005-0000-0000-0000232B0000}"/>
    <cellStyle name="Normal 5 4 3 2 3 3" xfId="11043" xr:uid="{00000000-0005-0000-0000-0000242B0000}"/>
    <cellStyle name="Normal 5 4 3 2 3 3 2" xfId="11044" xr:uid="{00000000-0005-0000-0000-0000252B0000}"/>
    <cellStyle name="Normal 5 4 3 2 3 3 2 2" xfId="11045" xr:uid="{00000000-0005-0000-0000-0000262B0000}"/>
    <cellStyle name="Normal 5 4 3 2 3 3 2 2 2" xfId="11046" xr:uid="{00000000-0005-0000-0000-0000272B0000}"/>
    <cellStyle name="Normal 5 4 3 2 3 3 2 3" xfId="11047" xr:uid="{00000000-0005-0000-0000-0000282B0000}"/>
    <cellStyle name="Normal 5 4 3 2 3 3 3" xfId="11048" xr:uid="{00000000-0005-0000-0000-0000292B0000}"/>
    <cellStyle name="Normal 5 4 3 2 3 3 3 2" xfId="11049" xr:uid="{00000000-0005-0000-0000-00002A2B0000}"/>
    <cellStyle name="Normal 5 4 3 2 3 3 4" xfId="11050" xr:uid="{00000000-0005-0000-0000-00002B2B0000}"/>
    <cellStyle name="Normal 5 4 3 2 3 4" xfId="11051" xr:uid="{00000000-0005-0000-0000-00002C2B0000}"/>
    <cellStyle name="Normal 5 4 3 2 3 4 2" xfId="11052" xr:uid="{00000000-0005-0000-0000-00002D2B0000}"/>
    <cellStyle name="Normal 5 4 3 2 3 4 2 2" xfId="11053" xr:uid="{00000000-0005-0000-0000-00002E2B0000}"/>
    <cellStyle name="Normal 5 4 3 2 3 4 3" xfId="11054" xr:uid="{00000000-0005-0000-0000-00002F2B0000}"/>
    <cellStyle name="Normal 5 4 3 2 3 5" xfId="11055" xr:uid="{00000000-0005-0000-0000-0000302B0000}"/>
    <cellStyle name="Normal 5 4 3 2 3 5 2" xfId="11056" xr:uid="{00000000-0005-0000-0000-0000312B0000}"/>
    <cellStyle name="Normal 5 4 3 2 3 6" xfId="11057" xr:uid="{00000000-0005-0000-0000-0000322B0000}"/>
    <cellStyle name="Normal 5 4 3 2 4" xfId="11058" xr:uid="{00000000-0005-0000-0000-0000332B0000}"/>
    <cellStyle name="Normal 5 4 3 2 4 2" xfId="11059" xr:uid="{00000000-0005-0000-0000-0000342B0000}"/>
    <cellStyle name="Normal 5 4 3 2 4 2 2" xfId="11060" xr:uid="{00000000-0005-0000-0000-0000352B0000}"/>
    <cellStyle name="Normal 5 4 3 2 4 2 2 2" xfId="11061" xr:uid="{00000000-0005-0000-0000-0000362B0000}"/>
    <cellStyle name="Normal 5 4 3 2 4 2 2 2 2" xfId="11062" xr:uid="{00000000-0005-0000-0000-0000372B0000}"/>
    <cellStyle name="Normal 5 4 3 2 4 2 2 3" xfId="11063" xr:uid="{00000000-0005-0000-0000-0000382B0000}"/>
    <cellStyle name="Normal 5 4 3 2 4 2 3" xfId="11064" xr:uid="{00000000-0005-0000-0000-0000392B0000}"/>
    <cellStyle name="Normal 5 4 3 2 4 2 3 2" xfId="11065" xr:uid="{00000000-0005-0000-0000-00003A2B0000}"/>
    <cellStyle name="Normal 5 4 3 2 4 2 4" xfId="11066" xr:uid="{00000000-0005-0000-0000-00003B2B0000}"/>
    <cellStyle name="Normal 5 4 3 2 4 3" xfId="11067" xr:uid="{00000000-0005-0000-0000-00003C2B0000}"/>
    <cellStyle name="Normal 5 4 3 2 4 3 2" xfId="11068" xr:uid="{00000000-0005-0000-0000-00003D2B0000}"/>
    <cellStyle name="Normal 5 4 3 2 4 3 2 2" xfId="11069" xr:uid="{00000000-0005-0000-0000-00003E2B0000}"/>
    <cellStyle name="Normal 5 4 3 2 4 3 3" xfId="11070" xr:uid="{00000000-0005-0000-0000-00003F2B0000}"/>
    <cellStyle name="Normal 5 4 3 2 4 4" xfId="11071" xr:uid="{00000000-0005-0000-0000-0000402B0000}"/>
    <cellStyle name="Normal 5 4 3 2 4 4 2" xfId="11072" xr:uid="{00000000-0005-0000-0000-0000412B0000}"/>
    <cellStyle name="Normal 5 4 3 2 4 5" xfId="11073" xr:uid="{00000000-0005-0000-0000-0000422B0000}"/>
    <cellStyle name="Normal 5 4 3 2 5" xfId="11074" xr:uid="{00000000-0005-0000-0000-0000432B0000}"/>
    <cellStyle name="Normal 5 4 3 2 5 2" xfId="11075" xr:uid="{00000000-0005-0000-0000-0000442B0000}"/>
    <cellStyle name="Normal 5 4 3 2 5 2 2" xfId="11076" xr:uid="{00000000-0005-0000-0000-0000452B0000}"/>
    <cellStyle name="Normal 5 4 3 2 5 2 2 2" xfId="11077" xr:uid="{00000000-0005-0000-0000-0000462B0000}"/>
    <cellStyle name="Normal 5 4 3 2 5 2 3" xfId="11078" xr:uid="{00000000-0005-0000-0000-0000472B0000}"/>
    <cellStyle name="Normal 5 4 3 2 5 3" xfId="11079" xr:uid="{00000000-0005-0000-0000-0000482B0000}"/>
    <cellStyle name="Normal 5 4 3 2 5 3 2" xfId="11080" xr:uid="{00000000-0005-0000-0000-0000492B0000}"/>
    <cellStyle name="Normal 5 4 3 2 5 4" xfId="11081" xr:uid="{00000000-0005-0000-0000-00004A2B0000}"/>
    <cellStyle name="Normal 5 4 3 2 6" xfId="11082" xr:uid="{00000000-0005-0000-0000-00004B2B0000}"/>
    <cellStyle name="Normal 5 4 3 2 6 2" xfId="11083" xr:uid="{00000000-0005-0000-0000-00004C2B0000}"/>
    <cellStyle name="Normal 5 4 3 2 6 2 2" xfId="11084" xr:uid="{00000000-0005-0000-0000-00004D2B0000}"/>
    <cellStyle name="Normal 5 4 3 2 6 3" xfId="11085" xr:uid="{00000000-0005-0000-0000-00004E2B0000}"/>
    <cellStyle name="Normal 5 4 3 2 7" xfId="11086" xr:uid="{00000000-0005-0000-0000-00004F2B0000}"/>
    <cellStyle name="Normal 5 4 3 2 7 2" xfId="11087" xr:uid="{00000000-0005-0000-0000-0000502B0000}"/>
    <cellStyle name="Normal 5 4 3 2 8" xfId="11088" xr:uid="{00000000-0005-0000-0000-0000512B0000}"/>
    <cellStyle name="Normal 5 4 3 3" xfId="11089" xr:uid="{00000000-0005-0000-0000-0000522B0000}"/>
    <cellStyle name="Normal 5 4 3 3 2" xfId="11090" xr:uid="{00000000-0005-0000-0000-0000532B0000}"/>
    <cellStyle name="Normal 5 4 3 3 2 2" xfId="11091" xr:uid="{00000000-0005-0000-0000-0000542B0000}"/>
    <cellStyle name="Normal 5 4 3 3 2 2 2" xfId="11092" xr:uid="{00000000-0005-0000-0000-0000552B0000}"/>
    <cellStyle name="Normal 5 4 3 3 2 2 2 2" xfId="11093" xr:uid="{00000000-0005-0000-0000-0000562B0000}"/>
    <cellStyle name="Normal 5 4 3 3 2 2 2 2 2" xfId="11094" xr:uid="{00000000-0005-0000-0000-0000572B0000}"/>
    <cellStyle name="Normal 5 4 3 3 2 2 2 2 2 2" xfId="11095" xr:uid="{00000000-0005-0000-0000-0000582B0000}"/>
    <cellStyle name="Normal 5 4 3 3 2 2 2 2 3" xfId="11096" xr:uid="{00000000-0005-0000-0000-0000592B0000}"/>
    <cellStyle name="Normal 5 4 3 3 2 2 2 3" xfId="11097" xr:uid="{00000000-0005-0000-0000-00005A2B0000}"/>
    <cellStyle name="Normal 5 4 3 3 2 2 2 3 2" xfId="11098" xr:uid="{00000000-0005-0000-0000-00005B2B0000}"/>
    <cellStyle name="Normal 5 4 3 3 2 2 2 4" xfId="11099" xr:uid="{00000000-0005-0000-0000-00005C2B0000}"/>
    <cellStyle name="Normal 5 4 3 3 2 2 3" xfId="11100" xr:uid="{00000000-0005-0000-0000-00005D2B0000}"/>
    <cellStyle name="Normal 5 4 3 3 2 2 3 2" xfId="11101" xr:uid="{00000000-0005-0000-0000-00005E2B0000}"/>
    <cellStyle name="Normal 5 4 3 3 2 2 3 2 2" xfId="11102" xr:uid="{00000000-0005-0000-0000-00005F2B0000}"/>
    <cellStyle name="Normal 5 4 3 3 2 2 3 3" xfId="11103" xr:uid="{00000000-0005-0000-0000-0000602B0000}"/>
    <cellStyle name="Normal 5 4 3 3 2 2 4" xfId="11104" xr:uid="{00000000-0005-0000-0000-0000612B0000}"/>
    <cellStyle name="Normal 5 4 3 3 2 2 4 2" xfId="11105" xr:uid="{00000000-0005-0000-0000-0000622B0000}"/>
    <cellStyle name="Normal 5 4 3 3 2 2 5" xfId="11106" xr:uid="{00000000-0005-0000-0000-0000632B0000}"/>
    <cellStyle name="Normal 5 4 3 3 2 3" xfId="11107" xr:uid="{00000000-0005-0000-0000-0000642B0000}"/>
    <cellStyle name="Normal 5 4 3 3 2 3 2" xfId="11108" xr:uid="{00000000-0005-0000-0000-0000652B0000}"/>
    <cellStyle name="Normal 5 4 3 3 2 3 2 2" xfId="11109" xr:uid="{00000000-0005-0000-0000-0000662B0000}"/>
    <cellStyle name="Normal 5 4 3 3 2 3 2 2 2" xfId="11110" xr:uid="{00000000-0005-0000-0000-0000672B0000}"/>
    <cellStyle name="Normal 5 4 3 3 2 3 2 3" xfId="11111" xr:uid="{00000000-0005-0000-0000-0000682B0000}"/>
    <cellStyle name="Normal 5 4 3 3 2 3 3" xfId="11112" xr:uid="{00000000-0005-0000-0000-0000692B0000}"/>
    <cellStyle name="Normal 5 4 3 3 2 3 3 2" xfId="11113" xr:uid="{00000000-0005-0000-0000-00006A2B0000}"/>
    <cellStyle name="Normal 5 4 3 3 2 3 4" xfId="11114" xr:uid="{00000000-0005-0000-0000-00006B2B0000}"/>
    <cellStyle name="Normal 5 4 3 3 2 4" xfId="11115" xr:uid="{00000000-0005-0000-0000-00006C2B0000}"/>
    <cellStyle name="Normal 5 4 3 3 2 4 2" xfId="11116" xr:uid="{00000000-0005-0000-0000-00006D2B0000}"/>
    <cellStyle name="Normal 5 4 3 3 2 4 2 2" xfId="11117" xr:uid="{00000000-0005-0000-0000-00006E2B0000}"/>
    <cellStyle name="Normal 5 4 3 3 2 4 3" xfId="11118" xr:uid="{00000000-0005-0000-0000-00006F2B0000}"/>
    <cellStyle name="Normal 5 4 3 3 2 5" xfId="11119" xr:uid="{00000000-0005-0000-0000-0000702B0000}"/>
    <cellStyle name="Normal 5 4 3 3 2 5 2" xfId="11120" xr:uid="{00000000-0005-0000-0000-0000712B0000}"/>
    <cellStyle name="Normal 5 4 3 3 2 6" xfId="11121" xr:uid="{00000000-0005-0000-0000-0000722B0000}"/>
    <cellStyle name="Normal 5 4 3 3 3" xfId="11122" xr:uid="{00000000-0005-0000-0000-0000732B0000}"/>
    <cellStyle name="Normal 5 4 3 3 3 2" xfId="11123" xr:uid="{00000000-0005-0000-0000-0000742B0000}"/>
    <cellStyle name="Normal 5 4 3 3 3 2 2" xfId="11124" xr:uid="{00000000-0005-0000-0000-0000752B0000}"/>
    <cellStyle name="Normal 5 4 3 3 3 2 2 2" xfId="11125" xr:uid="{00000000-0005-0000-0000-0000762B0000}"/>
    <cellStyle name="Normal 5 4 3 3 3 2 2 2 2" xfId="11126" xr:uid="{00000000-0005-0000-0000-0000772B0000}"/>
    <cellStyle name="Normal 5 4 3 3 3 2 2 3" xfId="11127" xr:uid="{00000000-0005-0000-0000-0000782B0000}"/>
    <cellStyle name="Normal 5 4 3 3 3 2 3" xfId="11128" xr:uid="{00000000-0005-0000-0000-0000792B0000}"/>
    <cellStyle name="Normal 5 4 3 3 3 2 3 2" xfId="11129" xr:uid="{00000000-0005-0000-0000-00007A2B0000}"/>
    <cellStyle name="Normal 5 4 3 3 3 2 4" xfId="11130" xr:uid="{00000000-0005-0000-0000-00007B2B0000}"/>
    <cellStyle name="Normal 5 4 3 3 3 3" xfId="11131" xr:uid="{00000000-0005-0000-0000-00007C2B0000}"/>
    <cellStyle name="Normal 5 4 3 3 3 3 2" xfId="11132" xr:uid="{00000000-0005-0000-0000-00007D2B0000}"/>
    <cellStyle name="Normal 5 4 3 3 3 3 2 2" xfId="11133" xr:uid="{00000000-0005-0000-0000-00007E2B0000}"/>
    <cellStyle name="Normal 5 4 3 3 3 3 3" xfId="11134" xr:uid="{00000000-0005-0000-0000-00007F2B0000}"/>
    <cellStyle name="Normal 5 4 3 3 3 4" xfId="11135" xr:uid="{00000000-0005-0000-0000-0000802B0000}"/>
    <cellStyle name="Normal 5 4 3 3 3 4 2" xfId="11136" xr:uid="{00000000-0005-0000-0000-0000812B0000}"/>
    <cellStyle name="Normal 5 4 3 3 3 5" xfId="11137" xr:uid="{00000000-0005-0000-0000-0000822B0000}"/>
    <cellStyle name="Normal 5 4 3 3 4" xfId="11138" xr:uid="{00000000-0005-0000-0000-0000832B0000}"/>
    <cellStyle name="Normal 5 4 3 3 4 2" xfId="11139" xr:uid="{00000000-0005-0000-0000-0000842B0000}"/>
    <cellStyle name="Normal 5 4 3 3 4 2 2" xfId="11140" xr:uid="{00000000-0005-0000-0000-0000852B0000}"/>
    <cellStyle name="Normal 5 4 3 3 4 2 2 2" xfId="11141" xr:uid="{00000000-0005-0000-0000-0000862B0000}"/>
    <cellStyle name="Normal 5 4 3 3 4 2 3" xfId="11142" xr:uid="{00000000-0005-0000-0000-0000872B0000}"/>
    <cellStyle name="Normal 5 4 3 3 4 3" xfId="11143" xr:uid="{00000000-0005-0000-0000-0000882B0000}"/>
    <cellStyle name="Normal 5 4 3 3 4 3 2" xfId="11144" xr:uid="{00000000-0005-0000-0000-0000892B0000}"/>
    <cellStyle name="Normal 5 4 3 3 4 4" xfId="11145" xr:uid="{00000000-0005-0000-0000-00008A2B0000}"/>
    <cellStyle name="Normal 5 4 3 3 5" xfId="11146" xr:uid="{00000000-0005-0000-0000-00008B2B0000}"/>
    <cellStyle name="Normal 5 4 3 3 5 2" xfId="11147" xr:uid="{00000000-0005-0000-0000-00008C2B0000}"/>
    <cellStyle name="Normal 5 4 3 3 5 2 2" xfId="11148" xr:uid="{00000000-0005-0000-0000-00008D2B0000}"/>
    <cellStyle name="Normal 5 4 3 3 5 3" xfId="11149" xr:uid="{00000000-0005-0000-0000-00008E2B0000}"/>
    <cellStyle name="Normal 5 4 3 3 6" xfId="11150" xr:uid="{00000000-0005-0000-0000-00008F2B0000}"/>
    <cellStyle name="Normal 5 4 3 3 6 2" xfId="11151" xr:uid="{00000000-0005-0000-0000-0000902B0000}"/>
    <cellStyle name="Normal 5 4 3 3 7" xfId="11152" xr:uid="{00000000-0005-0000-0000-0000912B0000}"/>
    <cellStyle name="Normal 5 4 3 4" xfId="11153" xr:uid="{00000000-0005-0000-0000-0000922B0000}"/>
    <cellStyle name="Normal 5 4 3 4 2" xfId="11154" xr:uid="{00000000-0005-0000-0000-0000932B0000}"/>
    <cellStyle name="Normal 5 4 3 4 2 2" xfId="11155" xr:uid="{00000000-0005-0000-0000-0000942B0000}"/>
    <cellStyle name="Normal 5 4 3 4 2 2 2" xfId="11156" xr:uid="{00000000-0005-0000-0000-0000952B0000}"/>
    <cellStyle name="Normal 5 4 3 4 2 2 2 2" xfId="11157" xr:uid="{00000000-0005-0000-0000-0000962B0000}"/>
    <cellStyle name="Normal 5 4 3 4 2 2 2 2 2" xfId="11158" xr:uid="{00000000-0005-0000-0000-0000972B0000}"/>
    <cellStyle name="Normal 5 4 3 4 2 2 2 3" xfId="11159" xr:uid="{00000000-0005-0000-0000-0000982B0000}"/>
    <cellStyle name="Normal 5 4 3 4 2 2 3" xfId="11160" xr:uid="{00000000-0005-0000-0000-0000992B0000}"/>
    <cellStyle name="Normal 5 4 3 4 2 2 3 2" xfId="11161" xr:uid="{00000000-0005-0000-0000-00009A2B0000}"/>
    <cellStyle name="Normal 5 4 3 4 2 2 4" xfId="11162" xr:uid="{00000000-0005-0000-0000-00009B2B0000}"/>
    <cellStyle name="Normal 5 4 3 4 2 3" xfId="11163" xr:uid="{00000000-0005-0000-0000-00009C2B0000}"/>
    <cellStyle name="Normal 5 4 3 4 2 3 2" xfId="11164" xr:uid="{00000000-0005-0000-0000-00009D2B0000}"/>
    <cellStyle name="Normal 5 4 3 4 2 3 2 2" xfId="11165" xr:uid="{00000000-0005-0000-0000-00009E2B0000}"/>
    <cellStyle name="Normal 5 4 3 4 2 3 3" xfId="11166" xr:uid="{00000000-0005-0000-0000-00009F2B0000}"/>
    <cellStyle name="Normal 5 4 3 4 2 4" xfId="11167" xr:uid="{00000000-0005-0000-0000-0000A02B0000}"/>
    <cellStyle name="Normal 5 4 3 4 2 4 2" xfId="11168" xr:uid="{00000000-0005-0000-0000-0000A12B0000}"/>
    <cellStyle name="Normal 5 4 3 4 2 5" xfId="11169" xr:uid="{00000000-0005-0000-0000-0000A22B0000}"/>
    <cellStyle name="Normal 5 4 3 4 3" xfId="11170" xr:uid="{00000000-0005-0000-0000-0000A32B0000}"/>
    <cellStyle name="Normal 5 4 3 4 3 2" xfId="11171" xr:uid="{00000000-0005-0000-0000-0000A42B0000}"/>
    <cellStyle name="Normal 5 4 3 4 3 2 2" xfId="11172" xr:uid="{00000000-0005-0000-0000-0000A52B0000}"/>
    <cellStyle name="Normal 5 4 3 4 3 2 2 2" xfId="11173" xr:uid="{00000000-0005-0000-0000-0000A62B0000}"/>
    <cellStyle name="Normal 5 4 3 4 3 2 3" xfId="11174" xr:uid="{00000000-0005-0000-0000-0000A72B0000}"/>
    <cellStyle name="Normal 5 4 3 4 3 3" xfId="11175" xr:uid="{00000000-0005-0000-0000-0000A82B0000}"/>
    <cellStyle name="Normal 5 4 3 4 3 3 2" xfId="11176" xr:uid="{00000000-0005-0000-0000-0000A92B0000}"/>
    <cellStyle name="Normal 5 4 3 4 3 4" xfId="11177" xr:uid="{00000000-0005-0000-0000-0000AA2B0000}"/>
    <cellStyle name="Normal 5 4 3 4 4" xfId="11178" xr:uid="{00000000-0005-0000-0000-0000AB2B0000}"/>
    <cellStyle name="Normal 5 4 3 4 4 2" xfId="11179" xr:uid="{00000000-0005-0000-0000-0000AC2B0000}"/>
    <cellStyle name="Normal 5 4 3 4 4 2 2" xfId="11180" xr:uid="{00000000-0005-0000-0000-0000AD2B0000}"/>
    <cellStyle name="Normal 5 4 3 4 4 3" xfId="11181" xr:uid="{00000000-0005-0000-0000-0000AE2B0000}"/>
    <cellStyle name="Normal 5 4 3 4 5" xfId="11182" xr:uid="{00000000-0005-0000-0000-0000AF2B0000}"/>
    <cellStyle name="Normal 5 4 3 4 5 2" xfId="11183" xr:uid="{00000000-0005-0000-0000-0000B02B0000}"/>
    <cellStyle name="Normal 5 4 3 4 6" xfId="11184" xr:uid="{00000000-0005-0000-0000-0000B12B0000}"/>
    <cellStyle name="Normal 5 4 3 5" xfId="11185" xr:uid="{00000000-0005-0000-0000-0000B22B0000}"/>
    <cellStyle name="Normal 5 4 3 5 2" xfId="11186" xr:uid="{00000000-0005-0000-0000-0000B32B0000}"/>
    <cellStyle name="Normal 5 4 3 5 2 2" xfId="11187" xr:uid="{00000000-0005-0000-0000-0000B42B0000}"/>
    <cellStyle name="Normal 5 4 3 5 2 2 2" xfId="11188" xr:uid="{00000000-0005-0000-0000-0000B52B0000}"/>
    <cellStyle name="Normal 5 4 3 5 2 2 2 2" xfId="11189" xr:uid="{00000000-0005-0000-0000-0000B62B0000}"/>
    <cellStyle name="Normal 5 4 3 5 2 2 3" xfId="11190" xr:uid="{00000000-0005-0000-0000-0000B72B0000}"/>
    <cellStyle name="Normal 5 4 3 5 2 3" xfId="11191" xr:uid="{00000000-0005-0000-0000-0000B82B0000}"/>
    <cellStyle name="Normal 5 4 3 5 2 3 2" xfId="11192" xr:uid="{00000000-0005-0000-0000-0000B92B0000}"/>
    <cellStyle name="Normal 5 4 3 5 2 4" xfId="11193" xr:uid="{00000000-0005-0000-0000-0000BA2B0000}"/>
    <cellStyle name="Normal 5 4 3 5 3" xfId="11194" xr:uid="{00000000-0005-0000-0000-0000BB2B0000}"/>
    <cellStyle name="Normal 5 4 3 5 3 2" xfId="11195" xr:uid="{00000000-0005-0000-0000-0000BC2B0000}"/>
    <cellStyle name="Normal 5 4 3 5 3 2 2" xfId="11196" xr:uid="{00000000-0005-0000-0000-0000BD2B0000}"/>
    <cellStyle name="Normal 5 4 3 5 3 3" xfId="11197" xr:uid="{00000000-0005-0000-0000-0000BE2B0000}"/>
    <cellStyle name="Normal 5 4 3 5 4" xfId="11198" xr:uid="{00000000-0005-0000-0000-0000BF2B0000}"/>
    <cellStyle name="Normal 5 4 3 5 4 2" xfId="11199" xr:uid="{00000000-0005-0000-0000-0000C02B0000}"/>
    <cellStyle name="Normal 5 4 3 5 5" xfId="11200" xr:uid="{00000000-0005-0000-0000-0000C12B0000}"/>
    <cellStyle name="Normal 5 4 3 6" xfId="11201" xr:uid="{00000000-0005-0000-0000-0000C22B0000}"/>
    <cellStyle name="Normal 5 4 3 6 2" xfId="11202" xr:uid="{00000000-0005-0000-0000-0000C32B0000}"/>
    <cellStyle name="Normal 5 4 3 6 2 2" xfId="11203" xr:uid="{00000000-0005-0000-0000-0000C42B0000}"/>
    <cellStyle name="Normal 5 4 3 6 2 2 2" xfId="11204" xr:uid="{00000000-0005-0000-0000-0000C52B0000}"/>
    <cellStyle name="Normal 5 4 3 6 2 3" xfId="11205" xr:uid="{00000000-0005-0000-0000-0000C62B0000}"/>
    <cellStyle name="Normal 5 4 3 6 3" xfId="11206" xr:uid="{00000000-0005-0000-0000-0000C72B0000}"/>
    <cellStyle name="Normal 5 4 3 6 3 2" xfId="11207" xr:uid="{00000000-0005-0000-0000-0000C82B0000}"/>
    <cellStyle name="Normal 5 4 3 6 4" xfId="11208" xr:uid="{00000000-0005-0000-0000-0000C92B0000}"/>
    <cellStyle name="Normal 5 4 3 7" xfId="11209" xr:uid="{00000000-0005-0000-0000-0000CA2B0000}"/>
    <cellStyle name="Normal 5 4 3 7 2" xfId="11210" xr:uid="{00000000-0005-0000-0000-0000CB2B0000}"/>
    <cellStyle name="Normal 5 4 3 7 2 2" xfId="11211" xr:uid="{00000000-0005-0000-0000-0000CC2B0000}"/>
    <cellStyle name="Normal 5 4 3 7 3" xfId="11212" xr:uid="{00000000-0005-0000-0000-0000CD2B0000}"/>
    <cellStyle name="Normal 5 4 3 8" xfId="11213" xr:uid="{00000000-0005-0000-0000-0000CE2B0000}"/>
    <cellStyle name="Normal 5 4 3 8 2" xfId="11214" xr:uid="{00000000-0005-0000-0000-0000CF2B0000}"/>
    <cellStyle name="Normal 5 4 3 9" xfId="11215" xr:uid="{00000000-0005-0000-0000-0000D02B0000}"/>
    <cellStyle name="Normal 5 4 4" xfId="11216" xr:uid="{00000000-0005-0000-0000-0000D12B0000}"/>
    <cellStyle name="Normal 5 4 4 2" xfId="11217" xr:uid="{00000000-0005-0000-0000-0000D22B0000}"/>
    <cellStyle name="Normal 5 4 4 2 2" xfId="11218" xr:uid="{00000000-0005-0000-0000-0000D32B0000}"/>
    <cellStyle name="Normal 5 4 4 2 2 2" xfId="11219" xr:uid="{00000000-0005-0000-0000-0000D42B0000}"/>
    <cellStyle name="Normal 5 4 4 2 2 2 2" xfId="11220" xr:uid="{00000000-0005-0000-0000-0000D52B0000}"/>
    <cellStyle name="Normal 5 4 4 2 2 2 2 2" xfId="11221" xr:uid="{00000000-0005-0000-0000-0000D62B0000}"/>
    <cellStyle name="Normal 5 4 4 2 2 2 2 2 2" xfId="11222" xr:uid="{00000000-0005-0000-0000-0000D72B0000}"/>
    <cellStyle name="Normal 5 4 4 2 2 2 2 2 2 2" xfId="11223" xr:uid="{00000000-0005-0000-0000-0000D82B0000}"/>
    <cellStyle name="Normal 5 4 4 2 2 2 2 2 3" xfId="11224" xr:uid="{00000000-0005-0000-0000-0000D92B0000}"/>
    <cellStyle name="Normal 5 4 4 2 2 2 2 3" xfId="11225" xr:uid="{00000000-0005-0000-0000-0000DA2B0000}"/>
    <cellStyle name="Normal 5 4 4 2 2 2 2 3 2" xfId="11226" xr:uid="{00000000-0005-0000-0000-0000DB2B0000}"/>
    <cellStyle name="Normal 5 4 4 2 2 2 2 4" xfId="11227" xr:uid="{00000000-0005-0000-0000-0000DC2B0000}"/>
    <cellStyle name="Normal 5 4 4 2 2 2 3" xfId="11228" xr:uid="{00000000-0005-0000-0000-0000DD2B0000}"/>
    <cellStyle name="Normal 5 4 4 2 2 2 3 2" xfId="11229" xr:uid="{00000000-0005-0000-0000-0000DE2B0000}"/>
    <cellStyle name="Normal 5 4 4 2 2 2 3 2 2" xfId="11230" xr:uid="{00000000-0005-0000-0000-0000DF2B0000}"/>
    <cellStyle name="Normal 5 4 4 2 2 2 3 3" xfId="11231" xr:uid="{00000000-0005-0000-0000-0000E02B0000}"/>
    <cellStyle name="Normal 5 4 4 2 2 2 4" xfId="11232" xr:uid="{00000000-0005-0000-0000-0000E12B0000}"/>
    <cellStyle name="Normal 5 4 4 2 2 2 4 2" xfId="11233" xr:uid="{00000000-0005-0000-0000-0000E22B0000}"/>
    <cellStyle name="Normal 5 4 4 2 2 2 5" xfId="11234" xr:uid="{00000000-0005-0000-0000-0000E32B0000}"/>
    <cellStyle name="Normal 5 4 4 2 2 3" xfId="11235" xr:uid="{00000000-0005-0000-0000-0000E42B0000}"/>
    <cellStyle name="Normal 5 4 4 2 2 3 2" xfId="11236" xr:uid="{00000000-0005-0000-0000-0000E52B0000}"/>
    <cellStyle name="Normal 5 4 4 2 2 3 2 2" xfId="11237" xr:uid="{00000000-0005-0000-0000-0000E62B0000}"/>
    <cellStyle name="Normal 5 4 4 2 2 3 2 2 2" xfId="11238" xr:uid="{00000000-0005-0000-0000-0000E72B0000}"/>
    <cellStyle name="Normal 5 4 4 2 2 3 2 3" xfId="11239" xr:uid="{00000000-0005-0000-0000-0000E82B0000}"/>
    <cellStyle name="Normal 5 4 4 2 2 3 3" xfId="11240" xr:uid="{00000000-0005-0000-0000-0000E92B0000}"/>
    <cellStyle name="Normal 5 4 4 2 2 3 3 2" xfId="11241" xr:uid="{00000000-0005-0000-0000-0000EA2B0000}"/>
    <cellStyle name="Normal 5 4 4 2 2 3 4" xfId="11242" xr:uid="{00000000-0005-0000-0000-0000EB2B0000}"/>
    <cellStyle name="Normal 5 4 4 2 2 4" xfId="11243" xr:uid="{00000000-0005-0000-0000-0000EC2B0000}"/>
    <cellStyle name="Normal 5 4 4 2 2 4 2" xfId="11244" xr:uid="{00000000-0005-0000-0000-0000ED2B0000}"/>
    <cellStyle name="Normal 5 4 4 2 2 4 2 2" xfId="11245" xr:uid="{00000000-0005-0000-0000-0000EE2B0000}"/>
    <cellStyle name="Normal 5 4 4 2 2 4 3" xfId="11246" xr:uid="{00000000-0005-0000-0000-0000EF2B0000}"/>
    <cellStyle name="Normal 5 4 4 2 2 5" xfId="11247" xr:uid="{00000000-0005-0000-0000-0000F02B0000}"/>
    <cellStyle name="Normal 5 4 4 2 2 5 2" xfId="11248" xr:uid="{00000000-0005-0000-0000-0000F12B0000}"/>
    <cellStyle name="Normal 5 4 4 2 2 6" xfId="11249" xr:uid="{00000000-0005-0000-0000-0000F22B0000}"/>
    <cellStyle name="Normal 5 4 4 2 3" xfId="11250" xr:uid="{00000000-0005-0000-0000-0000F32B0000}"/>
    <cellStyle name="Normal 5 4 4 2 3 2" xfId="11251" xr:uid="{00000000-0005-0000-0000-0000F42B0000}"/>
    <cellStyle name="Normal 5 4 4 2 3 2 2" xfId="11252" xr:uid="{00000000-0005-0000-0000-0000F52B0000}"/>
    <cellStyle name="Normal 5 4 4 2 3 2 2 2" xfId="11253" xr:uid="{00000000-0005-0000-0000-0000F62B0000}"/>
    <cellStyle name="Normal 5 4 4 2 3 2 2 2 2" xfId="11254" xr:uid="{00000000-0005-0000-0000-0000F72B0000}"/>
    <cellStyle name="Normal 5 4 4 2 3 2 2 3" xfId="11255" xr:uid="{00000000-0005-0000-0000-0000F82B0000}"/>
    <cellStyle name="Normal 5 4 4 2 3 2 3" xfId="11256" xr:uid="{00000000-0005-0000-0000-0000F92B0000}"/>
    <cellStyle name="Normal 5 4 4 2 3 2 3 2" xfId="11257" xr:uid="{00000000-0005-0000-0000-0000FA2B0000}"/>
    <cellStyle name="Normal 5 4 4 2 3 2 4" xfId="11258" xr:uid="{00000000-0005-0000-0000-0000FB2B0000}"/>
    <cellStyle name="Normal 5 4 4 2 3 3" xfId="11259" xr:uid="{00000000-0005-0000-0000-0000FC2B0000}"/>
    <cellStyle name="Normal 5 4 4 2 3 3 2" xfId="11260" xr:uid="{00000000-0005-0000-0000-0000FD2B0000}"/>
    <cellStyle name="Normal 5 4 4 2 3 3 2 2" xfId="11261" xr:uid="{00000000-0005-0000-0000-0000FE2B0000}"/>
    <cellStyle name="Normal 5 4 4 2 3 3 3" xfId="11262" xr:uid="{00000000-0005-0000-0000-0000FF2B0000}"/>
    <cellStyle name="Normal 5 4 4 2 3 4" xfId="11263" xr:uid="{00000000-0005-0000-0000-0000002C0000}"/>
    <cellStyle name="Normal 5 4 4 2 3 4 2" xfId="11264" xr:uid="{00000000-0005-0000-0000-0000012C0000}"/>
    <cellStyle name="Normal 5 4 4 2 3 5" xfId="11265" xr:uid="{00000000-0005-0000-0000-0000022C0000}"/>
    <cellStyle name="Normal 5 4 4 2 4" xfId="11266" xr:uid="{00000000-0005-0000-0000-0000032C0000}"/>
    <cellStyle name="Normal 5 4 4 2 4 2" xfId="11267" xr:uid="{00000000-0005-0000-0000-0000042C0000}"/>
    <cellStyle name="Normal 5 4 4 2 4 2 2" xfId="11268" xr:uid="{00000000-0005-0000-0000-0000052C0000}"/>
    <cellStyle name="Normal 5 4 4 2 4 2 2 2" xfId="11269" xr:uid="{00000000-0005-0000-0000-0000062C0000}"/>
    <cellStyle name="Normal 5 4 4 2 4 2 3" xfId="11270" xr:uid="{00000000-0005-0000-0000-0000072C0000}"/>
    <cellStyle name="Normal 5 4 4 2 4 3" xfId="11271" xr:uid="{00000000-0005-0000-0000-0000082C0000}"/>
    <cellStyle name="Normal 5 4 4 2 4 3 2" xfId="11272" xr:uid="{00000000-0005-0000-0000-0000092C0000}"/>
    <cellStyle name="Normal 5 4 4 2 4 4" xfId="11273" xr:uid="{00000000-0005-0000-0000-00000A2C0000}"/>
    <cellStyle name="Normal 5 4 4 2 5" xfId="11274" xr:uid="{00000000-0005-0000-0000-00000B2C0000}"/>
    <cellStyle name="Normal 5 4 4 2 5 2" xfId="11275" xr:uid="{00000000-0005-0000-0000-00000C2C0000}"/>
    <cellStyle name="Normal 5 4 4 2 5 2 2" xfId="11276" xr:uid="{00000000-0005-0000-0000-00000D2C0000}"/>
    <cellStyle name="Normal 5 4 4 2 5 3" xfId="11277" xr:uid="{00000000-0005-0000-0000-00000E2C0000}"/>
    <cellStyle name="Normal 5 4 4 2 6" xfId="11278" xr:uid="{00000000-0005-0000-0000-00000F2C0000}"/>
    <cellStyle name="Normal 5 4 4 2 6 2" xfId="11279" xr:uid="{00000000-0005-0000-0000-0000102C0000}"/>
    <cellStyle name="Normal 5 4 4 2 7" xfId="11280" xr:uid="{00000000-0005-0000-0000-0000112C0000}"/>
    <cellStyle name="Normal 5 4 4 3" xfId="11281" xr:uid="{00000000-0005-0000-0000-0000122C0000}"/>
    <cellStyle name="Normal 5 4 4 3 2" xfId="11282" xr:uid="{00000000-0005-0000-0000-0000132C0000}"/>
    <cellStyle name="Normal 5 4 4 3 2 2" xfId="11283" xr:uid="{00000000-0005-0000-0000-0000142C0000}"/>
    <cellStyle name="Normal 5 4 4 3 2 2 2" xfId="11284" xr:uid="{00000000-0005-0000-0000-0000152C0000}"/>
    <cellStyle name="Normal 5 4 4 3 2 2 2 2" xfId="11285" xr:uid="{00000000-0005-0000-0000-0000162C0000}"/>
    <cellStyle name="Normal 5 4 4 3 2 2 2 2 2" xfId="11286" xr:uid="{00000000-0005-0000-0000-0000172C0000}"/>
    <cellStyle name="Normal 5 4 4 3 2 2 2 3" xfId="11287" xr:uid="{00000000-0005-0000-0000-0000182C0000}"/>
    <cellStyle name="Normal 5 4 4 3 2 2 3" xfId="11288" xr:uid="{00000000-0005-0000-0000-0000192C0000}"/>
    <cellStyle name="Normal 5 4 4 3 2 2 3 2" xfId="11289" xr:uid="{00000000-0005-0000-0000-00001A2C0000}"/>
    <cellStyle name="Normal 5 4 4 3 2 2 4" xfId="11290" xr:uid="{00000000-0005-0000-0000-00001B2C0000}"/>
    <cellStyle name="Normal 5 4 4 3 2 3" xfId="11291" xr:uid="{00000000-0005-0000-0000-00001C2C0000}"/>
    <cellStyle name="Normal 5 4 4 3 2 3 2" xfId="11292" xr:uid="{00000000-0005-0000-0000-00001D2C0000}"/>
    <cellStyle name="Normal 5 4 4 3 2 3 2 2" xfId="11293" xr:uid="{00000000-0005-0000-0000-00001E2C0000}"/>
    <cellStyle name="Normal 5 4 4 3 2 3 3" xfId="11294" xr:uid="{00000000-0005-0000-0000-00001F2C0000}"/>
    <cellStyle name="Normal 5 4 4 3 2 4" xfId="11295" xr:uid="{00000000-0005-0000-0000-0000202C0000}"/>
    <cellStyle name="Normal 5 4 4 3 2 4 2" xfId="11296" xr:uid="{00000000-0005-0000-0000-0000212C0000}"/>
    <cellStyle name="Normal 5 4 4 3 2 5" xfId="11297" xr:uid="{00000000-0005-0000-0000-0000222C0000}"/>
    <cellStyle name="Normal 5 4 4 3 3" xfId="11298" xr:uid="{00000000-0005-0000-0000-0000232C0000}"/>
    <cellStyle name="Normal 5 4 4 3 3 2" xfId="11299" xr:uid="{00000000-0005-0000-0000-0000242C0000}"/>
    <cellStyle name="Normal 5 4 4 3 3 2 2" xfId="11300" xr:uid="{00000000-0005-0000-0000-0000252C0000}"/>
    <cellStyle name="Normal 5 4 4 3 3 2 2 2" xfId="11301" xr:uid="{00000000-0005-0000-0000-0000262C0000}"/>
    <cellStyle name="Normal 5 4 4 3 3 2 3" xfId="11302" xr:uid="{00000000-0005-0000-0000-0000272C0000}"/>
    <cellStyle name="Normal 5 4 4 3 3 3" xfId="11303" xr:uid="{00000000-0005-0000-0000-0000282C0000}"/>
    <cellStyle name="Normal 5 4 4 3 3 3 2" xfId="11304" xr:uid="{00000000-0005-0000-0000-0000292C0000}"/>
    <cellStyle name="Normal 5 4 4 3 3 4" xfId="11305" xr:uid="{00000000-0005-0000-0000-00002A2C0000}"/>
    <cellStyle name="Normal 5 4 4 3 4" xfId="11306" xr:uid="{00000000-0005-0000-0000-00002B2C0000}"/>
    <cellStyle name="Normal 5 4 4 3 4 2" xfId="11307" xr:uid="{00000000-0005-0000-0000-00002C2C0000}"/>
    <cellStyle name="Normal 5 4 4 3 4 2 2" xfId="11308" xr:uid="{00000000-0005-0000-0000-00002D2C0000}"/>
    <cellStyle name="Normal 5 4 4 3 4 3" xfId="11309" xr:uid="{00000000-0005-0000-0000-00002E2C0000}"/>
    <cellStyle name="Normal 5 4 4 3 5" xfId="11310" xr:uid="{00000000-0005-0000-0000-00002F2C0000}"/>
    <cellStyle name="Normal 5 4 4 3 5 2" xfId="11311" xr:uid="{00000000-0005-0000-0000-0000302C0000}"/>
    <cellStyle name="Normal 5 4 4 3 6" xfId="11312" xr:uid="{00000000-0005-0000-0000-0000312C0000}"/>
    <cellStyle name="Normal 5 4 4 4" xfId="11313" xr:uid="{00000000-0005-0000-0000-0000322C0000}"/>
    <cellStyle name="Normal 5 4 4 4 2" xfId="11314" xr:uid="{00000000-0005-0000-0000-0000332C0000}"/>
    <cellStyle name="Normal 5 4 4 4 2 2" xfId="11315" xr:uid="{00000000-0005-0000-0000-0000342C0000}"/>
    <cellStyle name="Normal 5 4 4 4 2 2 2" xfId="11316" xr:uid="{00000000-0005-0000-0000-0000352C0000}"/>
    <cellStyle name="Normal 5 4 4 4 2 2 2 2" xfId="11317" xr:uid="{00000000-0005-0000-0000-0000362C0000}"/>
    <cellStyle name="Normal 5 4 4 4 2 2 3" xfId="11318" xr:uid="{00000000-0005-0000-0000-0000372C0000}"/>
    <cellStyle name="Normal 5 4 4 4 2 3" xfId="11319" xr:uid="{00000000-0005-0000-0000-0000382C0000}"/>
    <cellStyle name="Normal 5 4 4 4 2 3 2" xfId="11320" xr:uid="{00000000-0005-0000-0000-0000392C0000}"/>
    <cellStyle name="Normal 5 4 4 4 2 4" xfId="11321" xr:uid="{00000000-0005-0000-0000-00003A2C0000}"/>
    <cellStyle name="Normal 5 4 4 4 3" xfId="11322" xr:uid="{00000000-0005-0000-0000-00003B2C0000}"/>
    <cellStyle name="Normal 5 4 4 4 3 2" xfId="11323" xr:uid="{00000000-0005-0000-0000-00003C2C0000}"/>
    <cellStyle name="Normal 5 4 4 4 3 2 2" xfId="11324" xr:uid="{00000000-0005-0000-0000-00003D2C0000}"/>
    <cellStyle name="Normal 5 4 4 4 3 3" xfId="11325" xr:uid="{00000000-0005-0000-0000-00003E2C0000}"/>
    <cellStyle name="Normal 5 4 4 4 4" xfId="11326" xr:uid="{00000000-0005-0000-0000-00003F2C0000}"/>
    <cellStyle name="Normal 5 4 4 4 4 2" xfId="11327" xr:uid="{00000000-0005-0000-0000-0000402C0000}"/>
    <cellStyle name="Normal 5 4 4 4 5" xfId="11328" xr:uid="{00000000-0005-0000-0000-0000412C0000}"/>
    <cellStyle name="Normal 5 4 4 5" xfId="11329" xr:uid="{00000000-0005-0000-0000-0000422C0000}"/>
    <cellStyle name="Normal 5 4 4 5 2" xfId="11330" xr:uid="{00000000-0005-0000-0000-0000432C0000}"/>
    <cellStyle name="Normal 5 4 4 5 2 2" xfId="11331" xr:uid="{00000000-0005-0000-0000-0000442C0000}"/>
    <cellStyle name="Normal 5 4 4 5 2 2 2" xfId="11332" xr:uid="{00000000-0005-0000-0000-0000452C0000}"/>
    <cellStyle name="Normal 5 4 4 5 2 3" xfId="11333" xr:uid="{00000000-0005-0000-0000-0000462C0000}"/>
    <cellStyle name="Normal 5 4 4 5 3" xfId="11334" xr:uid="{00000000-0005-0000-0000-0000472C0000}"/>
    <cellStyle name="Normal 5 4 4 5 3 2" xfId="11335" xr:uid="{00000000-0005-0000-0000-0000482C0000}"/>
    <cellStyle name="Normal 5 4 4 5 4" xfId="11336" xr:uid="{00000000-0005-0000-0000-0000492C0000}"/>
    <cellStyle name="Normal 5 4 4 6" xfId="11337" xr:uid="{00000000-0005-0000-0000-00004A2C0000}"/>
    <cellStyle name="Normal 5 4 4 6 2" xfId="11338" xr:uid="{00000000-0005-0000-0000-00004B2C0000}"/>
    <cellStyle name="Normal 5 4 4 6 2 2" xfId="11339" xr:uid="{00000000-0005-0000-0000-00004C2C0000}"/>
    <cellStyle name="Normal 5 4 4 6 3" xfId="11340" xr:uid="{00000000-0005-0000-0000-00004D2C0000}"/>
    <cellStyle name="Normal 5 4 4 7" xfId="11341" xr:uid="{00000000-0005-0000-0000-00004E2C0000}"/>
    <cellStyle name="Normal 5 4 4 7 2" xfId="11342" xr:uid="{00000000-0005-0000-0000-00004F2C0000}"/>
    <cellStyle name="Normal 5 4 4 8" xfId="11343" xr:uid="{00000000-0005-0000-0000-0000502C0000}"/>
    <cellStyle name="Normal 5 4 5" xfId="11344" xr:uid="{00000000-0005-0000-0000-0000512C0000}"/>
    <cellStyle name="Normal 5 4 5 2" xfId="11345" xr:uid="{00000000-0005-0000-0000-0000522C0000}"/>
    <cellStyle name="Normal 5 4 5 2 2" xfId="11346" xr:uid="{00000000-0005-0000-0000-0000532C0000}"/>
    <cellStyle name="Normal 5 4 5 2 2 2" xfId="11347" xr:uid="{00000000-0005-0000-0000-0000542C0000}"/>
    <cellStyle name="Normal 5 4 5 2 2 2 2" xfId="11348" xr:uid="{00000000-0005-0000-0000-0000552C0000}"/>
    <cellStyle name="Normal 5 4 5 2 2 2 2 2" xfId="11349" xr:uid="{00000000-0005-0000-0000-0000562C0000}"/>
    <cellStyle name="Normal 5 4 5 2 2 2 2 2 2" xfId="11350" xr:uid="{00000000-0005-0000-0000-0000572C0000}"/>
    <cellStyle name="Normal 5 4 5 2 2 2 2 3" xfId="11351" xr:uid="{00000000-0005-0000-0000-0000582C0000}"/>
    <cellStyle name="Normal 5 4 5 2 2 2 3" xfId="11352" xr:uid="{00000000-0005-0000-0000-0000592C0000}"/>
    <cellStyle name="Normal 5 4 5 2 2 2 3 2" xfId="11353" xr:uid="{00000000-0005-0000-0000-00005A2C0000}"/>
    <cellStyle name="Normal 5 4 5 2 2 2 4" xfId="11354" xr:uid="{00000000-0005-0000-0000-00005B2C0000}"/>
    <cellStyle name="Normal 5 4 5 2 2 3" xfId="11355" xr:uid="{00000000-0005-0000-0000-00005C2C0000}"/>
    <cellStyle name="Normal 5 4 5 2 2 3 2" xfId="11356" xr:uid="{00000000-0005-0000-0000-00005D2C0000}"/>
    <cellStyle name="Normal 5 4 5 2 2 3 2 2" xfId="11357" xr:uid="{00000000-0005-0000-0000-00005E2C0000}"/>
    <cellStyle name="Normal 5 4 5 2 2 3 3" xfId="11358" xr:uid="{00000000-0005-0000-0000-00005F2C0000}"/>
    <cellStyle name="Normal 5 4 5 2 2 4" xfId="11359" xr:uid="{00000000-0005-0000-0000-0000602C0000}"/>
    <cellStyle name="Normal 5 4 5 2 2 4 2" xfId="11360" xr:uid="{00000000-0005-0000-0000-0000612C0000}"/>
    <cellStyle name="Normal 5 4 5 2 2 5" xfId="11361" xr:uid="{00000000-0005-0000-0000-0000622C0000}"/>
    <cellStyle name="Normal 5 4 5 2 3" xfId="11362" xr:uid="{00000000-0005-0000-0000-0000632C0000}"/>
    <cellStyle name="Normal 5 4 5 2 3 2" xfId="11363" xr:uid="{00000000-0005-0000-0000-0000642C0000}"/>
    <cellStyle name="Normal 5 4 5 2 3 2 2" xfId="11364" xr:uid="{00000000-0005-0000-0000-0000652C0000}"/>
    <cellStyle name="Normal 5 4 5 2 3 2 2 2" xfId="11365" xr:uid="{00000000-0005-0000-0000-0000662C0000}"/>
    <cellStyle name="Normal 5 4 5 2 3 2 3" xfId="11366" xr:uid="{00000000-0005-0000-0000-0000672C0000}"/>
    <cellStyle name="Normal 5 4 5 2 3 3" xfId="11367" xr:uid="{00000000-0005-0000-0000-0000682C0000}"/>
    <cellStyle name="Normal 5 4 5 2 3 3 2" xfId="11368" xr:uid="{00000000-0005-0000-0000-0000692C0000}"/>
    <cellStyle name="Normal 5 4 5 2 3 4" xfId="11369" xr:uid="{00000000-0005-0000-0000-00006A2C0000}"/>
    <cellStyle name="Normal 5 4 5 2 4" xfId="11370" xr:uid="{00000000-0005-0000-0000-00006B2C0000}"/>
    <cellStyle name="Normal 5 4 5 2 4 2" xfId="11371" xr:uid="{00000000-0005-0000-0000-00006C2C0000}"/>
    <cellStyle name="Normal 5 4 5 2 4 2 2" xfId="11372" xr:uid="{00000000-0005-0000-0000-00006D2C0000}"/>
    <cellStyle name="Normal 5 4 5 2 4 3" xfId="11373" xr:uid="{00000000-0005-0000-0000-00006E2C0000}"/>
    <cellStyle name="Normal 5 4 5 2 5" xfId="11374" xr:uid="{00000000-0005-0000-0000-00006F2C0000}"/>
    <cellStyle name="Normal 5 4 5 2 5 2" xfId="11375" xr:uid="{00000000-0005-0000-0000-0000702C0000}"/>
    <cellStyle name="Normal 5 4 5 2 6" xfId="11376" xr:uid="{00000000-0005-0000-0000-0000712C0000}"/>
    <cellStyle name="Normal 5 4 5 3" xfId="11377" xr:uid="{00000000-0005-0000-0000-0000722C0000}"/>
    <cellStyle name="Normal 5 4 5 3 2" xfId="11378" xr:uid="{00000000-0005-0000-0000-0000732C0000}"/>
    <cellStyle name="Normal 5 4 5 3 2 2" xfId="11379" xr:uid="{00000000-0005-0000-0000-0000742C0000}"/>
    <cellStyle name="Normal 5 4 5 3 2 2 2" xfId="11380" xr:uid="{00000000-0005-0000-0000-0000752C0000}"/>
    <cellStyle name="Normal 5 4 5 3 2 2 2 2" xfId="11381" xr:uid="{00000000-0005-0000-0000-0000762C0000}"/>
    <cellStyle name="Normal 5 4 5 3 2 2 3" xfId="11382" xr:uid="{00000000-0005-0000-0000-0000772C0000}"/>
    <cellStyle name="Normal 5 4 5 3 2 3" xfId="11383" xr:uid="{00000000-0005-0000-0000-0000782C0000}"/>
    <cellStyle name="Normal 5 4 5 3 2 3 2" xfId="11384" xr:uid="{00000000-0005-0000-0000-0000792C0000}"/>
    <cellStyle name="Normal 5 4 5 3 2 4" xfId="11385" xr:uid="{00000000-0005-0000-0000-00007A2C0000}"/>
    <cellStyle name="Normal 5 4 5 3 3" xfId="11386" xr:uid="{00000000-0005-0000-0000-00007B2C0000}"/>
    <cellStyle name="Normal 5 4 5 3 3 2" xfId="11387" xr:uid="{00000000-0005-0000-0000-00007C2C0000}"/>
    <cellStyle name="Normal 5 4 5 3 3 2 2" xfId="11388" xr:uid="{00000000-0005-0000-0000-00007D2C0000}"/>
    <cellStyle name="Normal 5 4 5 3 3 3" xfId="11389" xr:uid="{00000000-0005-0000-0000-00007E2C0000}"/>
    <cellStyle name="Normal 5 4 5 3 4" xfId="11390" xr:uid="{00000000-0005-0000-0000-00007F2C0000}"/>
    <cellStyle name="Normal 5 4 5 3 4 2" xfId="11391" xr:uid="{00000000-0005-0000-0000-0000802C0000}"/>
    <cellStyle name="Normal 5 4 5 3 5" xfId="11392" xr:uid="{00000000-0005-0000-0000-0000812C0000}"/>
    <cellStyle name="Normal 5 4 5 4" xfId="11393" xr:uid="{00000000-0005-0000-0000-0000822C0000}"/>
    <cellStyle name="Normal 5 4 5 4 2" xfId="11394" xr:uid="{00000000-0005-0000-0000-0000832C0000}"/>
    <cellStyle name="Normal 5 4 5 4 2 2" xfId="11395" xr:uid="{00000000-0005-0000-0000-0000842C0000}"/>
    <cellStyle name="Normal 5 4 5 4 2 2 2" xfId="11396" xr:uid="{00000000-0005-0000-0000-0000852C0000}"/>
    <cellStyle name="Normal 5 4 5 4 2 3" xfId="11397" xr:uid="{00000000-0005-0000-0000-0000862C0000}"/>
    <cellStyle name="Normal 5 4 5 4 3" xfId="11398" xr:uid="{00000000-0005-0000-0000-0000872C0000}"/>
    <cellStyle name="Normal 5 4 5 4 3 2" xfId="11399" xr:uid="{00000000-0005-0000-0000-0000882C0000}"/>
    <cellStyle name="Normal 5 4 5 4 4" xfId="11400" xr:uid="{00000000-0005-0000-0000-0000892C0000}"/>
    <cellStyle name="Normal 5 4 5 5" xfId="11401" xr:uid="{00000000-0005-0000-0000-00008A2C0000}"/>
    <cellStyle name="Normal 5 4 5 5 2" xfId="11402" xr:uid="{00000000-0005-0000-0000-00008B2C0000}"/>
    <cellStyle name="Normal 5 4 5 5 2 2" xfId="11403" xr:uid="{00000000-0005-0000-0000-00008C2C0000}"/>
    <cellStyle name="Normal 5 4 5 5 3" xfId="11404" xr:uid="{00000000-0005-0000-0000-00008D2C0000}"/>
    <cellStyle name="Normal 5 4 5 6" xfId="11405" xr:uid="{00000000-0005-0000-0000-00008E2C0000}"/>
    <cellStyle name="Normal 5 4 5 6 2" xfId="11406" xr:uid="{00000000-0005-0000-0000-00008F2C0000}"/>
    <cellStyle name="Normal 5 4 5 7" xfId="11407" xr:uid="{00000000-0005-0000-0000-0000902C0000}"/>
    <cellStyle name="Normal 5 4 6" xfId="11408" xr:uid="{00000000-0005-0000-0000-0000912C0000}"/>
    <cellStyle name="Normal 5 4 6 2" xfId="11409" xr:uid="{00000000-0005-0000-0000-0000922C0000}"/>
    <cellStyle name="Normal 5 4 6 2 2" xfId="11410" xr:uid="{00000000-0005-0000-0000-0000932C0000}"/>
    <cellStyle name="Normal 5 4 6 2 2 2" xfId="11411" xr:uid="{00000000-0005-0000-0000-0000942C0000}"/>
    <cellStyle name="Normal 5 4 6 2 2 2 2" xfId="11412" xr:uid="{00000000-0005-0000-0000-0000952C0000}"/>
    <cellStyle name="Normal 5 4 6 2 2 2 2 2" xfId="11413" xr:uid="{00000000-0005-0000-0000-0000962C0000}"/>
    <cellStyle name="Normal 5 4 6 2 2 2 3" xfId="11414" xr:uid="{00000000-0005-0000-0000-0000972C0000}"/>
    <cellStyle name="Normal 5 4 6 2 2 3" xfId="11415" xr:uid="{00000000-0005-0000-0000-0000982C0000}"/>
    <cellStyle name="Normal 5 4 6 2 2 3 2" xfId="11416" xr:uid="{00000000-0005-0000-0000-0000992C0000}"/>
    <cellStyle name="Normal 5 4 6 2 2 4" xfId="11417" xr:uid="{00000000-0005-0000-0000-00009A2C0000}"/>
    <cellStyle name="Normal 5 4 6 2 3" xfId="11418" xr:uid="{00000000-0005-0000-0000-00009B2C0000}"/>
    <cellStyle name="Normal 5 4 6 2 3 2" xfId="11419" xr:uid="{00000000-0005-0000-0000-00009C2C0000}"/>
    <cellStyle name="Normal 5 4 6 2 3 2 2" xfId="11420" xr:uid="{00000000-0005-0000-0000-00009D2C0000}"/>
    <cellStyle name="Normal 5 4 6 2 3 3" xfId="11421" xr:uid="{00000000-0005-0000-0000-00009E2C0000}"/>
    <cellStyle name="Normal 5 4 6 2 4" xfId="11422" xr:uid="{00000000-0005-0000-0000-00009F2C0000}"/>
    <cellStyle name="Normal 5 4 6 2 4 2" xfId="11423" xr:uid="{00000000-0005-0000-0000-0000A02C0000}"/>
    <cellStyle name="Normal 5 4 6 2 5" xfId="11424" xr:uid="{00000000-0005-0000-0000-0000A12C0000}"/>
    <cellStyle name="Normal 5 4 6 3" xfId="11425" xr:uid="{00000000-0005-0000-0000-0000A22C0000}"/>
    <cellStyle name="Normal 5 4 6 3 2" xfId="11426" xr:uid="{00000000-0005-0000-0000-0000A32C0000}"/>
    <cellStyle name="Normal 5 4 6 3 2 2" xfId="11427" xr:uid="{00000000-0005-0000-0000-0000A42C0000}"/>
    <cellStyle name="Normal 5 4 6 3 2 2 2" xfId="11428" xr:uid="{00000000-0005-0000-0000-0000A52C0000}"/>
    <cellStyle name="Normal 5 4 6 3 2 3" xfId="11429" xr:uid="{00000000-0005-0000-0000-0000A62C0000}"/>
    <cellStyle name="Normal 5 4 6 3 3" xfId="11430" xr:uid="{00000000-0005-0000-0000-0000A72C0000}"/>
    <cellStyle name="Normal 5 4 6 3 3 2" xfId="11431" xr:uid="{00000000-0005-0000-0000-0000A82C0000}"/>
    <cellStyle name="Normal 5 4 6 3 4" xfId="11432" xr:uid="{00000000-0005-0000-0000-0000A92C0000}"/>
    <cellStyle name="Normal 5 4 6 4" xfId="11433" xr:uid="{00000000-0005-0000-0000-0000AA2C0000}"/>
    <cellStyle name="Normal 5 4 6 4 2" xfId="11434" xr:uid="{00000000-0005-0000-0000-0000AB2C0000}"/>
    <cellStyle name="Normal 5 4 6 4 2 2" xfId="11435" xr:uid="{00000000-0005-0000-0000-0000AC2C0000}"/>
    <cellStyle name="Normal 5 4 6 4 3" xfId="11436" xr:uid="{00000000-0005-0000-0000-0000AD2C0000}"/>
    <cellStyle name="Normal 5 4 6 5" xfId="11437" xr:uid="{00000000-0005-0000-0000-0000AE2C0000}"/>
    <cellStyle name="Normal 5 4 6 5 2" xfId="11438" xr:uid="{00000000-0005-0000-0000-0000AF2C0000}"/>
    <cellStyle name="Normal 5 4 6 6" xfId="11439" xr:uid="{00000000-0005-0000-0000-0000B02C0000}"/>
    <cellStyle name="Normal 5 4 7" xfId="11440" xr:uid="{00000000-0005-0000-0000-0000B12C0000}"/>
    <cellStyle name="Normal 5 4 7 2" xfId="11441" xr:uid="{00000000-0005-0000-0000-0000B22C0000}"/>
    <cellStyle name="Normal 5 4 7 2 2" xfId="11442" xr:uid="{00000000-0005-0000-0000-0000B32C0000}"/>
    <cellStyle name="Normal 5 4 7 2 2 2" xfId="11443" xr:uid="{00000000-0005-0000-0000-0000B42C0000}"/>
    <cellStyle name="Normal 5 4 7 2 2 2 2" xfId="11444" xr:uid="{00000000-0005-0000-0000-0000B52C0000}"/>
    <cellStyle name="Normal 5 4 7 2 2 3" xfId="11445" xr:uid="{00000000-0005-0000-0000-0000B62C0000}"/>
    <cellStyle name="Normal 5 4 7 2 3" xfId="11446" xr:uid="{00000000-0005-0000-0000-0000B72C0000}"/>
    <cellStyle name="Normal 5 4 7 2 3 2" xfId="11447" xr:uid="{00000000-0005-0000-0000-0000B82C0000}"/>
    <cellStyle name="Normal 5 4 7 2 4" xfId="11448" xr:uid="{00000000-0005-0000-0000-0000B92C0000}"/>
    <cellStyle name="Normal 5 4 7 3" xfId="11449" xr:uid="{00000000-0005-0000-0000-0000BA2C0000}"/>
    <cellStyle name="Normal 5 4 7 3 2" xfId="11450" xr:uid="{00000000-0005-0000-0000-0000BB2C0000}"/>
    <cellStyle name="Normal 5 4 7 3 2 2" xfId="11451" xr:uid="{00000000-0005-0000-0000-0000BC2C0000}"/>
    <cellStyle name="Normal 5 4 7 3 3" xfId="11452" xr:uid="{00000000-0005-0000-0000-0000BD2C0000}"/>
    <cellStyle name="Normal 5 4 7 4" xfId="11453" xr:uid="{00000000-0005-0000-0000-0000BE2C0000}"/>
    <cellStyle name="Normal 5 4 7 4 2" xfId="11454" xr:uid="{00000000-0005-0000-0000-0000BF2C0000}"/>
    <cellStyle name="Normal 5 4 7 5" xfId="11455" xr:uid="{00000000-0005-0000-0000-0000C02C0000}"/>
    <cellStyle name="Normal 5 4 8" xfId="11456" xr:uid="{00000000-0005-0000-0000-0000C12C0000}"/>
    <cellStyle name="Normal 5 4 8 2" xfId="11457" xr:uid="{00000000-0005-0000-0000-0000C22C0000}"/>
    <cellStyle name="Normal 5 4 8 2 2" xfId="11458" xr:uid="{00000000-0005-0000-0000-0000C32C0000}"/>
    <cellStyle name="Normal 5 4 8 2 2 2" xfId="11459" xr:uid="{00000000-0005-0000-0000-0000C42C0000}"/>
    <cellStyle name="Normal 5 4 8 2 3" xfId="11460" xr:uid="{00000000-0005-0000-0000-0000C52C0000}"/>
    <cellStyle name="Normal 5 4 8 3" xfId="11461" xr:uid="{00000000-0005-0000-0000-0000C62C0000}"/>
    <cellStyle name="Normal 5 4 8 3 2" xfId="11462" xr:uid="{00000000-0005-0000-0000-0000C72C0000}"/>
    <cellStyle name="Normal 5 4 8 4" xfId="11463" xr:uid="{00000000-0005-0000-0000-0000C82C0000}"/>
    <cellStyle name="Normal 5 4 9" xfId="11464" xr:uid="{00000000-0005-0000-0000-0000C92C0000}"/>
    <cellStyle name="Normal 5 4 9 2" xfId="11465" xr:uid="{00000000-0005-0000-0000-0000CA2C0000}"/>
    <cellStyle name="Normal 5 4 9 2 2" xfId="11466" xr:uid="{00000000-0005-0000-0000-0000CB2C0000}"/>
    <cellStyle name="Normal 5 4 9 3" xfId="11467" xr:uid="{00000000-0005-0000-0000-0000CC2C0000}"/>
    <cellStyle name="Normal 5 5" xfId="11468" xr:uid="{00000000-0005-0000-0000-0000CD2C0000}"/>
    <cellStyle name="Normal 5 5 10" xfId="11469" xr:uid="{00000000-0005-0000-0000-0000CE2C0000}"/>
    <cellStyle name="Normal 5 5 2" xfId="11470" xr:uid="{00000000-0005-0000-0000-0000CF2C0000}"/>
    <cellStyle name="Normal 5 5 2 2" xfId="11471" xr:uid="{00000000-0005-0000-0000-0000D02C0000}"/>
    <cellStyle name="Normal 5 5 2 2 2" xfId="11472" xr:uid="{00000000-0005-0000-0000-0000D12C0000}"/>
    <cellStyle name="Normal 5 5 2 2 2 2" xfId="11473" xr:uid="{00000000-0005-0000-0000-0000D22C0000}"/>
    <cellStyle name="Normal 5 5 2 2 2 2 2" xfId="11474" xr:uid="{00000000-0005-0000-0000-0000D32C0000}"/>
    <cellStyle name="Normal 5 5 2 2 2 2 2 2" xfId="11475" xr:uid="{00000000-0005-0000-0000-0000D42C0000}"/>
    <cellStyle name="Normal 5 5 2 2 2 2 2 2 2" xfId="11476" xr:uid="{00000000-0005-0000-0000-0000D52C0000}"/>
    <cellStyle name="Normal 5 5 2 2 2 2 2 2 2 2" xfId="11477" xr:uid="{00000000-0005-0000-0000-0000D62C0000}"/>
    <cellStyle name="Normal 5 5 2 2 2 2 2 2 2 2 2" xfId="11478" xr:uid="{00000000-0005-0000-0000-0000D72C0000}"/>
    <cellStyle name="Normal 5 5 2 2 2 2 2 2 2 3" xfId="11479" xr:uid="{00000000-0005-0000-0000-0000D82C0000}"/>
    <cellStyle name="Normal 5 5 2 2 2 2 2 2 3" xfId="11480" xr:uid="{00000000-0005-0000-0000-0000D92C0000}"/>
    <cellStyle name="Normal 5 5 2 2 2 2 2 2 3 2" xfId="11481" xr:uid="{00000000-0005-0000-0000-0000DA2C0000}"/>
    <cellStyle name="Normal 5 5 2 2 2 2 2 2 4" xfId="11482" xr:uid="{00000000-0005-0000-0000-0000DB2C0000}"/>
    <cellStyle name="Normal 5 5 2 2 2 2 2 3" xfId="11483" xr:uid="{00000000-0005-0000-0000-0000DC2C0000}"/>
    <cellStyle name="Normal 5 5 2 2 2 2 2 3 2" xfId="11484" xr:uid="{00000000-0005-0000-0000-0000DD2C0000}"/>
    <cellStyle name="Normal 5 5 2 2 2 2 2 3 2 2" xfId="11485" xr:uid="{00000000-0005-0000-0000-0000DE2C0000}"/>
    <cellStyle name="Normal 5 5 2 2 2 2 2 3 3" xfId="11486" xr:uid="{00000000-0005-0000-0000-0000DF2C0000}"/>
    <cellStyle name="Normal 5 5 2 2 2 2 2 4" xfId="11487" xr:uid="{00000000-0005-0000-0000-0000E02C0000}"/>
    <cellStyle name="Normal 5 5 2 2 2 2 2 4 2" xfId="11488" xr:uid="{00000000-0005-0000-0000-0000E12C0000}"/>
    <cellStyle name="Normal 5 5 2 2 2 2 2 5" xfId="11489" xr:uid="{00000000-0005-0000-0000-0000E22C0000}"/>
    <cellStyle name="Normal 5 5 2 2 2 2 3" xfId="11490" xr:uid="{00000000-0005-0000-0000-0000E32C0000}"/>
    <cellStyle name="Normal 5 5 2 2 2 2 3 2" xfId="11491" xr:uid="{00000000-0005-0000-0000-0000E42C0000}"/>
    <cellStyle name="Normal 5 5 2 2 2 2 3 2 2" xfId="11492" xr:uid="{00000000-0005-0000-0000-0000E52C0000}"/>
    <cellStyle name="Normal 5 5 2 2 2 2 3 2 2 2" xfId="11493" xr:uid="{00000000-0005-0000-0000-0000E62C0000}"/>
    <cellStyle name="Normal 5 5 2 2 2 2 3 2 3" xfId="11494" xr:uid="{00000000-0005-0000-0000-0000E72C0000}"/>
    <cellStyle name="Normal 5 5 2 2 2 2 3 3" xfId="11495" xr:uid="{00000000-0005-0000-0000-0000E82C0000}"/>
    <cellStyle name="Normal 5 5 2 2 2 2 3 3 2" xfId="11496" xr:uid="{00000000-0005-0000-0000-0000E92C0000}"/>
    <cellStyle name="Normal 5 5 2 2 2 2 3 4" xfId="11497" xr:uid="{00000000-0005-0000-0000-0000EA2C0000}"/>
    <cellStyle name="Normal 5 5 2 2 2 2 4" xfId="11498" xr:uid="{00000000-0005-0000-0000-0000EB2C0000}"/>
    <cellStyle name="Normal 5 5 2 2 2 2 4 2" xfId="11499" xr:uid="{00000000-0005-0000-0000-0000EC2C0000}"/>
    <cellStyle name="Normal 5 5 2 2 2 2 4 2 2" xfId="11500" xr:uid="{00000000-0005-0000-0000-0000ED2C0000}"/>
    <cellStyle name="Normal 5 5 2 2 2 2 4 3" xfId="11501" xr:uid="{00000000-0005-0000-0000-0000EE2C0000}"/>
    <cellStyle name="Normal 5 5 2 2 2 2 5" xfId="11502" xr:uid="{00000000-0005-0000-0000-0000EF2C0000}"/>
    <cellStyle name="Normal 5 5 2 2 2 2 5 2" xfId="11503" xr:uid="{00000000-0005-0000-0000-0000F02C0000}"/>
    <cellStyle name="Normal 5 5 2 2 2 2 6" xfId="11504" xr:uid="{00000000-0005-0000-0000-0000F12C0000}"/>
    <cellStyle name="Normal 5 5 2 2 2 3" xfId="11505" xr:uid="{00000000-0005-0000-0000-0000F22C0000}"/>
    <cellStyle name="Normal 5 5 2 2 2 3 2" xfId="11506" xr:uid="{00000000-0005-0000-0000-0000F32C0000}"/>
    <cellStyle name="Normal 5 5 2 2 2 3 2 2" xfId="11507" xr:uid="{00000000-0005-0000-0000-0000F42C0000}"/>
    <cellStyle name="Normal 5 5 2 2 2 3 2 2 2" xfId="11508" xr:uid="{00000000-0005-0000-0000-0000F52C0000}"/>
    <cellStyle name="Normal 5 5 2 2 2 3 2 2 2 2" xfId="11509" xr:uid="{00000000-0005-0000-0000-0000F62C0000}"/>
    <cellStyle name="Normal 5 5 2 2 2 3 2 2 3" xfId="11510" xr:uid="{00000000-0005-0000-0000-0000F72C0000}"/>
    <cellStyle name="Normal 5 5 2 2 2 3 2 3" xfId="11511" xr:uid="{00000000-0005-0000-0000-0000F82C0000}"/>
    <cellStyle name="Normal 5 5 2 2 2 3 2 3 2" xfId="11512" xr:uid="{00000000-0005-0000-0000-0000F92C0000}"/>
    <cellStyle name="Normal 5 5 2 2 2 3 2 4" xfId="11513" xr:uid="{00000000-0005-0000-0000-0000FA2C0000}"/>
    <cellStyle name="Normal 5 5 2 2 2 3 3" xfId="11514" xr:uid="{00000000-0005-0000-0000-0000FB2C0000}"/>
    <cellStyle name="Normal 5 5 2 2 2 3 3 2" xfId="11515" xr:uid="{00000000-0005-0000-0000-0000FC2C0000}"/>
    <cellStyle name="Normal 5 5 2 2 2 3 3 2 2" xfId="11516" xr:uid="{00000000-0005-0000-0000-0000FD2C0000}"/>
    <cellStyle name="Normal 5 5 2 2 2 3 3 3" xfId="11517" xr:uid="{00000000-0005-0000-0000-0000FE2C0000}"/>
    <cellStyle name="Normal 5 5 2 2 2 3 4" xfId="11518" xr:uid="{00000000-0005-0000-0000-0000FF2C0000}"/>
    <cellStyle name="Normal 5 5 2 2 2 3 4 2" xfId="11519" xr:uid="{00000000-0005-0000-0000-0000002D0000}"/>
    <cellStyle name="Normal 5 5 2 2 2 3 5" xfId="11520" xr:uid="{00000000-0005-0000-0000-0000012D0000}"/>
    <cellStyle name="Normal 5 5 2 2 2 4" xfId="11521" xr:uid="{00000000-0005-0000-0000-0000022D0000}"/>
    <cellStyle name="Normal 5 5 2 2 2 4 2" xfId="11522" xr:uid="{00000000-0005-0000-0000-0000032D0000}"/>
    <cellStyle name="Normal 5 5 2 2 2 4 2 2" xfId="11523" xr:uid="{00000000-0005-0000-0000-0000042D0000}"/>
    <cellStyle name="Normal 5 5 2 2 2 4 2 2 2" xfId="11524" xr:uid="{00000000-0005-0000-0000-0000052D0000}"/>
    <cellStyle name="Normal 5 5 2 2 2 4 2 3" xfId="11525" xr:uid="{00000000-0005-0000-0000-0000062D0000}"/>
    <cellStyle name="Normal 5 5 2 2 2 4 3" xfId="11526" xr:uid="{00000000-0005-0000-0000-0000072D0000}"/>
    <cellStyle name="Normal 5 5 2 2 2 4 3 2" xfId="11527" xr:uid="{00000000-0005-0000-0000-0000082D0000}"/>
    <cellStyle name="Normal 5 5 2 2 2 4 4" xfId="11528" xr:uid="{00000000-0005-0000-0000-0000092D0000}"/>
    <cellStyle name="Normal 5 5 2 2 2 5" xfId="11529" xr:uid="{00000000-0005-0000-0000-00000A2D0000}"/>
    <cellStyle name="Normal 5 5 2 2 2 5 2" xfId="11530" xr:uid="{00000000-0005-0000-0000-00000B2D0000}"/>
    <cellStyle name="Normal 5 5 2 2 2 5 2 2" xfId="11531" xr:uid="{00000000-0005-0000-0000-00000C2D0000}"/>
    <cellStyle name="Normal 5 5 2 2 2 5 3" xfId="11532" xr:uid="{00000000-0005-0000-0000-00000D2D0000}"/>
    <cellStyle name="Normal 5 5 2 2 2 6" xfId="11533" xr:uid="{00000000-0005-0000-0000-00000E2D0000}"/>
    <cellStyle name="Normal 5 5 2 2 2 6 2" xfId="11534" xr:uid="{00000000-0005-0000-0000-00000F2D0000}"/>
    <cellStyle name="Normal 5 5 2 2 2 7" xfId="11535" xr:uid="{00000000-0005-0000-0000-0000102D0000}"/>
    <cellStyle name="Normal 5 5 2 2 3" xfId="11536" xr:uid="{00000000-0005-0000-0000-0000112D0000}"/>
    <cellStyle name="Normal 5 5 2 2 3 2" xfId="11537" xr:uid="{00000000-0005-0000-0000-0000122D0000}"/>
    <cellStyle name="Normal 5 5 2 2 3 2 2" xfId="11538" xr:uid="{00000000-0005-0000-0000-0000132D0000}"/>
    <cellStyle name="Normal 5 5 2 2 3 2 2 2" xfId="11539" xr:uid="{00000000-0005-0000-0000-0000142D0000}"/>
    <cellStyle name="Normal 5 5 2 2 3 2 2 2 2" xfId="11540" xr:uid="{00000000-0005-0000-0000-0000152D0000}"/>
    <cellStyle name="Normal 5 5 2 2 3 2 2 2 2 2" xfId="11541" xr:uid="{00000000-0005-0000-0000-0000162D0000}"/>
    <cellStyle name="Normal 5 5 2 2 3 2 2 2 3" xfId="11542" xr:uid="{00000000-0005-0000-0000-0000172D0000}"/>
    <cellStyle name="Normal 5 5 2 2 3 2 2 3" xfId="11543" xr:uid="{00000000-0005-0000-0000-0000182D0000}"/>
    <cellStyle name="Normal 5 5 2 2 3 2 2 3 2" xfId="11544" xr:uid="{00000000-0005-0000-0000-0000192D0000}"/>
    <cellStyle name="Normal 5 5 2 2 3 2 2 4" xfId="11545" xr:uid="{00000000-0005-0000-0000-00001A2D0000}"/>
    <cellStyle name="Normal 5 5 2 2 3 2 3" xfId="11546" xr:uid="{00000000-0005-0000-0000-00001B2D0000}"/>
    <cellStyle name="Normal 5 5 2 2 3 2 3 2" xfId="11547" xr:uid="{00000000-0005-0000-0000-00001C2D0000}"/>
    <cellStyle name="Normal 5 5 2 2 3 2 3 2 2" xfId="11548" xr:uid="{00000000-0005-0000-0000-00001D2D0000}"/>
    <cellStyle name="Normal 5 5 2 2 3 2 3 3" xfId="11549" xr:uid="{00000000-0005-0000-0000-00001E2D0000}"/>
    <cellStyle name="Normal 5 5 2 2 3 2 4" xfId="11550" xr:uid="{00000000-0005-0000-0000-00001F2D0000}"/>
    <cellStyle name="Normal 5 5 2 2 3 2 4 2" xfId="11551" xr:uid="{00000000-0005-0000-0000-0000202D0000}"/>
    <cellStyle name="Normal 5 5 2 2 3 2 5" xfId="11552" xr:uid="{00000000-0005-0000-0000-0000212D0000}"/>
    <cellStyle name="Normal 5 5 2 2 3 3" xfId="11553" xr:uid="{00000000-0005-0000-0000-0000222D0000}"/>
    <cellStyle name="Normal 5 5 2 2 3 3 2" xfId="11554" xr:uid="{00000000-0005-0000-0000-0000232D0000}"/>
    <cellStyle name="Normal 5 5 2 2 3 3 2 2" xfId="11555" xr:uid="{00000000-0005-0000-0000-0000242D0000}"/>
    <cellStyle name="Normal 5 5 2 2 3 3 2 2 2" xfId="11556" xr:uid="{00000000-0005-0000-0000-0000252D0000}"/>
    <cellStyle name="Normal 5 5 2 2 3 3 2 3" xfId="11557" xr:uid="{00000000-0005-0000-0000-0000262D0000}"/>
    <cellStyle name="Normal 5 5 2 2 3 3 3" xfId="11558" xr:uid="{00000000-0005-0000-0000-0000272D0000}"/>
    <cellStyle name="Normal 5 5 2 2 3 3 3 2" xfId="11559" xr:uid="{00000000-0005-0000-0000-0000282D0000}"/>
    <cellStyle name="Normal 5 5 2 2 3 3 4" xfId="11560" xr:uid="{00000000-0005-0000-0000-0000292D0000}"/>
    <cellStyle name="Normal 5 5 2 2 3 4" xfId="11561" xr:uid="{00000000-0005-0000-0000-00002A2D0000}"/>
    <cellStyle name="Normal 5 5 2 2 3 4 2" xfId="11562" xr:uid="{00000000-0005-0000-0000-00002B2D0000}"/>
    <cellStyle name="Normal 5 5 2 2 3 4 2 2" xfId="11563" xr:uid="{00000000-0005-0000-0000-00002C2D0000}"/>
    <cellStyle name="Normal 5 5 2 2 3 4 3" xfId="11564" xr:uid="{00000000-0005-0000-0000-00002D2D0000}"/>
    <cellStyle name="Normal 5 5 2 2 3 5" xfId="11565" xr:uid="{00000000-0005-0000-0000-00002E2D0000}"/>
    <cellStyle name="Normal 5 5 2 2 3 5 2" xfId="11566" xr:uid="{00000000-0005-0000-0000-00002F2D0000}"/>
    <cellStyle name="Normal 5 5 2 2 3 6" xfId="11567" xr:uid="{00000000-0005-0000-0000-0000302D0000}"/>
    <cellStyle name="Normal 5 5 2 2 4" xfId="11568" xr:uid="{00000000-0005-0000-0000-0000312D0000}"/>
    <cellStyle name="Normal 5 5 2 2 4 2" xfId="11569" xr:uid="{00000000-0005-0000-0000-0000322D0000}"/>
    <cellStyle name="Normal 5 5 2 2 4 2 2" xfId="11570" xr:uid="{00000000-0005-0000-0000-0000332D0000}"/>
    <cellStyle name="Normal 5 5 2 2 4 2 2 2" xfId="11571" xr:uid="{00000000-0005-0000-0000-0000342D0000}"/>
    <cellStyle name="Normal 5 5 2 2 4 2 2 2 2" xfId="11572" xr:uid="{00000000-0005-0000-0000-0000352D0000}"/>
    <cellStyle name="Normal 5 5 2 2 4 2 2 3" xfId="11573" xr:uid="{00000000-0005-0000-0000-0000362D0000}"/>
    <cellStyle name="Normal 5 5 2 2 4 2 3" xfId="11574" xr:uid="{00000000-0005-0000-0000-0000372D0000}"/>
    <cellStyle name="Normal 5 5 2 2 4 2 3 2" xfId="11575" xr:uid="{00000000-0005-0000-0000-0000382D0000}"/>
    <cellStyle name="Normal 5 5 2 2 4 2 4" xfId="11576" xr:uid="{00000000-0005-0000-0000-0000392D0000}"/>
    <cellStyle name="Normal 5 5 2 2 4 3" xfId="11577" xr:uid="{00000000-0005-0000-0000-00003A2D0000}"/>
    <cellStyle name="Normal 5 5 2 2 4 3 2" xfId="11578" xr:uid="{00000000-0005-0000-0000-00003B2D0000}"/>
    <cellStyle name="Normal 5 5 2 2 4 3 2 2" xfId="11579" xr:uid="{00000000-0005-0000-0000-00003C2D0000}"/>
    <cellStyle name="Normal 5 5 2 2 4 3 3" xfId="11580" xr:uid="{00000000-0005-0000-0000-00003D2D0000}"/>
    <cellStyle name="Normal 5 5 2 2 4 4" xfId="11581" xr:uid="{00000000-0005-0000-0000-00003E2D0000}"/>
    <cellStyle name="Normal 5 5 2 2 4 4 2" xfId="11582" xr:uid="{00000000-0005-0000-0000-00003F2D0000}"/>
    <cellStyle name="Normal 5 5 2 2 4 5" xfId="11583" xr:uid="{00000000-0005-0000-0000-0000402D0000}"/>
    <cellStyle name="Normal 5 5 2 2 5" xfId="11584" xr:uid="{00000000-0005-0000-0000-0000412D0000}"/>
    <cellStyle name="Normal 5 5 2 2 5 2" xfId="11585" xr:uid="{00000000-0005-0000-0000-0000422D0000}"/>
    <cellStyle name="Normal 5 5 2 2 5 2 2" xfId="11586" xr:uid="{00000000-0005-0000-0000-0000432D0000}"/>
    <cellStyle name="Normal 5 5 2 2 5 2 2 2" xfId="11587" xr:uid="{00000000-0005-0000-0000-0000442D0000}"/>
    <cellStyle name="Normal 5 5 2 2 5 2 3" xfId="11588" xr:uid="{00000000-0005-0000-0000-0000452D0000}"/>
    <cellStyle name="Normal 5 5 2 2 5 3" xfId="11589" xr:uid="{00000000-0005-0000-0000-0000462D0000}"/>
    <cellStyle name="Normal 5 5 2 2 5 3 2" xfId="11590" xr:uid="{00000000-0005-0000-0000-0000472D0000}"/>
    <cellStyle name="Normal 5 5 2 2 5 4" xfId="11591" xr:uid="{00000000-0005-0000-0000-0000482D0000}"/>
    <cellStyle name="Normal 5 5 2 2 6" xfId="11592" xr:uid="{00000000-0005-0000-0000-0000492D0000}"/>
    <cellStyle name="Normal 5 5 2 2 6 2" xfId="11593" xr:uid="{00000000-0005-0000-0000-00004A2D0000}"/>
    <cellStyle name="Normal 5 5 2 2 6 2 2" xfId="11594" xr:uid="{00000000-0005-0000-0000-00004B2D0000}"/>
    <cellStyle name="Normal 5 5 2 2 6 3" xfId="11595" xr:uid="{00000000-0005-0000-0000-00004C2D0000}"/>
    <cellStyle name="Normal 5 5 2 2 7" xfId="11596" xr:uid="{00000000-0005-0000-0000-00004D2D0000}"/>
    <cellStyle name="Normal 5 5 2 2 7 2" xfId="11597" xr:uid="{00000000-0005-0000-0000-00004E2D0000}"/>
    <cellStyle name="Normal 5 5 2 2 8" xfId="11598" xr:uid="{00000000-0005-0000-0000-00004F2D0000}"/>
    <cellStyle name="Normal 5 5 2 3" xfId="11599" xr:uid="{00000000-0005-0000-0000-0000502D0000}"/>
    <cellStyle name="Normal 5 5 2 3 2" xfId="11600" xr:uid="{00000000-0005-0000-0000-0000512D0000}"/>
    <cellStyle name="Normal 5 5 2 3 2 2" xfId="11601" xr:uid="{00000000-0005-0000-0000-0000522D0000}"/>
    <cellStyle name="Normal 5 5 2 3 2 2 2" xfId="11602" xr:uid="{00000000-0005-0000-0000-0000532D0000}"/>
    <cellStyle name="Normal 5 5 2 3 2 2 2 2" xfId="11603" xr:uid="{00000000-0005-0000-0000-0000542D0000}"/>
    <cellStyle name="Normal 5 5 2 3 2 2 2 2 2" xfId="11604" xr:uid="{00000000-0005-0000-0000-0000552D0000}"/>
    <cellStyle name="Normal 5 5 2 3 2 2 2 2 2 2" xfId="11605" xr:uid="{00000000-0005-0000-0000-0000562D0000}"/>
    <cellStyle name="Normal 5 5 2 3 2 2 2 2 3" xfId="11606" xr:uid="{00000000-0005-0000-0000-0000572D0000}"/>
    <cellStyle name="Normal 5 5 2 3 2 2 2 3" xfId="11607" xr:uid="{00000000-0005-0000-0000-0000582D0000}"/>
    <cellStyle name="Normal 5 5 2 3 2 2 2 3 2" xfId="11608" xr:uid="{00000000-0005-0000-0000-0000592D0000}"/>
    <cellStyle name="Normal 5 5 2 3 2 2 2 4" xfId="11609" xr:uid="{00000000-0005-0000-0000-00005A2D0000}"/>
    <cellStyle name="Normal 5 5 2 3 2 2 3" xfId="11610" xr:uid="{00000000-0005-0000-0000-00005B2D0000}"/>
    <cellStyle name="Normal 5 5 2 3 2 2 3 2" xfId="11611" xr:uid="{00000000-0005-0000-0000-00005C2D0000}"/>
    <cellStyle name="Normal 5 5 2 3 2 2 3 2 2" xfId="11612" xr:uid="{00000000-0005-0000-0000-00005D2D0000}"/>
    <cellStyle name="Normal 5 5 2 3 2 2 3 3" xfId="11613" xr:uid="{00000000-0005-0000-0000-00005E2D0000}"/>
    <cellStyle name="Normal 5 5 2 3 2 2 4" xfId="11614" xr:uid="{00000000-0005-0000-0000-00005F2D0000}"/>
    <cellStyle name="Normal 5 5 2 3 2 2 4 2" xfId="11615" xr:uid="{00000000-0005-0000-0000-0000602D0000}"/>
    <cellStyle name="Normal 5 5 2 3 2 2 5" xfId="11616" xr:uid="{00000000-0005-0000-0000-0000612D0000}"/>
    <cellStyle name="Normal 5 5 2 3 2 3" xfId="11617" xr:uid="{00000000-0005-0000-0000-0000622D0000}"/>
    <cellStyle name="Normal 5 5 2 3 2 3 2" xfId="11618" xr:uid="{00000000-0005-0000-0000-0000632D0000}"/>
    <cellStyle name="Normal 5 5 2 3 2 3 2 2" xfId="11619" xr:uid="{00000000-0005-0000-0000-0000642D0000}"/>
    <cellStyle name="Normal 5 5 2 3 2 3 2 2 2" xfId="11620" xr:uid="{00000000-0005-0000-0000-0000652D0000}"/>
    <cellStyle name="Normal 5 5 2 3 2 3 2 3" xfId="11621" xr:uid="{00000000-0005-0000-0000-0000662D0000}"/>
    <cellStyle name="Normal 5 5 2 3 2 3 3" xfId="11622" xr:uid="{00000000-0005-0000-0000-0000672D0000}"/>
    <cellStyle name="Normal 5 5 2 3 2 3 3 2" xfId="11623" xr:uid="{00000000-0005-0000-0000-0000682D0000}"/>
    <cellStyle name="Normal 5 5 2 3 2 3 4" xfId="11624" xr:uid="{00000000-0005-0000-0000-0000692D0000}"/>
    <cellStyle name="Normal 5 5 2 3 2 4" xfId="11625" xr:uid="{00000000-0005-0000-0000-00006A2D0000}"/>
    <cellStyle name="Normal 5 5 2 3 2 4 2" xfId="11626" xr:uid="{00000000-0005-0000-0000-00006B2D0000}"/>
    <cellStyle name="Normal 5 5 2 3 2 4 2 2" xfId="11627" xr:uid="{00000000-0005-0000-0000-00006C2D0000}"/>
    <cellStyle name="Normal 5 5 2 3 2 4 3" xfId="11628" xr:uid="{00000000-0005-0000-0000-00006D2D0000}"/>
    <cellStyle name="Normal 5 5 2 3 2 5" xfId="11629" xr:uid="{00000000-0005-0000-0000-00006E2D0000}"/>
    <cellStyle name="Normal 5 5 2 3 2 5 2" xfId="11630" xr:uid="{00000000-0005-0000-0000-00006F2D0000}"/>
    <cellStyle name="Normal 5 5 2 3 2 6" xfId="11631" xr:uid="{00000000-0005-0000-0000-0000702D0000}"/>
    <cellStyle name="Normal 5 5 2 3 3" xfId="11632" xr:uid="{00000000-0005-0000-0000-0000712D0000}"/>
    <cellStyle name="Normal 5 5 2 3 3 2" xfId="11633" xr:uid="{00000000-0005-0000-0000-0000722D0000}"/>
    <cellStyle name="Normal 5 5 2 3 3 2 2" xfId="11634" xr:uid="{00000000-0005-0000-0000-0000732D0000}"/>
    <cellStyle name="Normal 5 5 2 3 3 2 2 2" xfId="11635" xr:uid="{00000000-0005-0000-0000-0000742D0000}"/>
    <cellStyle name="Normal 5 5 2 3 3 2 2 2 2" xfId="11636" xr:uid="{00000000-0005-0000-0000-0000752D0000}"/>
    <cellStyle name="Normal 5 5 2 3 3 2 2 3" xfId="11637" xr:uid="{00000000-0005-0000-0000-0000762D0000}"/>
    <cellStyle name="Normal 5 5 2 3 3 2 3" xfId="11638" xr:uid="{00000000-0005-0000-0000-0000772D0000}"/>
    <cellStyle name="Normal 5 5 2 3 3 2 3 2" xfId="11639" xr:uid="{00000000-0005-0000-0000-0000782D0000}"/>
    <cellStyle name="Normal 5 5 2 3 3 2 4" xfId="11640" xr:uid="{00000000-0005-0000-0000-0000792D0000}"/>
    <cellStyle name="Normal 5 5 2 3 3 3" xfId="11641" xr:uid="{00000000-0005-0000-0000-00007A2D0000}"/>
    <cellStyle name="Normal 5 5 2 3 3 3 2" xfId="11642" xr:uid="{00000000-0005-0000-0000-00007B2D0000}"/>
    <cellStyle name="Normal 5 5 2 3 3 3 2 2" xfId="11643" xr:uid="{00000000-0005-0000-0000-00007C2D0000}"/>
    <cellStyle name="Normal 5 5 2 3 3 3 3" xfId="11644" xr:uid="{00000000-0005-0000-0000-00007D2D0000}"/>
    <cellStyle name="Normal 5 5 2 3 3 4" xfId="11645" xr:uid="{00000000-0005-0000-0000-00007E2D0000}"/>
    <cellStyle name="Normal 5 5 2 3 3 4 2" xfId="11646" xr:uid="{00000000-0005-0000-0000-00007F2D0000}"/>
    <cellStyle name="Normal 5 5 2 3 3 5" xfId="11647" xr:uid="{00000000-0005-0000-0000-0000802D0000}"/>
    <cellStyle name="Normal 5 5 2 3 4" xfId="11648" xr:uid="{00000000-0005-0000-0000-0000812D0000}"/>
    <cellStyle name="Normal 5 5 2 3 4 2" xfId="11649" xr:uid="{00000000-0005-0000-0000-0000822D0000}"/>
    <cellStyle name="Normal 5 5 2 3 4 2 2" xfId="11650" xr:uid="{00000000-0005-0000-0000-0000832D0000}"/>
    <cellStyle name="Normal 5 5 2 3 4 2 2 2" xfId="11651" xr:uid="{00000000-0005-0000-0000-0000842D0000}"/>
    <cellStyle name="Normal 5 5 2 3 4 2 3" xfId="11652" xr:uid="{00000000-0005-0000-0000-0000852D0000}"/>
    <cellStyle name="Normal 5 5 2 3 4 3" xfId="11653" xr:uid="{00000000-0005-0000-0000-0000862D0000}"/>
    <cellStyle name="Normal 5 5 2 3 4 3 2" xfId="11654" xr:uid="{00000000-0005-0000-0000-0000872D0000}"/>
    <cellStyle name="Normal 5 5 2 3 4 4" xfId="11655" xr:uid="{00000000-0005-0000-0000-0000882D0000}"/>
    <cellStyle name="Normal 5 5 2 3 5" xfId="11656" xr:uid="{00000000-0005-0000-0000-0000892D0000}"/>
    <cellStyle name="Normal 5 5 2 3 5 2" xfId="11657" xr:uid="{00000000-0005-0000-0000-00008A2D0000}"/>
    <cellStyle name="Normal 5 5 2 3 5 2 2" xfId="11658" xr:uid="{00000000-0005-0000-0000-00008B2D0000}"/>
    <cellStyle name="Normal 5 5 2 3 5 3" xfId="11659" xr:uid="{00000000-0005-0000-0000-00008C2D0000}"/>
    <cellStyle name="Normal 5 5 2 3 6" xfId="11660" xr:uid="{00000000-0005-0000-0000-00008D2D0000}"/>
    <cellStyle name="Normal 5 5 2 3 6 2" xfId="11661" xr:uid="{00000000-0005-0000-0000-00008E2D0000}"/>
    <cellStyle name="Normal 5 5 2 3 7" xfId="11662" xr:uid="{00000000-0005-0000-0000-00008F2D0000}"/>
    <cellStyle name="Normal 5 5 2 4" xfId="11663" xr:uid="{00000000-0005-0000-0000-0000902D0000}"/>
    <cellStyle name="Normal 5 5 2 4 2" xfId="11664" xr:uid="{00000000-0005-0000-0000-0000912D0000}"/>
    <cellStyle name="Normal 5 5 2 4 2 2" xfId="11665" xr:uid="{00000000-0005-0000-0000-0000922D0000}"/>
    <cellStyle name="Normal 5 5 2 4 2 2 2" xfId="11666" xr:uid="{00000000-0005-0000-0000-0000932D0000}"/>
    <cellStyle name="Normal 5 5 2 4 2 2 2 2" xfId="11667" xr:uid="{00000000-0005-0000-0000-0000942D0000}"/>
    <cellStyle name="Normal 5 5 2 4 2 2 2 2 2" xfId="11668" xr:uid="{00000000-0005-0000-0000-0000952D0000}"/>
    <cellStyle name="Normal 5 5 2 4 2 2 2 3" xfId="11669" xr:uid="{00000000-0005-0000-0000-0000962D0000}"/>
    <cellStyle name="Normal 5 5 2 4 2 2 3" xfId="11670" xr:uid="{00000000-0005-0000-0000-0000972D0000}"/>
    <cellStyle name="Normal 5 5 2 4 2 2 3 2" xfId="11671" xr:uid="{00000000-0005-0000-0000-0000982D0000}"/>
    <cellStyle name="Normal 5 5 2 4 2 2 4" xfId="11672" xr:uid="{00000000-0005-0000-0000-0000992D0000}"/>
    <cellStyle name="Normal 5 5 2 4 2 3" xfId="11673" xr:uid="{00000000-0005-0000-0000-00009A2D0000}"/>
    <cellStyle name="Normal 5 5 2 4 2 3 2" xfId="11674" xr:uid="{00000000-0005-0000-0000-00009B2D0000}"/>
    <cellStyle name="Normal 5 5 2 4 2 3 2 2" xfId="11675" xr:uid="{00000000-0005-0000-0000-00009C2D0000}"/>
    <cellStyle name="Normal 5 5 2 4 2 3 3" xfId="11676" xr:uid="{00000000-0005-0000-0000-00009D2D0000}"/>
    <cellStyle name="Normal 5 5 2 4 2 4" xfId="11677" xr:uid="{00000000-0005-0000-0000-00009E2D0000}"/>
    <cellStyle name="Normal 5 5 2 4 2 4 2" xfId="11678" xr:uid="{00000000-0005-0000-0000-00009F2D0000}"/>
    <cellStyle name="Normal 5 5 2 4 2 5" xfId="11679" xr:uid="{00000000-0005-0000-0000-0000A02D0000}"/>
    <cellStyle name="Normal 5 5 2 4 3" xfId="11680" xr:uid="{00000000-0005-0000-0000-0000A12D0000}"/>
    <cellStyle name="Normal 5 5 2 4 3 2" xfId="11681" xr:uid="{00000000-0005-0000-0000-0000A22D0000}"/>
    <cellStyle name="Normal 5 5 2 4 3 2 2" xfId="11682" xr:uid="{00000000-0005-0000-0000-0000A32D0000}"/>
    <cellStyle name="Normal 5 5 2 4 3 2 2 2" xfId="11683" xr:uid="{00000000-0005-0000-0000-0000A42D0000}"/>
    <cellStyle name="Normal 5 5 2 4 3 2 3" xfId="11684" xr:uid="{00000000-0005-0000-0000-0000A52D0000}"/>
    <cellStyle name="Normal 5 5 2 4 3 3" xfId="11685" xr:uid="{00000000-0005-0000-0000-0000A62D0000}"/>
    <cellStyle name="Normal 5 5 2 4 3 3 2" xfId="11686" xr:uid="{00000000-0005-0000-0000-0000A72D0000}"/>
    <cellStyle name="Normal 5 5 2 4 3 4" xfId="11687" xr:uid="{00000000-0005-0000-0000-0000A82D0000}"/>
    <cellStyle name="Normal 5 5 2 4 4" xfId="11688" xr:uid="{00000000-0005-0000-0000-0000A92D0000}"/>
    <cellStyle name="Normal 5 5 2 4 4 2" xfId="11689" xr:uid="{00000000-0005-0000-0000-0000AA2D0000}"/>
    <cellStyle name="Normal 5 5 2 4 4 2 2" xfId="11690" xr:uid="{00000000-0005-0000-0000-0000AB2D0000}"/>
    <cellStyle name="Normal 5 5 2 4 4 3" xfId="11691" xr:uid="{00000000-0005-0000-0000-0000AC2D0000}"/>
    <cellStyle name="Normal 5 5 2 4 5" xfId="11692" xr:uid="{00000000-0005-0000-0000-0000AD2D0000}"/>
    <cellStyle name="Normal 5 5 2 4 5 2" xfId="11693" xr:uid="{00000000-0005-0000-0000-0000AE2D0000}"/>
    <cellStyle name="Normal 5 5 2 4 6" xfId="11694" xr:uid="{00000000-0005-0000-0000-0000AF2D0000}"/>
    <cellStyle name="Normal 5 5 2 5" xfId="11695" xr:uid="{00000000-0005-0000-0000-0000B02D0000}"/>
    <cellStyle name="Normal 5 5 2 5 2" xfId="11696" xr:uid="{00000000-0005-0000-0000-0000B12D0000}"/>
    <cellStyle name="Normal 5 5 2 5 2 2" xfId="11697" xr:uid="{00000000-0005-0000-0000-0000B22D0000}"/>
    <cellStyle name="Normal 5 5 2 5 2 2 2" xfId="11698" xr:uid="{00000000-0005-0000-0000-0000B32D0000}"/>
    <cellStyle name="Normal 5 5 2 5 2 2 2 2" xfId="11699" xr:uid="{00000000-0005-0000-0000-0000B42D0000}"/>
    <cellStyle name="Normal 5 5 2 5 2 2 3" xfId="11700" xr:uid="{00000000-0005-0000-0000-0000B52D0000}"/>
    <cellStyle name="Normal 5 5 2 5 2 3" xfId="11701" xr:uid="{00000000-0005-0000-0000-0000B62D0000}"/>
    <cellStyle name="Normal 5 5 2 5 2 3 2" xfId="11702" xr:uid="{00000000-0005-0000-0000-0000B72D0000}"/>
    <cellStyle name="Normal 5 5 2 5 2 4" xfId="11703" xr:uid="{00000000-0005-0000-0000-0000B82D0000}"/>
    <cellStyle name="Normal 5 5 2 5 3" xfId="11704" xr:uid="{00000000-0005-0000-0000-0000B92D0000}"/>
    <cellStyle name="Normal 5 5 2 5 3 2" xfId="11705" xr:uid="{00000000-0005-0000-0000-0000BA2D0000}"/>
    <cellStyle name="Normal 5 5 2 5 3 2 2" xfId="11706" xr:uid="{00000000-0005-0000-0000-0000BB2D0000}"/>
    <cellStyle name="Normal 5 5 2 5 3 3" xfId="11707" xr:uid="{00000000-0005-0000-0000-0000BC2D0000}"/>
    <cellStyle name="Normal 5 5 2 5 4" xfId="11708" xr:uid="{00000000-0005-0000-0000-0000BD2D0000}"/>
    <cellStyle name="Normal 5 5 2 5 4 2" xfId="11709" xr:uid="{00000000-0005-0000-0000-0000BE2D0000}"/>
    <cellStyle name="Normal 5 5 2 5 5" xfId="11710" xr:uid="{00000000-0005-0000-0000-0000BF2D0000}"/>
    <cellStyle name="Normal 5 5 2 6" xfId="11711" xr:uid="{00000000-0005-0000-0000-0000C02D0000}"/>
    <cellStyle name="Normal 5 5 2 6 2" xfId="11712" xr:uid="{00000000-0005-0000-0000-0000C12D0000}"/>
    <cellStyle name="Normal 5 5 2 6 2 2" xfId="11713" xr:uid="{00000000-0005-0000-0000-0000C22D0000}"/>
    <cellStyle name="Normal 5 5 2 6 2 2 2" xfId="11714" xr:uid="{00000000-0005-0000-0000-0000C32D0000}"/>
    <cellStyle name="Normal 5 5 2 6 2 3" xfId="11715" xr:uid="{00000000-0005-0000-0000-0000C42D0000}"/>
    <cellStyle name="Normal 5 5 2 6 3" xfId="11716" xr:uid="{00000000-0005-0000-0000-0000C52D0000}"/>
    <cellStyle name="Normal 5 5 2 6 3 2" xfId="11717" xr:uid="{00000000-0005-0000-0000-0000C62D0000}"/>
    <cellStyle name="Normal 5 5 2 6 4" xfId="11718" xr:uid="{00000000-0005-0000-0000-0000C72D0000}"/>
    <cellStyle name="Normal 5 5 2 7" xfId="11719" xr:uid="{00000000-0005-0000-0000-0000C82D0000}"/>
    <cellStyle name="Normal 5 5 2 7 2" xfId="11720" xr:uid="{00000000-0005-0000-0000-0000C92D0000}"/>
    <cellStyle name="Normal 5 5 2 7 2 2" xfId="11721" xr:uid="{00000000-0005-0000-0000-0000CA2D0000}"/>
    <cellStyle name="Normal 5 5 2 7 3" xfId="11722" xr:uid="{00000000-0005-0000-0000-0000CB2D0000}"/>
    <cellStyle name="Normal 5 5 2 8" xfId="11723" xr:uid="{00000000-0005-0000-0000-0000CC2D0000}"/>
    <cellStyle name="Normal 5 5 2 8 2" xfId="11724" xr:uid="{00000000-0005-0000-0000-0000CD2D0000}"/>
    <cellStyle name="Normal 5 5 2 9" xfId="11725" xr:uid="{00000000-0005-0000-0000-0000CE2D0000}"/>
    <cellStyle name="Normal 5 5 3" xfId="11726" xr:uid="{00000000-0005-0000-0000-0000CF2D0000}"/>
    <cellStyle name="Normal 5 5 3 2" xfId="11727" xr:uid="{00000000-0005-0000-0000-0000D02D0000}"/>
    <cellStyle name="Normal 5 5 3 2 2" xfId="11728" xr:uid="{00000000-0005-0000-0000-0000D12D0000}"/>
    <cellStyle name="Normal 5 5 3 2 2 2" xfId="11729" xr:uid="{00000000-0005-0000-0000-0000D22D0000}"/>
    <cellStyle name="Normal 5 5 3 2 2 2 2" xfId="11730" xr:uid="{00000000-0005-0000-0000-0000D32D0000}"/>
    <cellStyle name="Normal 5 5 3 2 2 2 2 2" xfId="11731" xr:uid="{00000000-0005-0000-0000-0000D42D0000}"/>
    <cellStyle name="Normal 5 5 3 2 2 2 2 2 2" xfId="11732" xr:uid="{00000000-0005-0000-0000-0000D52D0000}"/>
    <cellStyle name="Normal 5 5 3 2 2 2 2 2 2 2" xfId="11733" xr:uid="{00000000-0005-0000-0000-0000D62D0000}"/>
    <cellStyle name="Normal 5 5 3 2 2 2 2 2 3" xfId="11734" xr:uid="{00000000-0005-0000-0000-0000D72D0000}"/>
    <cellStyle name="Normal 5 5 3 2 2 2 2 3" xfId="11735" xr:uid="{00000000-0005-0000-0000-0000D82D0000}"/>
    <cellStyle name="Normal 5 5 3 2 2 2 2 3 2" xfId="11736" xr:uid="{00000000-0005-0000-0000-0000D92D0000}"/>
    <cellStyle name="Normal 5 5 3 2 2 2 2 4" xfId="11737" xr:uid="{00000000-0005-0000-0000-0000DA2D0000}"/>
    <cellStyle name="Normal 5 5 3 2 2 2 3" xfId="11738" xr:uid="{00000000-0005-0000-0000-0000DB2D0000}"/>
    <cellStyle name="Normal 5 5 3 2 2 2 3 2" xfId="11739" xr:uid="{00000000-0005-0000-0000-0000DC2D0000}"/>
    <cellStyle name="Normal 5 5 3 2 2 2 3 2 2" xfId="11740" xr:uid="{00000000-0005-0000-0000-0000DD2D0000}"/>
    <cellStyle name="Normal 5 5 3 2 2 2 3 3" xfId="11741" xr:uid="{00000000-0005-0000-0000-0000DE2D0000}"/>
    <cellStyle name="Normal 5 5 3 2 2 2 4" xfId="11742" xr:uid="{00000000-0005-0000-0000-0000DF2D0000}"/>
    <cellStyle name="Normal 5 5 3 2 2 2 4 2" xfId="11743" xr:uid="{00000000-0005-0000-0000-0000E02D0000}"/>
    <cellStyle name="Normal 5 5 3 2 2 2 5" xfId="11744" xr:uid="{00000000-0005-0000-0000-0000E12D0000}"/>
    <cellStyle name="Normal 5 5 3 2 2 3" xfId="11745" xr:uid="{00000000-0005-0000-0000-0000E22D0000}"/>
    <cellStyle name="Normal 5 5 3 2 2 3 2" xfId="11746" xr:uid="{00000000-0005-0000-0000-0000E32D0000}"/>
    <cellStyle name="Normal 5 5 3 2 2 3 2 2" xfId="11747" xr:uid="{00000000-0005-0000-0000-0000E42D0000}"/>
    <cellStyle name="Normal 5 5 3 2 2 3 2 2 2" xfId="11748" xr:uid="{00000000-0005-0000-0000-0000E52D0000}"/>
    <cellStyle name="Normal 5 5 3 2 2 3 2 3" xfId="11749" xr:uid="{00000000-0005-0000-0000-0000E62D0000}"/>
    <cellStyle name="Normal 5 5 3 2 2 3 3" xfId="11750" xr:uid="{00000000-0005-0000-0000-0000E72D0000}"/>
    <cellStyle name="Normal 5 5 3 2 2 3 3 2" xfId="11751" xr:uid="{00000000-0005-0000-0000-0000E82D0000}"/>
    <cellStyle name="Normal 5 5 3 2 2 3 4" xfId="11752" xr:uid="{00000000-0005-0000-0000-0000E92D0000}"/>
    <cellStyle name="Normal 5 5 3 2 2 4" xfId="11753" xr:uid="{00000000-0005-0000-0000-0000EA2D0000}"/>
    <cellStyle name="Normal 5 5 3 2 2 4 2" xfId="11754" xr:uid="{00000000-0005-0000-0000-0000EB2D0000}"/>
    <cellStyle name="Normal 5 5 3 2 2 4 2 2" xfId="11755" xr:uid="{00000000-0005-0000-0000-0000EC2D0000}"/>
    <cellStyle name="Normal 5 5 3 2 2 4 3" xfId="11756" xr:uid="{00000000-0005-0000-0000-0000ED2D0000}"/>
    <cellStyle name="Normal 5 5 3 2 2 5" xfId="11757" xr:uid="{00000000-0005-0000-0000-0000EE2D0000}"/>
    <cellStyle name="Normal 5 5 3 2 2 5 2" xfId="11758" xr:uid="{00000000-0005-0000-0000-0000EF2D0000}"/>
    <cellStyle name="Normal 5 5 3 2 2 6" xfId="11759" xr:uid="{00000000-0005-0000-0000-0000F02D0000}"/>
    <cellStyle name="Normal 5 5 3 2 3" xfId="11760" xr:uid="{00000000-0005-0000-0000-0000F12D0000}"/>
    <cellStyle name="Normal 5 5 3 2 3 2" xfId="11761" xr:uid="{00000000-0005-0000-0000-0000F22D0000}"/>
    <cellStyle name="Normal 5 5 3 2 3 2 2" xfId="11762" xr:uid="{00000000-0005-0000-0000-0000F32D0000}"/>
    <cellStyle name="Normal 5 5 3 2 3 2 2 2" xfId="11763" xr:uid="{00000000-0005-0000-0000-0000F42D0000}"/>
    <cellStyle name="Normal 5 5 3 2 3 2 2 2 2" xfId="11764" xr:uid="{00000000-0005-0000-0000-0000F52D0000}"/>
    <cellStyle name="Normal 5 5 3 2 3 2 2 3" xfId="11765" xr:uid="{00000000-0005-0000-0000-0000F62D0000}"/>
    <cellStyle name="Normal 5 5 3 2 3 2 3" xfId="11766" xr:uid="{00000000-0005-0000-0000-0000F72D0000}"/>
    <cellStyle name="Normal 5 5 3 2 3 2 3 2" xfId="11767" xr:uid="{00000000-0005-0000-0000-0000F82D0000}"/>
    <cellStyle name="Normal 5 5 3 2 3 2 4" xfId="11768" xr:uid="{00000000-0005-0000-0000-0000F92D0000}"/>
    <cellStyle name="Normal 5 5 3 2 3 3" xfId="11769" xr:uid="{00000000-0005-0000-0000-0000FA2D0000}"/>
    <cellStyle name="Normal 5 5 3 2 3 3 2" xfId="11770" xr:uid="{00000000-0005-0000-0000-0000FB2D0000}"/>
    <cellStyle name="Normal 5 5 3 2 3 3 2 2" xfId="11771" xr:uid="{00000000-0005-0000-0000-0000FC2D0000}"/>
    <cellStyle name="Normal 5 5 3 2 3 3 3" xfId="11772" xr:uid="{00000000-0005-0000-0000-0000FD2D0000}"/>
    <cellStyle name="Normal 5 5 3 2 3 4" xfId="11773" xr:uid="{00000000-0005-0000-0000-0000FE2D0000}"/>
    <cellStyle name="Normal 5 5 3 2 3 4 2" xfId="11774" xr:uid="{00000000-0005-0000-0000-0000FF2D0000}"/>
    <cellStyle name="Normal 5 5 3 2 3 5" xfId="11775" xr:uid="{00000000-0005-0000-0000-0000002E0000}"/>
    <cellStyle name="Normal 5 5 3 2 4" xfId="11776" xr:uid="{00000000-0005-0000-0000-0000012E0000}"/>
    <cellStyle name="Normal 5 5 3 2 4 2" xfId="11777" xr:uid="{00000000-0005-0000-0000-0000022E0000}"/>
    <cellStyle name="Normal 5 5 3 2 4 2 2" xfId="11778" xr:uid="{00000000-0005-0000-0000-0000032E0000}"/>
    <cellStyle name="Normal 5 5 3 2 4 2 2 2" xfId="11779" xr:uid="{00000000-0005-0000-0000-0000042E0000}"/>
    <cellStyle name="Normal 5 5 3 2 4 2 3" xfId="11780" xr:uid="{00000000-0005-0000-0000-0000052E0000}"/>
    <cellStyle name="Normal 5 5 3 2 4 3" xfId="11781" xr:uid="{00000000-0005-0000-0000-0000062E0000}"/>
    <cellStyle name="Normal 5 5 3 2 4 3 2" xfId="11782" xr:uid="{00000000-0005-0000-0000-0000072E0000}"/>
    <cellStyle name="Normal 5 5 3 2 4 4" xfId="11783" xr:uid="{00000000-0005-0000-0000-0000082E0000}"/>
    <cellStyle name="Normal 5 5 3 2 5" xfId="11784" xr:uid="{00000000-0005-0000-0000-0000092E0000}"/>
    <cellStyle name="Normal 5 5 3 2 5 2" xfId="11785" xr:uid="{00000000-0005-0000-0000-00000A2E0000}"/>
    <cellStyle name="Normal 5 5 3 2 5 2 2" xfId="11786" xr:uid="{00000000-0005-0000-0000-00000B2E0000}"/>
    <cellStyle name="Normal 5 5 3 2 5 3" xfId="11787" xr:uid="{00000000-0005-0000-0000-00000C2E0000}"/>
    <cellStyle name="Normal 5 5 3 2 6" xfId="11788" xr:uid="{00000000-0005-0000-0000-00000D2E0000}"/>
    <cellStyle name="Normal 5 5 3 2 6 2" xfId="11789" xr:uid="{00000000-0005-0000-0000-00000E2E0000}"/>
    <cellStyle name="Normal 5 5 3 2 7" xfId="11790" xr:uid="{00000000-0005-0000-0000-00000F2E0000}"/>
    <cellStyle name="Normal 5 5 3 3" xfId="11791" xr:uid="{00000000-0005-0000-0000-0000102E0000}"/>
    <cellStyle name="Normal 5 5 3 3 2" xfId="11792" xr:uid="{00000000-0005-0000-0000-0000112E0000}"/>
    <cellStyle name="Normal 5 5 3 3 2 2" xfId="11793" xr:uid="{00000000-0005-0000-0000-0000122E0000}"/>
    <cellStyle name="Normal 5 5 3 3 2 2 2" xfId="11794" xr:uid="{00000000-0005-0000-0000-0000132E0000}"/>
    <cellStyle name="Normal 5 5 3 3 2 2 2 2" xfId="11795" xr:uid="{00000000-0005-0000-0000-0000142E0000}"/>
    <cellStyle name="Normal 5 5 3 3 2 2 2 2 2" xfId="11796" xr:uid="{00000000-0005-0000-0000-0000152E0000}"/>
    <cellStyle name="Normal 5 5 3 3 2 2 2 3" xfId="11797" xr:uid="{00000000-0005-0000-0000-0000162E0000}"/>
    <cellStyle name="Normal 5 5 3 3 2 2 3" xfId="11798" xr:uid="{00000000-0005-0000-0000-0000172E0000}"/>
    <cellStyle name="Normal 5 5 3 3 2 2 3 2" xfId="11799" xr:uid="{00000000-0005-0000-0000-0000182E0000}"/>
    <cellStyle name="Normal 5 5 3 3 2 2 4" xfId="11800" xr:uid="{00000000-0005-0000-0000-0000192E0000}"/>
    <cellStyle name="Normal 5 5 3 3 2 3" xfId="11801" xr:uid="{00000000-0005-0000-0000-00001A2E0000}"/>
    <cellStyle name="Normal 5 5 3 3 2 3 2" xfId="11802" xr:uid="{00000000-0005-0000-0000-00001B2E0000}"/>
    <cellStyle name="Normal 5 5 3 3 2 3 2 2" xfId="11803" xr:uid="{00000000-0005-0000-0000-00001C2E0000}"/>
    <cellStyle name="Normal 5 5 3 3 2 3 3" xfId="11804" xr:uid="{00000000-0005-0000-0000-00001D2E0000}"/>
    <cellStyle name="Normal 5 5 3 3 2 4" xfId="11805" xr:uid="{00000000-0005-0000-0000-00001E2E0000}"/>
    <cellStyle name="Normal 5 5 3 3 2 4 2" xfId="11806" xr:uid="{00000000-0005-0000-0000-00001F2E0000}"/>
    <cellStyle name="Normal 5 5 3 3 2 5" xfId="11807" xr:uid="{00000000-0005-0000-0000-0000202E0000}"/>
    <cellStyle name="Normal 5 5 3 3 3" xfId="11808" xr:uid="{00000000-0005-0000-0000-0000212E0000}"/>
    <cellStyle name="Normal 5 5 3 3 3 2" xfId="11809" xr:uid="{00000000-0005-0000-0000-0000222E0000}"/>
    <cellStyle name="Normal 5 5 3 3 3 2 2" xfId="11810" xr:uid="{00000000-0005-0000-0000-0000232E0000}"/>
    <cellStyle name="Normal 5 5 3 3 3 2 2 2" xfId="11811" xr:uid="{00000000-0005-0000-0000-0000242E0000}"/>
    <cellStyle name="Normal 5 5 3 3 3 2 3" xfId="11812" xr:uid="{00000000-0005-0000-0000-0000252E0000}"/>
    <cellStyle name="Normal 5 5 3 3 3 3" xfId="11813" xr:uid="{00000000-0005-0000-0000-0000262E0000}"/>
    <cellStyle name="Normal 5 5 3 3 3 3 2" xfId="11814" xr:uid="{00000000-0005-0000-0000-0000272E0000}"/>
    <cellStyle name="Normal 5 5 3 3 3 4" xfId="11815" xr:uid="{00000000-0005-0000-0000-0000282E0000}"/>
    <cellStyle name="Normal 5 5 3 3 4" xfId="11816" xr:uid="{00000000-0005-0000-0000-0000292E0000}"/>
    <cellStyle name="Normal 5 5 3 3 4 2" xfId="11817" xr:uid="{00000000-0005-0000-0000-00002A2E0000}"/>
    <cellStyle name="Normal 5 5 3 3 4 2 2" xfId="11818" xr:uid="{00000000-0005-0000-0000-00002B2E0000}"/>
    <cellStyle name="Normal 5 5 3 3 4 3" xfId="11819" xr:uid="{00000000-0005-0000-0000-00002C2E0000}"/>
    <cellStyle name="Normal 5 5 3 3 5" xfId="11820" xr:uid="{00000000-0005-0000-0000-00002D2E0000}"/>
    <cellStyle name="Normal 5 5 3 3 5 2" xfId="11821" xr:uid="{00000000-0005-0000-0000-00002E2E0000}"/>
    <cellStyle name="Normal 5 5 3 3 6" xfId="11822" xr:uid="{00000000-0005-0000-0000-00002F2E0000}"/>
    <cellStyle name="Normal 5 5 3 4" xfId="11823" xr:uid="{00000000-0005-0000-0000-0000302E0000}"/>
    <cellStyle name="Normal 5 5 3 4 2" xfId="11824" xr:uid="{00000000-0005-0000-0000-0000312E0000}"/>
    <cellStyle name="Normal 5 5 3 4 2 2" xfId="11825" xr:uid="{00000000-0005-0000-0000-0000322E0000}"/>
    <cellStyle name="Normal 5 5 3 4 2 2 2" xfId="11826" xr:uid="{00000000-0005-0000-0000-0000332E0000}"/>
    <cellStyle name="Normal 5 5 3 4 2 2 2 2" xfId="11827" xr:uid="{00000000-0005-0000-0000-0000342E0000}"/>
    <cellStyle name="Normal 5 5 3 4 2 2 3" xfId="11828" xr:uid="{00000000-0005-0000-0000-0000352E0000}"/>
    <cellStyle name="Normal 5 5 3 4 2 3" xfId="11829" xr:uid="{00000000-0005-0000-0000-0000362E0000}"/>
    <cellStyle name="Normal 5 5 3 4 2 3 2" xfId="11830" xr:uid="{00000000-0005-0000-0000-0000372E0000}"/>
    <cellStyle name="Normal 5 5 3 4 2 4" xfId="11831" xr:uid="{00000000-0005-0000-0000-0000382E0000}"/>
    <cellStyle name="Normal 5 5 3 4 3" xfId="11832" xr:uid="{00000000-0005-0000-0000-0000392E0000}"/>
    <cellStyle name="Normal 5 5 3 4 3 2" xfId="11833" xr:uid="{00000000-0005-0000-0000-00003A2E0000}"/>
    <cellStyle name="Normal 5 5 3 4 3 2 2" xfId="11834" xr:uid="{00000000-0005-0000-0000-00003B2E0000}"/>
    <cellStyle name="Normal 5 5 3 4 3 3" xfId="11835" xr:uid="{00000000-0005-0000-0000-00003C2E0000}"/>
    <cellStyle name="Normal 5 5 3 4 4" xfId="11836" xr:uid="{00000000-0005-0000-0000-00003D2E0000}"/>
    <cellStyle name="Normal 5 5 3 4 4 2" xfId="11837" xr:uid="{00000000-0005-0000-0000-00003E2E0000}"/>
    <cellStyle name="Normal 5 5 3 4 5" xfId="11838" xr:uid="{00000000-0005-0000-0000-00003F2E0000}"/>
    <cellStyle name="Normal 5 5 3 5" xfId="11839" xr:uid="{00000000-0005-0000-0000-0000402E0000}"/>
    <cellStyle name="Normal 5 5 3 5 2" xfId="11840" xr:uid="{00000000-0005-0000-0000-0000412E0000}"/>
    <cellStyle name="Normal 5 5 3 5 2 2" xfId="11841" xr:uid="{00000000-0005-0000-0000-0000422E0000}"/>
    <cellStyle name="Normal 5 5 3 5 2 2 2" xfId="11842" xr:uid="{00000000-0005-0000-0000-0000432E0000}"/>
    <cellStyle name="Normal 5 5 3 5 2 3" xfId="11843" xr:uid="{00000000-0005-0000-0000-0000442E0000}"/>
    <cellStyle name="Normal 5 5 3 5 3" xfId="11844" xr:uid="{00000000-0005-0000-0000-0000452E0000}"/>
    <cellStyle name="Normal 5 5 3 5 3 2" xfId="11845" xr:uid="{00000000-0005-0000-0000-0000462E0000}"/>
    <cellStyle name="Normal 5 5 3 5 4" xfId="11846" xr:uid="{00000000-0005-0000-0000-0000472E0000}"/>
    <cellStyle name="Normal 5 5 3 6" xfId="11847" xr:uid="{00000000-0005-0000-0000-0000482E0000}"/>
    <cellStyle name="Normal 5 5 3 6 2" xfId="11848" xr:uid="{00000000-0005-0000-0000-0000492E0000}"/>
    <cellStyle name="Normal 5 5 3 6 2 2" xfId="11849" xr:uid="{00000000-0005-0000-0000-00004A2E0000}"/>
    <cellStyle name="Normal 5 5 3 6 3" xfId="11850" xr:uid="{00000000-0005-0000-0000-00004B2E0000}"/>
    <cellStyle name="Normal 5 5 3 7" xfId="11851" xr:uid="{00000000-0005-0000-0000-00004C2E0000}"/>
    <cellStyle name="Normal 5 5 3 7 2" xfId="11852" xr:uid="{00000000-0005-0000-0000-00004D2E0000}"/>
    <cellStyle name="Normal 5 5 3 8" xfId="11853" xr:uid="{00000000-0005-0000-0000-00004E2E0000}"/>
    <cellStyle name="Normal 5 5 4" xfId="11854" xr:uid="{00000000-0005-0000-0000-00004F2E0000}"/>
    <cellStyle name="Normal 5 5 4 2" xfId="11855" xr:uid="{00000000-0005-0000-0000-0000502E0000}"/>
    <cellStyle name="Normal 5 5 4 2 2" xfId="11856" xr:uid="{00000000-0005-0000-0000-0000512E0000}"/>
    <cellStyle name="Normal 5 5 4 2 2 2" xfId="11857" xr:uid="{00000000-0005-0000-0000-0000522E0000}"/>
    <cellStyle name="Normal 5 5 4 2 2 2 2" xfId="11858" xr:uid="{00000000-0005-0000-0000-0000532E0000}"/>
    <cellStyle name="Normal 5 5 4 2 2 2 2 2" xfId="11859" xr:uid="{00000000-0005-0000-0000-0000542E0000}"/>
    <cellStyle name="Normal 5 5 4 2 2 2 2 2 2" xfId="11860" xr:uid="{00000000-0005-0000-0000-0000552E0000}"/>
    <cellStyle name="Normal 5 5 4 2 2 2 2 3" xfId="11861" xr:uid="{00000000-0005-0000-0000-0000562E0000}"/>
    <cellStyle name="Normal 5 5 4 2 2 2 3" xfId="11862" xr:uid="{00000000-0005-0000-0000-0000572E0000}"/>
    <cellStyle name="Normal 5 5 4 2 2 2 3 2" xfId="11863" xr:uid="{00000000-0005-0000-0000-0000582E0000}"/>
    <cellStyle name="Normal 5 5 4 2 2 2 4" xfId="11864" xr:uid="{00000000-0005-0000-0000-0000592E0000}"/>
    <cellStyle name="Normal 5 5 4 2 2 3" xfId="11865" xr:uid="{00000000-0005-0000-0000-00005A2E0000}"/>
    <cellStyle name="Normal 5 5 4 2 2 3 2" xfId="11866" xr:uid="{00000000-0005-0000-0000-00005B2E0000}"/>
    <cellStyle name="Normal 5 5 4 2 2 3 2 2" xfId="11867" xr:uid="{00000000-0005-0000-0000-00005C2E0000}"/>
    <cellStyle name="Normal 5 5 4 2 2 3 3" xfId="11868" xr:uid="{00000000-0005-0000-0000-00005D2E0000}"/>
    <cellStyle name="Normal 5 5 4 2 2 4" xfId="11869" xr:uid="{00000000-0005-0000-0000-00005E2E0000}"/>
    <cellStyle name="Normal 5 5 4 2 2 4 2" xfId="11870" xr:uid="{00000000-0005-0000-0000-00005F2E0000}"/>
    <cellStyle name="Normal 5 5 4 2 2 5" xfId="11871" xr:uid="{00000000-0005-0000-0000-0000602E0000}"/>
    <cellStyle name="Normal 5 5 4 2 3" xfId="11872" xr:uid="{00000000-0005-0000-0000-0000612E0000}"/>
    <cellStyle name="Normal 5 5 4 2 3 2" xfId="11873" xr:uid="{00000000-0005-0000-0000-0000622E0000}"/>
    <cellStyle name="Normal 5 5 4 2 3 2 2" xfId="11874" xr:uid="{00000000-0005-0000-0000-0000632E0000}"/>
    <cellStyle name="Normal 5 5 4 2 3 2 2 2" xfId="11875" xr:uid="{00000000-0005-0000-0000-0000642E0000}"/>
    <cellStyle name="Normal 5 5 4 2 3 2 3" xfId="11876" xr:uid="{00000000-0005-0000-0000-0000652E0000}"/>
    <cellStyle name="Normal 5 5 4 2 3 3" xfId="11877" xr:uid="{00000000-0005-0000-0000-0000662E0000}"/>
    <cellStyle name="Normal 5 5 4 2 3 3 2" xfId="11878" xr:uid="{00000000-0005-0000-0000-0000672E0000}"/>
    <cellStyle name="Normal 5 5 4 2 3 4" xfId="11879" xr:uid="{00000000-0005-0000-0000-0000682E0000}"/>
    <cellStyle name="Normal 5 5 4 2 4" xfId="11880" xr:uid="{00000000-0005-0000-0000-0000692E0000}"/>
    <cellStyle name="Normal 5 5 4 2 4 2" xfId="11881" xr:uid="{00000000-0005-0000-0000-00006A2E0000}"/>
    <cellStyle name="Normal 5 5 4 2 4 2 2" xfId="11882" xr:uid="{00000000-0005-0000-0000-00006B2E0000}"/>
    <cellStyle name="Normal 5 5 4 2 4 3" xfId="11883" xr:uid="{00000000-0005-0000-0000-00006C2E0000}"/>
    <cellStyle name="Normal 5 5 4 2 5" xfId="11884" xr:uid="{00000000-0005-0000-0000-00006D2E0000}"/>
    <cellStyle name="Normal 5 5 4 2 5 2" xfId="11885" xr:uid="{00000000-0005-0000-0000-00006E2E0000}"/>
    <cellStyle name="Normal 5 5 4 2 6" xfId="11886" xr:uid="{00000000-0005-0000-0000-00006F2E0000}"/>
    <cellStyle name="Normal 5 5 4 3" xfId="11887" xr:uid="{00000000-0005-0000-0000-0000702E0000}"/>
    <cellStyle name="Normal 5 5 4 3 2" xfId="11888" xr:uid="{00000000-0005-0000-0000-0000712E0000}"/>
    <cellStyle name="Normal 5 5 4 3 2 2" xfId="11889" xr:uid="{00000000-0005-0000-0000-0000722E0000}"/>
    <cellStyle name="Normal 5 5 4 3 2 2 2" xfId="11890" xr:uid="{00000000-0005-0000-0000-0000732E0000}"/>
    <cellStyle name="Normal 5 5 4 3 2 2 2 2" xfId="11891" xr:uid="{00000000-0005-0000-0000-0000742E0000}"/>
    <cellStyle name="Normal 5 5 4 3 2 2 3" xfId="11892" xr:uid="{00000000-0005-0000-0000-0000752E0000}"/>
    <cellStyle name="Normal 5 5 4 3 2 3" xfId="11893" xr:uid="{00000000-0005-0000-0000-0000762E0000}"/>
    <cellStyle name="Normal 5 5 4 3 2 3 2" xfId="11894" xr:uid="{00000000-0005-0000-0000-0000772E0000}"/>
    <cellStyle name="Normal 5 5 4 3 2 4" xfId="11895" xr:uid="{00000000-0005-0000-0000-0000782E0000}"/>
    <cellStyle name="Normal 5 5 4 3 3" xfId="11896" xr:uid="{00000000-0005-0000-0000-0000792E0000}"/>
    <cellStyle name="Normal 5 5 4 3 3 2" xfId="11897" xr:uid="{00000000-0005-0000-0000-00007A2E0000}"/>
    <cellStyle name="Normal 5 5 4 3 3 2 2" xfId="11898" xr:uid="{00000000-0005-0000-0000-00007B2E0000}"/>
    <cellStyle name="Normal 5 5 4 3 3 3" xfId="11899" xr:uid="{00000000-0005-0000-0000-00007C2E0000}"/>
    <cellStyle name="Normal 5 5 4 3 4" xfId="11900" xr:uid="{00000000-0005-0000-0000-00007D2E0000}"/>
    <cellStyle name="Normal 5 5 4 3 4 2" xfId="11901" xr:uid="{00000000-0005-0000-0000-00007E2E0000}"/>
    <cellStyle name="Normal 5 5 4 3 5" xfId="11902" xr:uid="{00000000-0005-0000-0000-00007F2E0000}"/>
    <cellStyle name="Normal 5 5 4 4" xfId="11903" xr:uid="{00000000-0005-0000-0000-0000802E0000}"/>
    <cellStyle name="Normal 5 5 4 4 2" xfId="11904" xr:uid="{00000000-0005-0000-0000-0000812E0000}"/>
    <cellStyle name="Normal 5 5 4 4 2 2" xfId="11905" xr:uid="{00000000-0005-0000-0000-0000822E0000}"/>
    <cellStyle name="Normal 5 5 4 4 2 2 2" xfId="11906" xr:uid="{00000000-0005-0000-0000-0000832E0000}"/>
    <cellStyle name="Normal 5 5 4 4 2 3" xfId="11907" xr:uid="{00000000-0005-0000-0000-0000842E0000}"/>
    <cellStyle name="Normal 5 5 4 4 3" xfId="11908" xr:uid="{00000000-0005-0000-0000-0000852E0000}"/>
    <cellStyle name="Normal 5 5 4 4 3 2" xfId="11909" xr:uid="{00000000-0005-0000-0000-0000862E0000}"/>
    <cellStyle name="Normal 5 5 4 4 4" xfId="11910" xr:uid="{00000000-0005-0000-0000-0000872E0000}"/>
    <cellStyle name="Normal 5 5 4 5" xfId="11911" xr:uid="{00000000-0005-0000-0000-0000882E0000}"/>
    <cellStyle name="Normal 5 5 4 5 2" xfId="11912" xr:uid="{00000000-0005-0000-0000-0000892E0000}"/>
    <cellStyle name="Normal 5 5 4 5 2 2" xfId="11913" xr:uid="{00000000-0005-0000-0000-00008A2E0000}"/>
    <cellStyle name="Normal 5 5 4 5 3" xfId="11914" xr:uid="{00000000-0005-0000-0000-00008B2E0000}"/>
    <cellStyle name="Normal 5 5 4 6" xfId="11915" xr:uid="{00000000-0005-0000-0000-00008C2E0000}"/>
    <cellStyle name="Normal 5 5 4 6 2" xfId="11916" xr:uid="{00000000-0005-0000-0000-00008D2E0000}"/>
    <cellStyle name="Normal 5 5 4 7" xfId="11917" xr:uid="{00000000-0005-0000-0000-00008E2E0000}"/>
    <cellStyle name="Normal 5 5 5" xfId="11918" xr:uid="{00000000-0005-0000-0000-00008F2E0000}"/>
    <cellStyle name="Normal 5 5 5 2" xfId="11919" xr:uid="{00000000-0005-0000-0000-0000902E0000}"/>
    <cellStyle name="Normal 5 5 5 2 2" xfId="11920" xr:uid="{00000000-0005-0000-0000-0000912E0000}"/>
    <cellStyle name="Normal 5 5 5 2 2 2" xfId="11921" xr:uid="{00000000-0005-0000-0000-0000922E0000}"/>
    <cellStyle name="Normal 5 5 5 2 2 2 2" xfId="11922" xr:uid="{00000000-0005-0000-0000-0000932E0000}"/>
    <cellStyle name="Normal 5 5 5 2 2 2 2 2" xfId="11923" xr:uid="{00000000-0005-0000-0000-0000942E0000}"/>
    <cellStyle name="Normal 5 5 5 2 2 2 3" xfId="11924" xr:uid="{00000000-0005-0000-0000-0000952E0000}"/>
    <cellStyle name="Normal 5 5 5 2 2 3" xfId="11925" xr:uid="{00000000-0005-0000-0000-0000962E0000}"/>
    <cellStyle name="Normal 5 5 5 2 2 3 2" xfId="11926" xr:uid="{00000000-0005-0000-0000-0000972E0000}"/>
    <cellStyle name="Normal 5 5 5 2 2 4" xfId="11927" xr:uid="{00000000-0005-0000-0000-0000982E0000}"/>
    <cellStyle name="Normal 5 5 5 2 3" xfId="11928" xr:uid="{00000000-0005-0000-0000-0000992E0000}"/>
    <cellStyle name="Normal 5 5 5 2 3 2" xfId="11929" xr:uid="{00000000-0005-0000-0000-00009A2E0000}"/>
    <cellStyle name="Normal 5 5 5 2 3 2 2" xfId="11930" xr:uid="{00000000-0005-0000-0000-00009B2E0000}"/>
    <cellStyle name="Normal 5 5 5 2 3 3" xfId="11931" xr:uid="{00000000-0005-0000-0000-00009C2E0000}"/>
    <cellStyle name="Normal 5 5 5 2 4" xfId="11932" xr:uid="{00000000-0005-0000-0000-00009D2E0000}"/>
    <cellStyle name="Normal 5 5 5 2 4 2" xfId="11933" xr:uid="{00000000-0005-0000-0000-00009E2E0000}"/>
    <cellStyle name="Normal 5 5 5 2 5" xfId="11934" xr:uid="{00000000-0005-0000-0000-00009F2E0000}"/>
    <cellStyle name="Normal 5 5 5 3" xfId="11935" xr:uid="{00000000-0005-0000-0000-0000A02E0000}"/>
    <cellStyle name="Normal 5 5 5 3 2" xfId="11936" xr:uid="{00000000-0005-0000-0000-0000A12E0000}"/>
    <cellStyle name="Normal 5 5 5 3 2 2" xfId="11937" xr:uid="{00000000-0005-0000-0000-0000A22E0000}"/>
    <cellStyle name="Normal 5 5 5 3 2 2 2" xfId="11938" xr:uid="{00000000-0005-0000-0000-0000A32E0000}"/>
    <cellStyle name="Normal 5 5 5 3 2 3" xfId="11939" xr:uid="{00000000-0005-0000-0000-0000A42E0000}"/>
    <cellStyle name="Normal 5 5 5 3 3" xfId="11940" xr:uid="{00000000-0005-0000-0000-0000A52E0000}"/>
    <cellStyle name="Normal 5 5 5 3 3 2" xfId="11941" xr:uid="{00000000-0005-0000-0000-0000A62E0000}"/>
    <cellStyle name="Normal 5 5 5 3 4" xfId="11942" xr:uid="{00000000-0005-0000-0000-0000A72E0000}"/>
    <cellStyle name="Normal 5 5 5 4" xfId="11943" xr:uid="{00000000-0005-0000-0000-0000A82E0000}"/>
    <cellStyle name="Normal 5 5 5 4 2" xfId="11944" xr:uid="{00000000-0005-0000-0000-0000A92E0000}"/>
    <cellStyle name="Normal 5 5 5 4 2 2" xfId="11945" xr:uid="{00000000-0005-0000-0000-0000AA2E0000}"/>
    <cellStyle name="Normal 5 5 5 4 3" xfId="11946" xr:uid="{00000000-0005-0000-0000-0000AB2E0000}"/>
    <cellStyle name="Normal 5 5 5 5" xfId="11947" xr:uid="{00000000-0005-0000-0000-0000AC2E0000}"/>
    <cellStyle name="Normal 5 5 5 5 2" xfId="11948" xr:uid="{00000000-0005-0000-0000-0000AD2E0000}"/>
    <cellStyle name="Normal 5 5 5 6" xfId="11949" xr:uid="{00000000-0005-0000-0000-0000AE2E0000}"/>
    <cellStyle name="Normal 5 5 6" xfId="11950" xr:uid="{00000000-0005-0000-0000-0000AF2E0000}"/>
    <cellStyle name="Normal 5 5 6 2" xfId="11951" xr:uid="{00000000-0005-0000-0000-0000B02E0000}"/>
    <cellStyle name="Normal 5 5 6 2 2" xfId="11952" xr:uid="{00000000-0005-0000-0000-0000B12E0000}"/>
    <cellStyle name="Normal 5 5 6 2 2 2" xfId="11953" xr:uid="{00000000-0005-0000-0000-0000B22E0000}"/>
    <cellStyle name="Normal 5 5 6 2 2 2 2" xfId="11954" xr:uid="{00000000-0005-0000-0000-0000B32E0000}"/>
    <cellStyle name="Normal 5 5 6 2 2 3" xfId="11955" xr:uid="{00000000-0005-0000-0000-0000B42E0000}"/>
    <cellStyle name="Normal 5 5 6 2 3" xfId="11956" xr:uid="{00000000-0005-0000-0000-0000B52E0000}"/>
    <cellStyle name="Normal 5 5 6 2 3 2" xfId="11957" xr:uid="{00000000-0005-0000-0000-0000B62E0000}"/>
    <cellStyle name="Normal 5 5 6 2 4" xfId="11958" xr:uid="{00000000-0005-0000-0000-0000B72E0000}"/>
    <cellStyle name="Normal 5 5 6 3" xfId="11959" xr:uid="{00000000-0005-0000-0000-0000B82E0000}"/>
    <cellStyle name="Normal 5 5 6 3 2" xfId="11960" xr:uid="{00000000-0005-0000-0000-0000B92E0000}"/>
    <cellStyle name="Normal 5 5 6 3 2 2" xfId="11961" xr:uid="{00000000-0005-0000-0000-0000BA2E0000}"/>
    <cellStyle name="Normal 5 5 6 3 3" xfId="11962" xr:uid="{00000000-0005-0000-0000-0000BB2E0000}"/>
    <cellStyle name="Normal 5 5 6 4" xfId="11963" xr:uid="{00000000-0005-0000-0000-0000BC2E0000}"/>
    <cellStyle name="Normal 5 5 6 4 2" xfId="11964" xr:uid="{00000000-0005-0000-0000-0000BD2E0000}"/>
    <cellStyle name="Normal 5 5 6 5" xfId="11965" xr:uid="{00000000-0005-0000-0000-0000BE2E0000}"/>
    <cellStyle name="Normal 5 5 7" xfId="11966" xr:uid="{00000000-0005-0000-0000-0000BF2E0000}"/>
    <cellStyle name="Normal 5 5 7 2" xfId="11967" xr:uid="{00000000-0005-0000-0000-0000C02E0000}"/>
    <cellStyle name="Normal 5 5 7 2 2" xfId="11968" xr:uid="{00000000-0005-0000-0000-0000C12E0000}"/>
    <cellStyle name="Normal 5 5 7 2 2 2" xfId="11969" xr:uid="{00000000-0005-0000-0000-0000C22E0000}"/>
    <cellStyle name="Normal 5 5 7 2 3" xfId="11970" xr:uid="{00000000-0005-0000-0000-0000C32E0000}"/>
    <cellStyle name="Normal 5 5 7 3" xfId="11971" xr:uid="{00000000-0005-0000-0000-0000C42E0000}"/>
    <cellStyle name="Normal 5 5 7 3 2" xfId="11972" xr:uid="{00000000-0005-0000-0000-0000C52E0000}"/>
    <cellStyle name="Normal 5 5 7 4" xfId="11973" xr:uid="{00000000-0005-0000-0000-0000C62E0000}"/>
    <cellStyle name="Normal 5 5 8" xfId="11974" xr:uid="{00000000-0005-0000-0000-0000C72E0000}"/>
    <cellStyle name="Normal 5 5 8 2" xfId="11975" xr:uid="{00000000-0005-0000-0000-0000C82E0000}"/>
    <cellStyle name="Normal 5 5 8 2 2" xfId="11976" xr:uid="{00000000-0005-0000-0000-0000C92E0000}"/>
    <cellStyle name="Normal 5 5 8 3" xfId="11977" xr:uid="{00000000-0005-0000-0000-0000CA2E0000}"/>
    <cellStyle name="Normal 5 5 9" xfId="11978" xr:uid="{00000000-0005-0000-0000-0000CB2E0000}"/>
    <cellStyle name="Normal 5 5 9 2" xfId="11979" xr:uid="{00000000-0005-0000-0000-0000CC2E0000}"/>
    <cellStyle name="Normal 5 6" xfId="11980" xr:uid="{00000000-0005-0000-0000-0000CD2E0000}"/>
    <cellStyle name="Normal 5 6 2" xfId="11981" xr:uid="{00000000-0005-0000-0000-0000CE2E0000}"/>
    <cellStyle name="Normal 5 6 2 2" xfId="11982" xr:uid="{00000000-0005-0000-0000-0000CF2E0000}"/>
    <cellStyle name="Normal 5 6 2 2 2" xfId="11983" xr:uid="{00000000-0005-0000-0000-0000D02E0000}"/>
    <cellStyle name="Normal 5 6 2 2 2 2" xfId="11984" xr:uid="{00000000-0005-0000-0000-0000D12E0000}"/>
    <cellStyle name="Normal 5 6 2 2 2 2 2" xfId="11985" xr:uid="{00000000-0005-0000-0000-0000D22E0000}"/>
    <cellStyle name="Normal 5 6 2 2 2 2 2 2" xfId="11986" xr:uid="{00000000-0005-0000-0000-0000D32E0000}"/>
    <cellStyle name="Normal 5 6 2 2 2 2 2 2 2" xfId="11987" xr:uid="{00000000-0005-0000-0000-0000D42E0000}"/>
    <cellStyle name="Normal 5 6 2 2 2 2 2 2 2 2" xfId="11988" xr:uid="{00000000-0005-0000-0000-0000D52E0000}"/>
    <cellStyle name="Normal 5 6 2 2 2 2 2 2 3" xfId="11989" xr:uid="{00000000-0005-0000-0000-0000D62E0000}"/>
    <cellStyle name="Normal 5 6 2 2 2 2 2 3" xfId="11990" xr:uid="{00000000-0005-0000-0000-0000D72E0000}"/>
    <cellStyle name="Normal 5 6 2 2 2 2 2 3 2" xfId="11991" xr:uid="{00000000-0005-0000-0000-0000D82E0000}"/>
    <cellStyle name="Normal 5 6 2 2 2 2 2 4" xfId="11992" xr:uid="{00000000-0005-0000-0000-0000D92E0000}"/>
    <cellStyle name="Normal 5 6 2 2 2 2 3" xfId="11993" xr:uid="{00000000-0005-0000-0000-0000DA2E0000}"/>
    <cellStyle name="Normal 5 6 2 2 2 2 3 2" xfId="11994" xr:uid="{00000000-0005-0000-0000-0000DB2E0000}"/>
    <cellStyle name="Normal 5 6 2 2 2 2 3 2 2" xfId="11995" xr:uid="{00000000-0005-0000-0000-0000DC2E0000}"/>
    <cellStyle name="Normal 5 6 2 2 2 2 3 3" xfId="11996" xr:uid="{00000000-0005-0000-0000-0000DD2E0000}"/>
    <cellStyle name="Normal 5 6 2 2 2 2 4" xfId="11997" xr:uid="{00000000-0005-0000-0000-0000DE2E0000}"/>
    <cellStyle name="Normal 5 6 2 2 2 2 4 2" xfId="11998" xr:uid="{00000000-0005-0000-0000-0000DF2E0000}"/>
    <cellStyle name="Normal 5 6 2 2 2 2 5" xfId="11999" xr:uid="{00000000-0005-0000-0000-0000E02E0000}"/>
    <cellStyle name="Normal 5 6 2 2 2 3" xfId="12000" xr:uid="{00000000-0005-0000-0000-0000E12E0000}"/>
    <cellStyle name="Normal 5 6 2 2 2 3 2" xfId="12001" xr:uid="{00000000-0005-0000-0000-0000E22E0000}"/>
    <cellStyle name="Normal 5 6 2 2 2 3 2 2" xfId="12002" xr:uid="{00000000-0005-0000-0000-0000E32E0000}"/>
    <cellStyle name="Normal 5 6 2 2 2 3 2 2 2" xfId="12003" xr:uid="{00000000-0005-0000-0000-0000E42E0000}"/>
    <cellStyle name="Normal 5 6 2 2 2 3 2 3" xfId="12004" xr:uid="{00000000-0005-0000-0000-0000E52E0000}"/>
    <cellStyle name="Normal 5 6 2 2 2 3 3" xfId="12005" xr:uid="{00000000-0005-0000-0000-0000E62E0000}"/>
    <cellStyle name="Normal 5 6 2 2 2 3 3 2" xfId="12006" xr:uid="{00000000-0005-0000-0000-0000E72E0000}"/>
    <cellStyle name="Normal 5 6 2 2 2 3 4" xfId="12007" xr:uid="{00000000-0005-0000-0000-0000E82E0000}"/>
    <cellStyle name="Normal 5 6 2 2 2 4" xfId="12008" xr:uid="{00000000-0005-0000-0000-0000E92E0000}"/>
    <cellStyle name="Normal 5 6 2 2 2 4 2" xfId="12009" xr:uid="{00000000-0005-0000-0000-0000EA2E0000}"/>
    <cellStyle name="Normal 5 6 2 2 2 4 2 2" xfId="12010" xr:uid="{00000000-0005-0000-0000-0000EB2E0000}"/>
    <cellStyle name="Normal 5 6 2 2 2 4 3" xfId="12011" xr:uid="{00000000-0005-0000-0000-0000EC2E0000}"/>
    <cellStyle name="Normal 5 6 2 2 2 5" xfId="12012" xr:uid="{00000000-0005-0000-0000-0000ED2E0000}"/>
    <cellStyle name="Normal 5 6 2 2 2 5 2" xfId="12013" xr:uid="{00000000-0005-0000-0000-0000EE2E0000}"/>
    <cellStyle name="Normal 5 6 2 2 2 6" xfId="12014" xr:uid="{00000000-0005-0000-0000-0000EF2E0000}"/>
    <cellStyle name="Normal 5 6 2 2 3" xfId="12015" xr:uid="{00000000-0005-0000-0000-0000F02E0000}"/>
    <cellStyle name="Normal 5 6 2 2 3 2" xfId="12016" xr:uid="{00000000-0005-0000-0000-0000F12E0000}"/>
    <cellStyle name="Normal 5 6 2 2 3 2 2" xfId="12017" xr:uid="{00000000-0005-0000-0000-0000F22E0000}"/>
    <cellStyle name="Normal 5 6 2 2 3 2 2 2" xfId="12018" xr:uid="{00000000-0005-0000-0000-0000F32E0000}"/>
    <cellStyle name="Normal 5 6 2 2 3 2 2 2 2" xfId="12019" xr:uid="{00000000-0005-0000-0000-0000F42E0000}"/>
    <cellStyle name="Normal 5 6 2 2 3 2 2 3" xfId="12020" xr:uid="{00000000-0005-0000-0000-0000F52E0000}"/>
    <cellStyle name="Normal 5 6 2 2 3 2 3" xfId="12021" xr:uid="{00000000-0005-0000-0000-0000F62E0000}"/>
    <cellStyle name="Normal 5 6 2 2 3 2 3 2" xfId="12022" xr:uid="{00000000-0005-0000-0000-0000F72E0000}"/>
    <cellStyle name="Normal 5 6 2 2 3 2 4" xfId="12023" xr:uid="{00000000-0005-0000-0000-0000F82E0000}"/>
    <cellStyle name="Normal 5 6 2 2 3 3" xfId="12024" xr:uid="{00000000-0005-0000-0000-0000F92E0000}"/>
    <cellStyle name="Normal 5 6 2 2 3 3 2" xfId="12025" xr:uid="{00000000-0005-0000-0000-0000FA2E0000}"/>
    <cellStyle name="Normal 5 6 2 2 3 3 2 2" xfId="12026" xr:uid="{00000000-0005-0000-0000-0000FB2E0000}"/>
    <cellStyle name="Normal 5 6 2 2 3 3 3" xfId="12027" xr:uid="{00000000-0005-0000-0000-0000FC2E0000}"/>
    <cellStyle name="Normal 5 6 2 2 3 4" xfId="12028" xr:uid="{00000000-0005-0000-0000-0000FD2E0000}"/>
    <cellStyle name="Normal 5 6 2 2 3 4 2" xfId="12029" xr:uid="{00000000-0005-0000-0000-0000FE2E0000}"/>
    <cellStyle name="Normal 5 6 2 2 3 5" xfId="12030" xr:uid="{00000000-0005-0000-0000-0000FF2E0000}"/>
    <cellStyle name="Normal 5 6 2 2 4" xfId="12031" xr:uid="{00000000-0005-0000-0000-0000002F0000}"/>
    <cellStyle name="Normal 5 6 2 2 4 2" xfId="12032" xr:uid="{00000000-0005-0000-0000-0000012F0000}"/>
    <cellStyle name="Normal 5 6 2 2 4 2 2" xfId="12033" xr:uid="{00000000-0005-0000-0000-0000022F0000}"/>
    <cellStyle name="Normal 5 6 2 2 4 2 2 2" xfId="12034" xr:uid="{00000000-0005-0000-0000-0000032F0000}"/>
    <cellStyle name="Normal 5 6 2 2 4 2 3" xfId="12035" xr:uid="{00000000-0005-0000-0000-0000042F0000}"/>
    <cellStyle name="Normal 5 6 2 2 4 3" xfId="12036" xr:uid="{00000000-0005-0000-0000-0000052F0000}"/>
    <cellStyle name="Normal 5 6 2 2 4 3 2" xfId="12037" xr:uid="{00000000-0005-0000-0000-0000062F0000}"/>
    <cellStyle name="Normal 5 6 2 2 4 4" xfId="12038" xr:uid="{00000000-0005-0000-0000-0000072F0000}"/>
    <cellStyle name="Normal 5 6 2 2 5" xfId="12039" xr:uid="{00000000-0005-0000-0000-0000082F0000}"/>
    <cellStyle name="Normal 5 6 2 2 5 2" xfId="12040" xr:uid="{00000000-0005-0000-0000-0000092F0000}"/>
    <cellStyle name="Normal 5 6 2 2 5 2 2" xfId="12041" xr:uid="{00000000-0005-0000-0000-00000A2F0000}"/>
    <cellStyle name="Normal 5 6 2 2 5 3" xfId="12042" xr:uid="{00000000-0005-0000-0000-00000B2F0000}"/>
    <cellStyle name="Normal 5 6 2 2 6" xfId="12043" xr:uid="{00000000-0005-0000-0000-00000C2F0000}"/>
    <cellStyle name="Normal 5 6 2 2 6 2" xfId="12044" xr:uid="{00000000-0005-0000-0000-00000D2F0000}"/>
    <cellStyle name="Normal 5 6 2 2 7" xfId="12045" xr:uid="{00000000-0005-0000-0000-00000E2F0000}"/>
    <cellStyle name="Normal 5 6 2 3" xfId="12046" xr:uid="{00000000-0005-0000-0000-00000F2F0000}"/>
    <cellStyle name="Normal 5 6 2 3 2" xfId="12047" xr:uid="{00000000-0005-0000-0000-0000102F0000}"/>
    <cellStyle name="Normal 5 6 2 3 2 2" xfId="12048" xr:uid="{00000000-0005-0000-0000-0000112F0000}"/>
    <cellStyle name="Normal 5 6 2 3 2 2 2" xfId="12049" xr:uid="{00000000-0005-0000-0000-0000122F0000}"/>
    <cellStyle name="Normal 5 6 2 3 2 2 2 2" xfId="12050" xr:uid="{00000000-0005-0000-0000-0000132F0000}"/>
    <cellStyle name="Normal 5 6 2 3 2 2 2 2 2" xfId="12051" xr:uid="{00000000-0005-0000-0000-0000142F0000}"/>
    <cellStyle name="Normal 5 6 2 3 2 2 2 3" xfId="12052" xr:uid="{00000000-0005-0000-0000-0000152F0000}"/>
    <cellStyle name="Normal 5 6 2 3 2 2 3" xfId="12053" xr:uid="{00000000-0005-0000-0000-0000162F0000}"/>
    <cellStyle name="Normal 5 6 2 3 2 2 3 2" xfId="12054" xr:uid="{00000000-0005-0000-0000-0000172F0000}"/>
    <cellStyle name="Normal 5 6 2 3 2 2 4" xfId="12055" xr:uid="{00000000-0005-0000-0000-0000182F0000}"/>
    <cellStyle name="Normal 5 6 2 3 2 3" xfId="12056" xr:uid="{00000000-0005-0000-0000-0000192F0000}"/>
    <cellStyle name="Normal 5 6 2 3 2 3 2" xfId="12057" xr:uid="{00000000-0005-0000-0000-00001A2F0000}"/>
    <cellStyle name="Normal 5 6 2 3 2 3 2 2" xfId="12058" xr:uid="{00000000-0005-0000-0000-00001B2F0000}"/>
    <cellStyle name="Normal 5 6 2 3 2 3 3" xfId="12059" xr:uid="{00000000-0005-0000-0000-00001C2F0000}"/>
    <cellStyle name="Normal 5 6 2 3 2 4" xfId="12060" xr:uid="{00000000-0005-0000-0000-00001D2F0000}"/>
    <cellStyle name="Normal 5 6 2 3 2 4 2" xfId="12061" xr:uid="{00000000-0005-0000-0000-00001E2F0000}"/>
    <cellStyle name="Normal 5 6 2 3 2 5" xfId="12062" xr:uid="{00000000-0005-0000-0000-00001F2F0000}"/>
    <cellStyle name="Normal 5 6 2 3 3" xfId="12063" xr:uid="{00000000-0005-0000-0000-0000202F0000}"/>
    <cellStyle name="Normal 5 6 2 3 3 2" xfId="12064" xr:uid="{00000000-0005-0000-0000-0000212F0000}"/>
    <cellStyle name="Normal 5 6 2 3 3 2 2" xfId="12065" xr:uid="{00000000-0005-0000-0000-0000222F0000}"/>
    <cellStyle name="Normal 5 6 2 3 3 2 2 2" xfId="12066" xr:uid="{00000000-0005-0000-0000-0000232F0000}"/>
    <cellStyle name="Normal 5 6 2 3 3 2 3" xfId="12067" xr:uid="{00000000-0005-0000-0000-0000242F0000}"/>
    <cellStyle name="Normal 5 6 2 3 3 3" xfId="12068" xr:uid="{00000000-0005-0000-0000-0000252F0000}"/>
    <cellStyle name="Normal 5 6 2 3 3 3 2" xfId="12069" xr:uid="{00000000-0005-0000-0000-0000262F0000}"/>
    <cellStyle name="Normal 5 6 2 3 3 4" xfId="12070" xr:uid="{00000000-0005-0000-0000-0000272F0000}"/>
    <cellStyle name="Normal 5 6 2 3 4" xfId="12071" xr:uid="{00000000-0005-0000-0000-0000282F0000}"/>
    <cellStyle name="Normal 5 6 2 3 4 2" xfId="12072" xr:uid="{00000000-0005-0000-0000-0000292F0000}"/>
    <cellStyle name="Normal 5 6 2 3 4 2 2" xfId="12073" xr:uid="{00000000-0005-0000-0000-00002A2F0000}"/>
    <cellStyle name="Normal 5 6 2 3 4 3" xfId="12074" xr:uid="{00000000-0005-0000-0000-00002B2F0000}"/>
    <cellStyle name="Normal 5 6 2 3 5" xfId="12075" xr:uid="{00000000-0005-0000-0000-00002C2F0000}"/>
    <cellStyle name="Normal 5 6 2 3 5 2" xfId="12076" xr:uid="{00000000-0005-0000-0000-00002D2F0000}"/>
    <cellStyle name="Normal 5 6 2 3 6" xfId="12077" xr:uid="{00000000-0005-0000-0000-00002E2F0000}"/>
    <cellStyle name="Normal 5 6 2 4" xfId="12078" xr:uid="{00000000-0005-0000-0000-00002F2F0000}"/>
    <cellStyle name="Normal 5 6 2 4 2" xfId="12079" xr:uid="{00000000-0005-0000-0000-0000302F0000}"/>
    <cellStyle name="Normal 5 6 2 4 2 2" xfId="12080" xr:uid="{00000000-0005-0000-0000-0000312F0000}"/>
    <cellStyle name="Normal 5 6 2 4 2 2 2" xfId="12081" xr:uid="{00000000-0005-0000-0000-0000322F0000}"/>
    <cellStyle name="Normal 5 6 2 4 2 2 2 2" xfId="12082" xr:uid="{00000000-0005-0000-0000-0000332F0000}"/>
    <cellStyle name="Normal 5 6 2 4 2 2 3" xfId="12083" xr:uid="{00000000-0005-0000-0000-0000342F0000}"/>
    <cellStyle name="Normal 5 6 2 4 2 3" xfId="12084" xr:uid="{00000000-0005-0000-0000-0000352F0000}"/>
    <cellStyle name="Normal 5 6 2 4 2 3 2" xfId="12085" xr:uid="{00000000-0005-0000-0000-0000362F0000}"/>
    <cellStyle name="Normal 5 6 2 4 2 4" xfId="12086" xr:uid="{00000000-0005-0000-0000-0000372F0000}"/>
    <cellStyle name="Normal 5 6 2 4 3" xfId="12087" xr:uid="{00000000-0005-0000-0000-0000382F0000}"/>
    <cellStyle name="Normal 5 6 2 4 3 2" xfId="12088" xr:uid="{00000000-0005-0000-0000-0000392F0000}"/>
    <cellStyle name="Normal 5 6 2 4 3 2 2" xfId="12089" xr:uid="{00000000-0005-0000-0000-00003A2F0000}"/>
    <cellStyle name="Normal 5 6 2 4 3 3" xfId="12090" xr:uid="{00000000-0005-0000-0000-00003B2F0000}"/>
    <cellStyle name="Normal 5 6 2 4 4" xfId="12091" xr:uid="{00000000-0005-0000-0000-00003C2F0000}"/>
    <cellStyle name="Normal 5 6 2 4 4 2" xfId="12092" xr:uid="{00000000-0005-0000-0000-00003D2F0000}"/>
    <cellStyle name="Normal 5 6 2 4 5" xfId="12093" xr:uid="{00000000-0005-0000-0000-00003E2F0000}"/>
    <cellStyle name="Normal 5 6 2 5" xfId="12094" xr:uid="{00000000-0005-0000-0000-00003F2F0000}"/>
    <cellStyle name="Normal 5 6 2 5 2" xfId="12095" xr:uid="{00000000-0005-0000-0000-0000402F0000}"/>
    <cellStyle name="Normal 5 6 2 5 2 2" xfId="12096" xr:uid="{00000000-0005-0000-0000-0000412F0000}"/>
    <cellStyle name="Normal 5 6 2 5 2 2 2" xfId="12097" xr:uid="{00000000-0005-0000-0000-0000422F0000}"/>
    <cellStyle name="Normal 5 6 2 5 2 3" xfId="12098" xr:uid="{00000000-0005-0000-0000-0000432F0000}"/>
    <cellStyle name="Normal 5 6 2 5 3" xfId="12099" xr:uid="{00000000-0005-0000-0000-0000442F0000}"/>
    <cellStyle name="Normal 5 6 2 5 3 2" xfId="12100" xr:uid="{00000000-0005-0000-0000-0000452F0000}"/>
    <cellStyle name="Normal 5 6 2 5 4" xfId="12101" xr:uid="{00000000-0005-0000-0000-0000462F0000}"/>
    <cellStyle name="Normal 5 6 2 6" xfId="12102" xr:uid="{00000000-0005-0000-0000-0000472F0000}"/>
    <cellStyle name="Normal 5 6 2 6 2" xfId="12103" xr:uid="{00000000-0005-0000-0000-0000482F0000}"/>
    <cellStyle name="Normal 5 6 2 6 2 2" xfId="12104" xr:uid="{00000000-0005-0000-0000-0000492F0000}"/>
    <cellStyle name="Normal 5 6 2 6 3" xfId="12105" xr:uid="{00000000-0005-0000-0000-00004A2F0000}"/>
    <cellStyle name="Normal 5 6 2 7" xfId="12106" xr:uid="{00000000-0005-0000-0000-00004B2F0000}"/>
    <cellStyle name="Normal 5 6 2 7 2" xfId="12107" xr:uid="{00000000-0005-0000-0000-00004C2F0000}"/>
    <cellStyle name="Normal 5 6 2 8" xfId="12108" xr:uid="{00000000-0005-0000-0000-00004D2F0000}"/>
    <cellStyle name="Normal 5 6 3" xfId="12109" xr:uid="{00000000-0005-0000-0000-00004E2F0000}"/>
    <cellStyle name="Normal 5 6 3 2" xfId="12110" xr:uid="{00000000-0005-0000-0000-00004F2F0000}"/>
    <cellStyle name="Normal 5 6 3 2 2" xfId="12111" xr:uid="{00000000-0005-0000-0000-0000502F0000}"/>
    <cellStyle name="Normal 5 6 3 2 2 2" xfId="12112" xr:uid="{00000000-0005-0000-0000-0000512F0000}"/>
    <cellStyle name="Normal 5 6 3 2 2 2 2" xfId="12113" xr:uid="{00000000-0005-0000-0000-0000522F0000}"/>
    <cellStyle name="Normal 5 6 3 2 2 2 2 2" xfId="12114" xr:uid="{00000000-0005-0000-0000-0000532F0000}"/>
    <cellStyle name="Normal 5 6 3 2 2 2 2 2 2" xfId="12115" xr:uid="{00000000-0005-0000-0000-0000542F0000}"/>
    <cellStyle name="Normal 5 6 3 2 2 2 2 3" xfId="12116" xr:uid="{00000000-0005-0000-0000-0000552F0000}"/>
    <cellStyle name="Normal 5 6 3 2 2 2 3" xfId="12117" xr:uid="{00000000-0005-0000-0000-0000562F0000}"/>
    <cellStyle name="Normal 5 6 3 2 2 2 3 2" xfId="12118" xr:uid="{00000000-0005-0000-0000-0000572F0000}"/>
    <cellStyle name="Normal 5 6 3 2 2 2 4" xfId="12119" xr:uid="{00000000-0005-0000-0000-0000582F0000}"/>
    <cellStyle name="Normal 5 6 3 2 2 3" xfId="12120" xr:uid="{00000000-0005-0000-0000-0000592F0000}"/>
    <cellStyle name="Normal 5 6 3 2 2 3 2" xfId="12121" xr:uid="{00000000-0005-0000-0000-00005A2F0000}"/>
    <cellStyle name="Normal 5 6 3 2 2 3 2 2" xfId="12122" xr:uid="{00000000-0005-0000-0000-00005B2F0000}"/>
    <cellStyle name="Normal 5 6 3 2 2 3 3" xfId="12123" xr:uid="{00000000-0005-0000-0000-00005C2F0000}"/>
    <cellStyle name="Normal 5 6 3 2 2 4" xfId="12124" xr:uid="{00000000-0005-0000-0000-00005D2F0000}"/>
    <cellStyle name="Normal 5 6 3 2 2 4 2" xfId="12125" xr:uid="{00000000-0005-0000-0000-00005E2F0000}"/>
    <cellStyle name="Normal 5 6 3 2 2 5" xfId="12126" xr:uid="{00000000-0005-0000-0000-00005F2F0000}"/>
    <cellStyle name="Normal 5 6 3 2 3" xfId="12127" xr:uid="{00000000-0005-0000-0000-0000602F0000}"/>
    <cellStyle name="Normal 5 6 3 2 3 2" xfId="12128" xr:uid="{00000000-0005-0000-0000-0000612F0000}"/>
    <cellStyle name="Normal 5 6 3 2 3 2 2" xfId="12129" xr:uid="{00000000-0005-0000-0000-0000622F0000}"/>
    <cellStyle name="Normal 5 6 3 2 3 2 2 2" xfId="12130" xr:uid="{00000000-0005-0000-0000-0000632F0000}"/>
    <cellStyle name="Normal 5 6 3 2 3 2 3" xfId="12131" xr:uid="{00000000-0005-0000-0000-0000642F0000}"/>
    <cellStyle name="Normal 5 6 3 2 3 3" xfId="12132" xr:uid="{00000000-0005-0000-0000-0000652F0000}"/>
    <cellStyle name="Normal 5 6 3 2 3 3 2" xfId="12133" xr:uid="{00000000-0005-0000-0000-0000662F0000}"/>
    <cellStyle name="Normal 5 6 3 2 3 4" xfId="12134" xr:uid="{00000000-0005-0000-0000-0000672F0000}"/>
    <cellStyle name="Normal 5 6 3 2 4" xfId="12135" xr:uid="{00000000-0005-0000-0000-0000682F0000}"/>
    <cellStyle name="Normal 5 6 3 2 4 2" xfId="12136" xr:uid="{00000000-0005-0000-0000-0000692F0000}"/>
    <cellStyle name="Normal 5 6 3 2 4 2 2" xfId="12137" xr:uid="{00000000-0005-0000-0000-00006A2F0000}"/>
    <cellStyle name="Normal 5 6 3 2 4 3" xfId="12138" xr:uid="{00000000-0005-0000-0000-00006B2F0000}"/>
    <cellStyle name="Normal 5 6 3 2 5" xfId="12139" xr:uid="{00000000-0005-0000-0000-00006C2F0000}"/>
    <cellStyle name="Normal 5 6 3 2 5 2" xfId="12140" xr:uid="{00000000-0005-0000-0000-00006D2F0000}"/>
    <cellStyle name="Normal 5 6 3 2 6" xfId="12141" xr:uid="{00000000-0005-0000-0000-00006E2F0000}"/>
    <cellStyle name="Normal 5 6 3 3" xfId="12142" xr:uid="{00000000-0005-0000-0000-00006F2F0000}"/>
    <cellStyle name="Normal 5 6 3 3 2" xfId="12143" xr:uid="{00000000-0005-0000-0000-0000702F0000}"/>
    <cellStyle name="Normal 5 6 3 3 2 2" xfId="12144" xr:uid="{00000000-0005-0000-0000-0000712F0000}"/>
    <cellStyle name="Normal 5 6 3 3 2 2 2" xfId="12145" xr:uid="{00000000-0005-0000-0000-0000722F0000}"/>
    <cellStyle name="Normal 5 6 3 3 2 2 2 2" xfId="12146" xr:uid="{00000000-0005-0000-0000-0000732F0000}"/>
    <cellStyle name="Normal 5 6 3 3 2 2 3" xfId="12147" xr:uid="{00000000-0005-0000-0000-0000742F0000}"/>
    <cellStyle name="Normal 5 6 3 3 2 3" xfId="12148" xr:uid="{00000000-0005-0000-0000-0000752F0000}"/>
    <cellStyle name="Normal 5 6 3 3 2 3 2" xfId="12149" xr:uid="{00000000-0005-0000-0000-0000762F0000}"/>
    <cellStyle name="Normal 5 6 3 3 2 4" xfId="12150" xr:uid="{00000000-0005-0000-0000-0000772F0000}"/>
    <cellStyle name="Normal 5 6 3 3 3" xfId="12151" xr:uid="{00000000-0005-0000-0000-0000782F0000}"/>
    <cellStyle name="Normal 5 6 3 3 3 2" xfId="12152" xr:uid="{00000000-0005-0000-0000-0000792F0000}"/>
    <cellStyle name="Normal 5 6 3 3 3 2 2" xfId="12153" xr:uid="{00000000-0005-0000-0000-00007A2F0000}"/>
    <cellStyle name="Normal 5 6 3 3 3 3" xfId="12154" xr:uid="{00000000-0005-0000-0000-00007B2F0000}"/>
    <cellStyle name="Normal 5 6 3 3 4" xfId="12155" xr:uid="{00000000-0005-0000-0000-00007C2F0000}"/>
    <cellStyle name="Normal 5 6 3 3 4 2" xfId="12156" xr:uid="{00000000-0005-0000-0000-00007D2F0000}"/>
    <cellStyle name="Normal 5 6 3 3 5" xfId="12157" xr:uid="{00000000-0005-0000-0000-00007E2F0000}"/>
    <cellStyle name="Normal 5 6 3 4" xfId="12158" xr:uid="{00000000-0005-0000-0000-00007F2F0000}"/>
    <cellStyle name="Normal 5 6 3 4 2" xfId="12159" xr:uid="{00000000-0005-0000-0000-0000802F0000}"/>
    <cellStyle name="Normal 5 6 3 4 2 2" xfId="12160" xr:uid="{00000000-0005-0000-0000-0000812F0000}"/>
    <cellStyle name="Normal 5 6 3 4 2 2 2" xfId="12161" xr:uid="{00000000-0005-0000-0000-0000822F0000}"/>
    <cellStyle name="Normal 5 6 3 4 2 3" xfId="12162" xr:uid="{00000000-0005-0000-0000-0000832F0000}"/>
    <cellStyle name="Normal 5 6 3 4 3" xfId="12163" xr:uid="{00000000-0005-0000-0000-0000842F0000}"/>
    <cellStyle name="Normal 5 6 3 4 3 2" xfId="12164" xr:uid="{00000000-0005-0000-0000-0000852F0000}"/>
    <cellStyle name="Normal 5 6 3 4 4" xfId="12165" xr:uid="{00000000-0005-0000-0000-0000862F0000}"/>
    <cellStyle name="Normal 5 6 3 5" xfId="12166" xr:uid="{00000000-0005-0000-0000-0000872F0000}"/>
    <cellStyle name="Normal 5 6 3 5 2" xfId="12167" xr:uid="{00000000-0005-0000-0000-0000882F0000}"/>
    <cellStyle name="Normal 5 6 3 5 2 2" xfId="12168" xr:uid="{00000000-0005-0000-0000-0000892F0000}"/>
    <cellStyle name="Normal 5 6 3 5 3" xfId="12169" xr:uid="{00000000-0005-0000-0000-00008A2F0000}"/>
    <cellStyle name="Normal 5 6 3 6" xfId="12170" xr:uid="{00000000-0005-0000-0000-00008B2F0000}"/>
    <cellStyle name="Normal 5 6 3 6 2" xfId="12171" xr:uid="{00000000-0005-0000-0000-00008C2F0000}"/>
    <cellStyle name="Normal 5 6 3 7" xfId="12172" xr:uid="{00000000-0005-0000-0000-00008D2F0000}"/>
    <cellStyle name="Normal 5 6 4" xfId="12173" xr:uid="{00000000-0005-0000-0000-00008E2F0000}"/>
    <cellStyle name="Normal 5 6 4 2" xfId="12174" xr:uid="{00000000-0005-0000-0000-00008F2F0000}"/>
    <cellStyle name="Normal 5 6 4 2 2" xfId="12175" xr:uid="{00000000-0005-0000-0000-0000902F0000}"/>
    <cellStyle name="Normal 5 6 4 2 2 2" xfId="12176" xr:uid="{00000000-0005-0000-0000-0000912F0000}"/>
    <cellStyle name="Normal 5 6 4 2 2 2 2" xfId="12177" xr:uid="{00000000-0005-0000-0000-0000922F0000}"/>
    <cellStyle name="Normal 5 6 4 2 2 2 2 2" xfId="12178" xr:uid="{00000000-0005-0000-0000-0000932F0000}"/>
    <cellStyle name="Normal 5 6 4 2 2 2 3" xfId="12179" xr:uid="{00000000-0005-0000-0000-0000942F0000}"/>
    <cellStyle name="Normal 5 6 4 2 2 3" xfId="12180" xr:uid="{00000000-0005-0000-0000-0000952F0000}"/>
    <cellStyle name="Normal 5 6 4 2 2 3 2" xfId="12181" xr:uid="{00000000-0005-0000-0000-0000962F0000}"/>
    <cellStyle name="Normal 5 6 4 2 2 4" xfId="12182" xr:uid="{00000000-0005-0000-0000-0000972F0000}"/>
    <cellStyle name="Normal 5 6 4 2 3" xfId="12183" xr:uid="{00000000-0005-0000-0000-0000982F0000}"/>
    <cellStyle name="Normal 5 6 4 2 3 2" xfId="12184" xr:uid="{00000000-0005-0000-0000-0000992F0000}"/>
    <cellStyle name="Normal 5 6 4 2 3 2 2" xfId="12185" xr:uid="{00000000-0005-0000-0000-00009A2F0000}"/>
    <cellStyle name="Normal 5 6 4 2 3 3" xfId="12186" xr:uid="{00000000-0005-0000-0000-00009B2F0000}"/>
    <cellStyle name="Normal 5 6 4 2 4" xfId="12187" xr:uid="{00000000-0005-0000-0000-00009C2F0000}"/>
    <cellStyle name="Normal 5 6 4 2 4 2" xfId="12188" xr:uid="{00000000-0005-0000-0000-00009D2F0000}"/>
    <cellStyle name="Normal 5 6 4 2 5" xfId="12189" xr:uid="{00000000-0005-0000-0000-00009E2F0000}"/>
    <cellStyle name="Normal 5 6 4 3" xfId="12190" xr:uid="{00000000-0005-0000-0000-00009F2F0000}"/>
    <cellStyle name="Normal 5 6 4 3 2" xfId="12191" xr:uid="{00000000-0005-0000-0000-0000A02F0000}"/>
    <cellStyle name="Normal 5 6 4 3 2 2" xfId="12192" xr:uid="{00000000-0005-0000-0000-0000A12F0000}"/>
    <cellStyle name="Normal 5 6 4 3 2 2 2" xfId="12193" xr:uid="{00000000-0005-0000-0000-0000A22F0000}"/>
    <cellStyle name="Normal 5 6 4 3 2 3" xfId="12194" xr:uid="{00000000-0005-0000-0000-0000A32F0000}"/>
    <cellStyle name="Normal 5 6 4 3 3" xfId="12195" xr:uid="{00000000-0005-0000-0000-0000A42F0000}"/>
    <cellStyle name="Normal 5 6 4 3 3 2" xfId="12196" xr:uid="{00000000-0005-0000-0000-0000A52F0000}"/>
    <cellStyle name="Normal 5 6 4 3 4" xfId="12197" xr:uid="{00000000-0005-0000-0000-0000A62F0000}"/>
    <cellStyle name="Normal 5 6 4 4" xfId="12198" xr:uid="{00000000-0005-0000-0000-0000A72F0000}"/>
    <cellStyle name="Normal 5 6 4 4 2" xfId="12199" xr:uid="{00000000-0005-0000-0000-0000A82F0000}"/>
    <cellStyle name="Normal 5 6 4 4 2 2" xfId="12200" xr:uid="{00000000-0005-0000-0000-0000A92F0000}"/>
    <cellStyle name="Normal 5 6 4 4 3" xfId="12201" xr:uid="{00000000-0005-0000-0000-0000AA2F0000}"/>
    <cellStyle name="Normal 5 6 4 5" xfId="12202" xr:uid="{00000000-0005-0000-0000-0000AB2F0000}"/>
    <cellStyle name="Normal 5 6 4 5 2" xfId="12203" xr:uid="{00000000-0005-0000-0000-0000AC2F0000}"/>
    <cellStyle name="Normal 5 6 4 6" xfId="12204" xr:uid="{00000000-0005-0000-0000-0000AD2F0000}"/>
    <cellStyle name="Normal 5 6 5" xfId="12205" xr:uid="{00000000-0005-0000-0000-0000AE2F0000}"/>
    <cellStyle name="Normal 5 6 5 2" xfId="12206" xr:uid="{00000000-0005-0000-0000-0000AF2F0000}"/>
    <cellStyle name="Normal 5 6 5 2 2" xfId="12207" xr:uid="{00000000-0005-0000-0000-0000B02F0000}"/>
    <cellStyle name="Normal 5 6 5 2 2 2" xfId="12208" xr:uid="{00000000-0005-0000-0000-0000B12F0000}"/>
    <cellStyle name="Normal 5 6 5 2 2 2 2" xfId="12209" xr:uid="{00000000-0005-0000-0000-0000B22F0000}"/>
    <cellStyle name="Normal 5 6 5 2 2 3" xfId="12210" xr:uid="{00000000-0005-0000-0000-0000B32F0000}"/>
    <cellStyle name="Normal 5 6 5 2 3" xfId="12211" xr:uid="{00000000-0005-0000-0000-0000B42F0000}"/>
    <cellStyle name="Normal 5 6 5 2 3 2" xfId="12212" xr:uid="{00000000-0005-0000-0000-0000B52F0000}"/>
    <cellStyle name="Normal 5 6 5 2 4" xfId="12213" xr:uid="{00000000-0005-0000-0000-0000B62F0000}"/>
    <cellStyle name="Normal 5 6 5 3" xfId="12214" xr:uid="{00000000-0005-0000-0000-0000B72F0000}"/>
    <cellStyle name="Normal 5 6 5 3 2" xfId="12215" xr:uid="{00000000-0005-0000-0000-0000B82F0000}"/>
    <cellStyle name="Normal 5 6 5 3 2 2" xfId="12216" xr:uid="{00000000-0005-0000-0000-0000B92F0000}"/>
    <cellStyle name="Normal 5 6 5 3 3" xfId="12217" xr:uid="{00000000-0005-0000-0000-0000BA2F0000}"/>
    <cellStyle name="Normal 5 6 5 4" xfId="12218" xr:uid="{00000000-0005-0000-0000-0000BB2F0000}"/>
    <cellStyle name="Normal 5 6 5 4 2" xfId="12219" xr:uid="{00000000-0005-0000-0000-0000BC2F0000}"/>
    <cellStyle name="Normal 5 6 5 5" xfId="12220" xr:uid="{00000000-0005-0000-0000-0000BD2F0000}"/>
    <cellStyle name="Normal 5 6 6" xfId="12221" xr:uid="{00000000-0005-0000-0000-0000BE2F0000}"/>
    <cellStyle name="Normal 5 6 6 2" xfId="12222" xr:uid="{00000000-0005-0000-0000-0000BF2F0000}"/>
    <cellStyle name="Normal 5 6 6 2 2" xfId="12223" xr:uid="{00000000-0005-0000-0000-0000C02F0000}"/>
    <cellStyle name="Normal 5 6 6 2 2 2" xfId="12224" xr:uid="{00000000-0005-0000-0000-0000C12F0000}"/>
    <cellStyle name="Normal 5 6 6 2 3" xfId="12225" xr:uid="{00000000-0005-0000-0000-0000C22F0000}"/>
    <cellStyle name="Normal 5 6 6 3" xfId="12226" xr:uid="{00000000-0005-0000-0000-0000C32F0000}"/>
    <cellStyle name="Normal 5 6 6 3 2" xfId="12227" xr:uid="{00000000-0005-0000-0000-0000C42F0000}"/>
    <cellStyle name="Normal 5 6 6 4" xfId="12228" xr:uid="{00000000-0005-0000-0000-0000C52F0000}"/>
    <cellStyle name="Normal 5 6 7" xfId="12229" xr:uid="{00000000-0005-0000-0000-0000C62F0000}"/>
    <cellStyle name="Normal 5 6 7 2" xfId="12230" xr:uid="{00000000-0005-0000-0000-0000C72F0000}"/>
    <cellStyle name="Normal 5 6 7 2 2" xfId="12231" xr:uid="{00000000-0005-0000-0000-0000C82F0000}"/>
    <cellStyle name="Normal 5 6 7 3" xfId="12232" xr:uid="{00000000-0005-0000-0000-0000C92F0000}"/>
    <cellStyle name="Normal 5 6 8" xfId="12233" xr:uid="{00000000-0005-0000-0000-0000CA2F0000}"/>
    <cellStyle name="Normal 5 6 8 2" xfId="12234" xr:uid="{00000000-0005-0000-0000-0000CB2F0000}"/>
    <cellStyle name="Normal 5 6 9" xfId="12235" xr:uid="{00000000-0005-0000-0000-0000CC2F0000}"/>
    <cellStyle name="Normal 5 7" xfId="12236" xr:uid="{00000000-0005-0000-0000-0000CD2F0000}"/>
    <cellStyle name="Normal 5 7 2" xfId="12237" xr:uid="{00000000-0005-0000-0000-0000CE2F0000}"/>
    <cellStyle name="Normal 5 7 2 2" xfId="12238" xr:uid="{00000000-0005-0000-0000-0000CF2F0000}"/>
    <cellStyle name="Normal 5 7 2 2 2" xfId="12239" xr:uid="{00000000-0005-0000-0000-0000D02F0000}"/>
    <cellStyle name="Normal 5 7 2 2 2 2" xfId="12240" xr:uid="{00000000-0005-0000-0000-0000D12F0000}"/>
    <cellStyle name="Normal 5 7 2 2 2 2 2" xfId="12241" xr:uid="{00000000-0005-0000-0000-0000D22F0000}"/>
    <cellStyle name="Normal 5 7 2 2 2 2 2 2" xfId="12242" xr:uid="{00000000-0005-0000-0000-0000D32F0000}"/>
    <cellStyle name="Normal 5 7 2 2 2 2 2 2 2" xfId="12243" xr:uid="{00000000-0005-0000-0000-0000D42F0000}"/>
    <cellStyle name="Normal 5 7 2 2 2 2 2 3" xfId="12244" xr:uid="{00000000-0005-0000-0000-0000D52F0000}"/>
    <cellStyle name="Normal 5 7 2 2 2 2 3" xfId="12245" xr:uid="{00000000-0005-0000-0000-0000D62F0000}"/>
    <cellStyle name="Normal 5 7 2 2 2 2 3 2" xfId="12246" xr:uid="{00000000-0005-0000-0000-0000D72F0000}"/>
    <cellStyle name="Normal 5 7 2 2 2 2 4" xfId="12247" xr:uid="{00000000-0005-0000-0000-0000D82F0000}"/>
    <cellStyle name="Normal 5 7 2 2 2 3" xfId="12248" xr:uid="{00000000-0005-0000-0000-0000D92F0000}"/>
    <cellStyle name="Normal 5 7 2 2 2 3 2" xfId="12249" xr:uid="{00000000-0005-0000-0000-0000DA2F0000}"/>
    <cellStyle name="Normal 5 7 2 2 2 3 2 2" xfId="12250" xr:uid="{00000000-0005-0000-0000-0000DB2F0000}"/>
    <cellStyle name="Normal 5 7 2 2 2 3 3" xfId="12251" xr:uid="{00000000-0005-0000-0000-0000DC2F0000}"/>
    <cellStyle name="Normal 5 7 2 2 2 4" xfId="12252" xr:uid="{00000000-0005-0000-0000-0000DD2F0000}"/>
    <cellStyle name="Normal 5 7 2 2 2 4 2" xfId="12253" xr:uid="{00000000-0005-0000-0000-0000DE2F0000}"/>
    <cellStyle name="Normal 5 7 2 2 2 5" xfId="12254" xr:uid="{00000000-0005-0000-0000-0000DF2F0000}"/>
    <cellStyle name="Normal 5 7 2 2 3" xfId="12255" xr:uid="{00000000-0005-0000-0000-0000E02F0000}"/>
    <cellStyle name="Normal 5 7 2 2 3 2" xfId="12256" xr:uid="{00000000-0005-0000-0000-0000E12F0000}"/>
    <cellStyle name="Normal 5 7 2 2 3 2 2" xfId="12257" xr:uid="{00000000-0005-0000-0000-0000E22F0000}"/>
    <cellStyle name="Normal 5 7 2 2 3 2 2 2" xfId="12258" xr:uid="{00000000-0005-0000-0000-0000E32F0000}"/>
    <cellStyle name="Normal 5 7 2 2 3 2 3" xfId="12259" xr:uid="{00000000-0005-0000-0000-0000E42F0000}"/>
    <cellStyle name="Normal 5 7 2 2 3 3" xfId="12260" xr:uid="{00000000-0005-0000-0000-0000E52F0000}"/>
    <cellStyle name="Normal 5 7 2 2 3 3 2" xfId="12261" xr:uid="{00000000-0005-0000-0000-0000E62F0000}"/>
    <cellStyle name="Normal 5 7 2 2 3 4" xfId="12262" xr:uid="{00000000-0005-0000-0000-0000E72F0000}"/>
    <cellStyle name="Normal 5 7 2 2 4" xfId="12263" xr:uid="{00000000-0005-0000-0000-0000E82F0000}"/>
    <cellStyle name="Normal 5 7 2 2 4 2" xfId="12264" xr:uid="{00000000-0005-0000-0000-0000E92F0000}"/>
    <cellStyle name="Normal 5 7 2 2 4 2 2" xfId="12265" xr:uid="{00000000-0005-0000-0000-0000EA2F0000}"/>
    <cellStyle name="Normal 5 7 2 2 4 3" xfId="12266" xr:uid="{00000000-0005-0000-0000-0000EB2F0000}"/>
    <cellStyle name="Normal 5 7 2 2 5" xfId="12267" xr:uid="{00000000-0005-0000-0000-0000EC2F0000}"/>
    <cellStyle name="Normal 5 7 2 2 5 2" xfId="12268" xr:uid="{00000000-0005-0000-0000-0000ED2F0000}"/>
    <cellStyle name="Normal 5 7 2 2 6" xfId="12269" xr:uid="{00000000-0005-0000-0000-0000EE2F0000}"/>
    <cellStyle name="Normal 5 7 2 3" xfId="12270" xr:uid="{00000000-0005-0000-0000-0000EF2F0000}"/>
    <cellStyle name="Normal 5 7 2 3 2" xfId="12271" xr:uid="{00000000-0005-0000-0000-0000F02F0000}"/>
    <cellStyle name="Normal 5 7 2 3 2 2" xfId="12272" xr:uid="{00000000-0005-0000-0000-0000F12F0000}"/>
    <cellStyle name="Normal 5 7 2 3 2 2 2" xfId="12273" xr:uid="{00000000-0005-0000-0000-0000F22F0000}"/>
    <cellStyle name="Normal 5 7 2 3 2 2 2 2" xfId="12274" xr:uid="{00000000-0005-0000-0000-0000F32F0000}"/>
    <cellStyle name="Normal 5 7 2 3 2 2 3" xfId="12275" xr:uid="{00000000-0005-0000-0000-0000F42F0000}"/>
    <cellStyle name="Normal 5 7 2 3 2 3" xfId="12276" xr:uid="{00000000-0005-0000-0000-0000F52F0000}"/>
    <cellStyle name="Normal 5 7 2 3 2 3 2" xfId="12277" xr:uid="{00000000-0005-0000-0000-0000F62F0000}"/>
    <cellStyle name="Normal 5 7 2 3 2 4" xfId="12278" xr:uid="{00000000-0005-0000-0000-0000F72F0000}"/>
    <cellStyle name="Normal 5 7 2 3 3" xfId="12279" xr:uid="{00000000-0005-0000-0000-0000F82F0000}"/>
    <cellStyle name="Normal 5 7 2 3 3 2" xfId="12280" xr:uid="{00000000-0005-0000-0000-0000F92F0000}"/>
    <cellStyle name="Normal 5 7 2 3 3 2 2" xfId="12281" xr:uid="{00000000-0005-0000-0000-0000FA2F0000}"/>
    <cellStyle name="Normal 5 7 2 3 3 3" xfId="12282" xr:uid="{00000000-0005-0000-0000-0000FB2F0000}"/>
    <cellStyle name="Normal 5 7 2 3 4" xfId="12283" xr:uid="{00000000-0005-0000-0000-0000FC2F0000}"/>
    <cellStyle name="Normal 5 7 2 3 4 2" xfId="12284" xr:uid="{00000000-0005-0000-0000-0000FD2F0000}"/>
    <cellStyle name="Normal 5 7 2 3 5" xfId="12285" xr:uid="{00000000-0005-0000-0000-0000FE2F0000}"/>
    <cellStyle name="Normal 5 7 2 4" xfId="12286" xr:uid="{00000000-0005-0000-0000-0000FF2F0000}"/>
    <cellStyle name="Normal 5 7 2 4 2" xfId="12287" xr:uid="{00000000-0005-0000-0000-000000300000}"/>
    <cellStyle name="Normal 5 7 2 4 2 2" xfId="12288" xr:uid="{00000000-0005-0000-0000-000001300000}"/>
    <cellStyle name="Normal 5 7 2 4 2 2 2" xfId="12289" xr:uid="{00000000-0005-0000-0000-000002300000}"/>
    <cellStyle name="Normal 5 7 2 4 2 3" xfId="12290" xr:uid="{00000000-0005-0000-0000-000003300000}"/>
    <cellStyle name="Normal 5 7 2 4 3" xfId="12291" xr:uid="{00000000-0005-0000-0000-000004300000}"/>
    <cellStyle name="Normal 5 7 2 4 3 2" xfId="12292" xr:uid="{00000000-0005-0000-0000-000005300000}"/>
    <cellStyle name="Normal 5 7 2 4 4" xfId="12293" xr:uid="{00000000-0005-0000-0000-000006300000}"/>
    <cellStyle name="Normal 5 7 2 5" xfId="12294" xr:uid="{00000000-0005-0000-0000-000007300000}"/>
    <cellStyle name="Normal 5 7 2 5 2" xfId="12295" xr:uid="{00000000-0005-0000-0000-000008300000}"/>
    <cellStyle name="Normal 5 7 2 5 2 2" xfId="12296" xr:uid="{00000000-0005-0000-0000-000009300000}"/>
    <cellStyle name="Normal 5 7 2 5 3" xfId="12297" xr:uid="{00000000-0005-0000-0000-00000A300000}"/>
    <cellStyle name="Normal 5 7 2 6" xfId="12298" xr:uid="{00000000-0005-0000-0000-00000B300000}"/>
    <cellStyle name="Normal 5 7 2 6 2" xfId="12299" xr:uid="{00000000-0005-0000-0000-00000C300000}"/>
    <cellStyle name="Normal 5 7 2 7" xfId="12300" xr:uid="{00000000-0005-0000-0000-00000D300000}"/>
    <cellStyle name="Normal 5 7 3" xfId="12301" xr:uid="{00000000-0005-0000-0000-00000E300000}"/>
    <cellStyle name="Normal 5 7 3 2" xfId="12302" xr:uid="{00000000-0005-0000-0000-00000F300000}"/>
    <cellStyle name="Normal 5 7 3 2 2" xfId="12303" xr:uid="{00000000-0005-0000-0000-000010300000}"/>
    <cellStyle name="Normal 5 7 3 2 2 2" xfId="12304" xr:uid="{00000000-0005-0000-0000-000011300000}"/>
    <cellStyle name="Normal 5 7 3 2 2 2 2" xfId="12305" xr:uid="{00000000-0005-0000-0000-000012300000}"/>
    <cellStyle name="Normal 5 7 3 2 2 2 2 2" xfId="12306" xr:uid="{00000000-0005-0000-0000-000013300000}"/>
    <cellStyle name="Normal 5 7 3 2 2 2 3" xfId="12307" xr:uid="{00000000-0005-0000-0000-000014300000}"/>
    <cellStyle name="Normal 5 7 3 2 2 3" xfId="12308" xr:uid="{00000000-0005-0000-0000-000015300000}"/>
    <cellStyle name="Normal 5 7 3 2 2 3 2" xfId="12309" xr:uid="{00000000-0005-0000-0000-000016300000}"/>
    <cellStyle name="Normal 5 7 3 2 2 4" xfId="12310" xr:uid="{00000000-0005-0000-0000-000017300000}"/>
    <cellStyle name="Normal 5 7 3 2 3" xfId="12311" xr:uid="{00000000-0005-0000-0000-000018300000}"/>
    <cellStyle name="Normal 5 7 3 2 3 2" xfId="12312" xr:uid="{00000000-0005-0000-0000-000019300000}"/>
    <cellStyle name="Normal 5 7 3 2 3 2 2" xfId="12313" xr:uid="{00000000-0005-0000-0000-00001A300000}"/>
    <cellStyle name="Normal 5 7 3 2 3 3" xfId="12314" xr:uid="{00000000-0005-0000-0000-00001B300000}"/>
    <cellStyle name="Normal 5 7 3 2 4" xfId="12315" xr:uid="{00000000-0005-0000-0000-00001C300000}"/>
    <cellStyle name="Normal 5 7 3 2 4 2" xfId="12316" xr:uid="{00000000-0005-0000-0000-00001D300000}"/>
    <cellStyle name="Normal 5 7 3 2 5" xfId="12317" xr:uid="{00000000-0005-0000-0000-00001E300000}"/>
    <cellStyle name="Normal 5 7 3 3" xfId="12318" xr:uid="{00000000-0005-0000-0000-00001F300000}"/>
    <cellStyle name="Normal 5 7 3 3 2" xfId="12319" xr:uid="{00000000-0005-0000-0000-000020300000}"/>
    <cellStyle name="Normal 5 7 3 3 2 2" xfId="12320" xr:uid="{00000000-0005-0000-0000-000021300000}"/>
    <cellStyle name="Normal 5 7 3 3 2 2 2" xfId="12321" xr:uid="{00000000-0005-0000-0000-000022300000}"/>
    <cellStyle name="Normal 5 7 3 3 2 3" xfId="12322" xr:uid="{00000000-0005-0000-0000-000023300000}"/>
    <cellStyle name="Normal 5 7 3 3 3" xfId="12323" xr:uid="{00000000-0005-0000-0000-000024300000}"/>
    <cellStyle name="Normal 5 7 3 3 3 2" xfId="12324" xr:uid="{00000000-0005-0000-0000-000025300000}"/>
    <cellStyle name="Normal 5 7 3 3 4" xfId="12325" xr:uid="{00000000-0005-0000-0000-000026300000}"/>
    <cellStyle name="Normal 5 7 3 4" xfId="12326" xr:uid="{00000000-0005-0000-0000-000027300000}"/>
    <cellStyle name="Normal 5 7 3 4 2" xfId="12327" xr:uid="{00000000-0005-0000-0000-000028300000}"/>
    <cellStyle name="Normal 5 7 3 4 2 2" xfId="12328" xr:uid="{00000000-0005-0000-0000-000029300000}"/>
    <cellStyle name="Normal 5 7 3 4 3" xfId="12329" xr:uid="{00000000-0005-0000-0000-00002A300000}"/>
    <cellStyle name="Normal 5 7 3 5" xfId="12330" xr:uid="{00000000-0005-0000-0000-00002B300000}"/>
    <cellStyle name="Normal 5 7 3 5 2" xfId="12331" xr:uid="{00000000-0005-0000-0000-00002C300000}"/>
    <cellStyle name="Normal 5 7 3 6" xfId="12332" xr:uid="{00000000-0005-0000-0000-00002D300000}"/>
    <cellStyle name="Normal 5 7 4" xfId="12333" xr:uid="{00000000-0005-0000-0000-00002E300000}"/>
    <cellStyle name="Normal 5 7 4 2" xfId="12334" xr:uid="{00000000-0005-0000-0000-00002F300000}"/>
    <cellStyle name="Normal 5 7 4 2 2" xfId="12335" xr:uid="{00000000-0005-0000-0000-000030300000}"/>
    <cellStyle name="Normal 5 7 4 2 2 2" xfId="12336" xr:uid="{00000000-0005-0000-0000-000031300000}"/>
    <cellStyle name="Normal 5 7 4 2 2 2 2" xfId="12337" xr:uid="{00000000-0005-0000-0000-000032300000}"/>
    <cellStyle name="Normal 5 7 4 2 2 3" xfId="12338" xr:uid="{00000000-0005-0000-0000-000033300000}"/>
    <cellStyle name="Normal 5 7 4 2 3" xfId="12339" xr:uid="{00000000-0005-0000-0000-000034300000}"/>
    <cellStyle name="Normal 5 7 4 2 3 2" xfId="12340" xr:uid="{00000000-0005-0000-0000-000035300000}"/>
    <cellStyle name="Normal 5 7 4 2 4" xfId="12341" xr:uid="{00000000-0005-0000-0000-000036300000}"/>
    <cellStyle name="Normal 5 7 4 3" xfId="12342" xr:uid="{00000000-0005-0000-0000-000037300000}"/>
    <cellStyle name="Normal 5 7 4 3 2" xfId="12343" xr:uid="{00000000-0005-0000-0000-000038300000}"/>
    <cellStyle name="Normal 5 7 4 3 2 2" xfId="12344" xr:uid="{00000000-0005-0000-0000-000039300000}"/>
    <cellStyle name="Normal 5 7 4 3 3" xfId="12345" xr:uid="{00000000-0005-0000-0000-00003A300000}"/>
    <cellStyle name="Normal 5 7 4 4" xfId="12346" xr:uid="{00000000-0005-0000-0000-00003B300000}"/>
    <cellStyle name="Normal 5 7 4 4 2" xfId="12347" xr:uid="{00000000-0005-0000-0000-00003C300000}"/>
    <cellStyle name="Normal 5 7 4 5" xfId="12348" xr:uid="{00000000-0005-0000-0000-00003D300000}"/>
    <cellStyle name="Normal 5 7 5" xfId="12349" xr:uid="{00000000-0005-0000-0000-00003E300000}"/>
    <cellStyle name="Normal 5 7 5 2" xfId="12350" xr:uid="{00000000-0005-0000-0000-00003F300000}"/>
    <cellStyle name="Normal 5 7 5 2 2" xfId="12351" xr:uid="{00000000-0005-0000-0000-000040300000}"/>
    <cellStyle name="Normal 5 7 5 2 2 2" xfId="12352" xr:uid="{00000000-0005-0000-0000-000041300000}"/>
    <cellStyle name="Normal 5 7 5 2 3" xfId="12353" xr:uid="{00000000-0005-0000-0000-000042300000}"/>
    <cellStyle name="Normal 5 7 5 3" xfId="12354" xr:uid="{00000000-0005-0000-0000-000043300000}"/>
    <cellStyle name="Normal 5 7 5 3 2" xfId="12355" xr:uid="{00000000-0005-0000-0000-000044300000}"/>
    <cellStyle name="Normal 5 7 5 4" xfId="12356" xr:uid="{00000000-0005-0000-0000-000045300000}"/>
    <cellStyle name="Normal 5 7 6" xfId="12357" xr:uid="{00000000-0005-0000-0000-000046300000}"/>
    <cellStyle name="Normal 5 7 6 2" xfId="12358" xr:uid="{00000000-0005-0000-0000-000047300000}"/>
    <cellStyle name="Normal 5 7 6 2 2" xfId="12359" xr:uid="{00000000-0005-0000-0000-000048300000}"/>
    <cellStyle name="Normal 5 7 6 3" xfId="12360" xr:uid="{00000000-0005-0000-0000-000049300000}"/>
    <cellStyle name="Normal 5 7 7" xfId="12361" xr:uid="{00000000-0005-0000-0000-00004A300000}"/>
    <cellStyle name="Normal 5 7 7 2" xfId="12362" xr:uid="{00000000-0005-0000-0000-00004B300000}"/>
    <cellStyle name="Normal 5 7 8" xfId="12363" xr:uid="{00000000-0005-0000-0000-00004C300000}"/>
    <cellStyle name="Normal 5 8" xfId="12364" xr:uid="{00000000-0005-0000-0000-00004D300000}"/>
    <cellStyle name="Normal 5 8 2" xfId="12365" xr:uid="{00000000-0005-0000-0000-00004E300000}"/>
    <cellStyle name="Normal 5 8 2 2" xfId="12366" xr:uid="{00000000-0005-0000-0000-00004F300000}"/>
    <cellStyle name="Normal 5 8 2 2 2" xfId="12367" xr:uid="{00000000-0005-0000-0000-000050300000}"/>
    <cellStyle name="Normal 5 8 2 2 2 2" xfId="12368" xr:uid="{00000000-0005-0000-0000-000051300000}"/>
    <cellStyle name="Normal 5 8 2 2 2 2 2" xfId="12369" xr:uid="{00000000-0005-0000-0000-000052300000}"/>
    <cellStyle name="Normal 5 8 2 2 2 2 2 2" xfId="12370" xr:uid="{00000000-0005-0000-0000-000053300000}"/>
    <cellStyle name="Normal 5 8 2 2 2 2 3" xfId="12371" xr:uid="{00000000-0005-0000-0000-000054300000}"/>
    <cellStyle name="Normal 5 8 2 2 2 3" xfId="12372" xr:uid="{00000000-0005-0000-0000-000055300000}"/>
    <cellStyle name="Normal 5 8 2 2 2 3 2" xfId="12373" xr:uid="{00000000-0005-0000-0000-000056300000}"/>
    <cellStyle name="Normal 5 8 2 2 2 4" xfId="12374" xr:uid="{00000000-0005-0000-0000-000057300000}"/>
    <cellStyle name="Normal 5 8 2 2 3" xfId="12375" xr:uid="{00000000-0005-0000-0000-000058300000}"/>
    <cellStyle name="Normal 5 8 2 2 3 2" xfId="12376" xr:uid="{00000000-0005-0000-0000-000059300000}"/>
    <cellStyle name="Normal 5 8 2 2 3 2 2" xfId="12377" xr:uid="{00000000-0005-0000-0000-00005A300000}"/>
    <cellStyle name="Normal 5 8 2 2 3 3" xfId="12378" xr:uid="{00000000-0005-0000-0000-00005B300000}"/>
    <cellStyle name="Normal 5 8 2 2 4" xfId="12379" xr:uid="{00000000-0005-0000-0000-00005C300000}"/>
    <cellStyle name="Normal 5 8 2 2 4 2" xfId="12380" xr:uid="{00000000-0005-0000-0000-00005D300000}"/>
    <cellStyle name="Normal 5 8 2 2 5" xfId="12381" xr:uid="{00000000-0005-0000-0000-00005E300000}"/>
    <cellStyle name="Normal 5 8 2 3" xfId="12382" xr:uid="{00000000-0005-0000-0000-00005F300000}"/>
    <cellStyle name="Normal 5 8 2 3 2" xfId="12383" xr:uid="{00000000-0005-0000-0000-000060300000}"/>
    <cellStyle name="Normal 5 8 2 3 2 2" xfId="12384" xr:uid="{00000000-0005-0000-0000-000061300000}"/>
    <cellStyle name="Normal 5 8 2 3 2 2 2" xfId="12385" xr:uid="{00000000-0005-0000-0000-000062300000}"/>
    <cellStyle name="Normal 5 8 2 3 2 3" xfId="12386" xr:uid="{00000000-0005-0000-0000-000063300000}"/>
    <cellStyle name="Normal 5 8 2 3 3" xfId="12387" xr:uid="{00000000-0005-0000-0000-000064300000}"/>
    <cellStyle name="Normal 5 8 2 3 3 2" xfId="12388" xr:uid="{00000000-0005-0000-0000-000065300000}"/>
    <cellStyle name="Normal 5 8 2 3 4" xfId="12389" xr:uid="{00000000-0005-0000-0000-000066300000}"/>
    <cellStyle name="Normal 5 8 2 4" xfId="12390" xr:uid="{00000000-0005-0000-0000-000067300000}"/>
    <cellStyle name="Normal 5 8 2 4 2" xfId="12391" xr:uid="{00000000-0005-0000-0000-000068300000}"/>
    <cellStyle name="Normal 5 8 2 4 2 2" xfId="12392" xr:uid="{00000000-0005-0000-0000-000069300000}"/>
    <cellStyle name="Normal 5 8 2 4 3" xfId="12393" xr:uid="{00000000-0005-0000-0000-00006A300000}"/>
    <cellStyle name="Normal 5 8 2 5" xfId="12394" xr:uid="{00000000-0005-0000-0000-00006B300000}"/>
    <cellStyle name="Normal 5 8 2 5 2" xfId="12395" xr:uid="{00000000-0005-0000-0000-00006C300000}"/>
    <cellStyle name="Normal 5 8 2 6" xfId="12396" xr:uid="{00000000-0005-0000-0000-00006D300000}"/>
    <cellStyle name="Normal 5 8 3" xfId="12397" xr:uid="{00000000-0005-0000-0000-00006E300000}"/>
    <cellStyle name="Normal 5 8 3 2" xfId="12398" xr:uid="{00000000-0005-0000-0000-00006F300000}"/>
    <cellStyle name="Normal 5 8 3 2 2" xfId="12399" xr:uid="{00000000-0005-0000-0000-000070300000}"/>
    <cellStyle name="Normal 5 8 3 2 2 2" xfId="12400" xr:uid="{00000000-0005-0000-0000-000071300000}"/>
    <cellStyle name="Normal 5 8 3 2 2 2 2" xfId="12401" xr:uid="{00000000-0005-0000-0000-000072300000}"/>
    <cellStyle name="Normal 5 8 3 2 2 3" xfId="12402" xr:uid="{00000000-0005-0000-0000-000073300000}"/>
    <cellStyle name="Normal 5 8 3 2 3" xfId="12403" xr:uid="{00000000-0005-0000-0000-000074300000}"/>
    <cellStyle name="Normal 5 8 3 2 3 2" xfId="12404" xr:uid="{00000000-0005-0000-0000-000075300000}"/>
    <cellStyle name="Normal 5 8 3 2 4" xfId="12405" xr:uid="{00000000-0005-0000-0000-000076300000}"/>
    <cellStyle name="Normal 5 8 3 3" xfId="12406" xr:uid="{00000000-0005-0000-0000-000077300000}"/>
    <cellStyle name="Normal 5 8 3 3 2" xfId="12407" xr:uid="{00000000-0005-0000-0000-000078300000}"/>
    <cellStyle name="Normal 5 8 3 3 2 2" xfId="12408" xr:uid="{00000000-0005-0000-0000-000079300000}"/>
    <cellStyle name="Normal 5 8 3 3 3" xfId="12409" xr:uid="{00000000-0005-0000-0000-00007A300000}"/>
    <cellStyle name="Normal 5 8 3 4" xfId="12410" xr:uid="{00000000-0005-0000-0000-00007B300000}"/>
    <cellStyle name="Normal 5 8 3 4 2" xfId="12411" xr:uid="{00000000-0005-0000-0000-00007C300000}"/>
    <cellStyle name="Normal 5 8 3 5" xfId="12412" xr:uid="{00000000-0005-0000-0000-00007D300000}"/>
    <cellStyle name="Normal 5 8 4" xfId="12413" xr:uid="{00000000-0005-0000-0000-00007E300000}"/>
    <cellStyle name="Normal 5 8 4 2" xfId="12414" xr:uid="{00000000-0005-0000-0000-00007F300000}"/>
    <cellStyle name="Normal 5 8 4 2 2" xfId="12415" xr:uid="{00000000-0005-0000-0000-000080300000}"/>
    <cellStyle name="Normal 5 8 4 2 2 2" xfId="12416" xr:uid="{00000000-0005-0000-0000-000081300000}"/>
    <cellStyle name="Normal 5 8 4 2 3" xfId="12417" xr:uid="{00000000-0005-0000-0000-000082300000}"/>
    <cellStyle name="Normal 5 8 4 3" xfId="12418" xr:uid="{00000000-0005-0000-0000-000083300000}"/>
    <cellStyle name="Normal 5 8 4 3 2" xfId="12419" xr:uid="{00000000-0005-0000-0000-000084300000}"/>
    <cellStyle name="Normal 5 8 4 4" xfId="12420" xr:uid="{00000000-0005-0000-0000-000085300000}"/>
    <cellStyle name="Normal 5 8 5" xfId="12421" xr:uid="{00000000-0005-0000-0000-000086300000}"/>
    <cellStyle name="Normal 5 8 5 2" xfId="12422" xr:uid="{00000000-0005-0000-0000-000087300000}"/>
    <cellStyle name="Normal 5 8 5 2 2" xfId="12423" xr:uid="{00000000-0005-0000-0000-000088300000}"/>
    <cellStyle name="Normal 5 8 5 3" xfId="12424" xr:uid="{00000000-0005-0000-0000-000089300000}"/>
    <cellStyle name="Normal 5 8 6" xfId="12425" xr:uid="{00000000-0005-0000-0000-00008A300000}"/>
    <cellStyle name="Normal 5 8 6 2" xfId="12426" xr:uid="{00000000-0005-0000-0000-00008B300000}"/>
    <cellStyle name="Normal 5 8 7" xfId="12427" xr:uid="{00000000-0005-0000-0000-00008C300000}"/>
    <cellStyle name="Normal 5 9" xfId="12428" xr:uid="{00000000-0005-0000-0000-00008D300000}"/>
    <cellStyle name="Normal 5 9 2" xfId="12429" xr:uid="{00000000-0005-0000-0000-00008E300000}"/>
    <cellStyle name="Normal 5 9 2 2" xfId="12430" xr:uid="{00000000-0005-0000-0000-00008F300000}"/>
    <cellStyle name="Normal 5 9 2 2 2" xfId="12431" xr:uid="{00000000-0005-0000-0000-000090300000}"/>
    <cellStyle name="Normal 5 9 2 2 2 2" xfId="12432" xr:uid="{00000000-0005-0000-0000-000091300000}"/>
    <cellStyle name="Normal 5 9 2 2 2 2 2" xfId="12433" xr:uid="{00000000-0005-0000-0000-000092300000}"/>
    <cellStyle name="Normal 5 9 2 2 2 3" xfId="12434" xr:uid="{00000000-0005-0000-0000-000093300000}"/>
    <cellStyle name="Normal 5 9 2 2 3" xfId="12435" xr:uid="{00000000-0005-0000-0000-000094300000}"/>
    <cellStyle name="Normal 5 9 2 2 3 2" xfId="12436" xr:uid="{00000000-0005-0000-0000-000095300000}"/>
    <cellStyle name="Normal 5 9 2 2 4" xfId="12437" xr:uid="{00000000-0005-0000-0000-000096300000}"/>
    <cellStyle name="Normal 5 9 2 3" xfId="12438" xr:uid="{00000000-0005-0000-0000-000097300000}"/>
    <cellStyle name="Normal 5 9 2 3 2" xfId="12439" xr:uid="{00000000-0005-0000-0000-000098300000}"/>
    <cellStyle name="Normal 5 9 2 3 2 2" xfId="12440" xr:uid="{00000000-0005-0000-0000-000099300000}"/>
    <cellStyle name="Normal 5 9 2 3 3" xfId="12441" xr:uid="{00000000-0005-0000-0000-00009A300000}"/>
    <cellStyle name="Normal 5 9 2 4" xfId="12442" xr:uid="{00000000-0005-0000-0000-00009B300000}"/>
    <cellStyle name="Normal 5 9 2 4 2" xfId="12443" xr:uid="{00000000-0005-0000-0000-00009C300000}"/>
    <cellStyle name="Normal 5 9 2 5" xfId="12444" xr:uid="{00000000-0005-0000-0000-00009D300000}"/>
    <cellStyle name="Normal 5 9 3" xfId="12445" xr:uid="{00000000-0005-0000-0000-00009E300000}"/>
    <cellStyle name="Normal 5 9 3 2" xfId="12446" xr:uid="{00000000-0005-0000-0000-00009F300000}"/>
    <cellStyle name="Normal 5 9 3 2 2" xfId="12447" xr:uid="{00000000-0005-0000-0000-0000A0300000}"/>
    <cellStyle name="Normal 5 9 3 2 2 2" xfId="12448" xr:uid="{00000000-0005-0000-0000-0000A1300000}"/>
    <cellStyle name="Normal 5 9 3 2 3" xfId="12449" xr:uid="{00000000-0005-0000-0000-0000A2300000}"/>
    <cellStyle name="Normal 5 9 3 3" xfId="12450" xr:uid="{00000000-0005-0000-0000-0000A3300000}"/>
    <cellStyle name="Normal 5 9 3 3 2" xfId="12451" xr:uid="{00000000-0005-0000-0000-0000A4300000}"/>
    <cellStyle name="Normal 5 9 3 4" xfId="12452" xr:uid="{00000000-0005-0000-0000-0000A5300000}"/>
    <cellStyle name="Normal 5 9 4" xfId="12453" xr:uid="{00000000-0005-0000-0000-0000A6300000}"/>
    <cellStyle name="Normal 5 9 4 2" xfId="12454" xr:uid="{00000000-0005-0000-0000-0000A7300000}"/>
    <cellStyle name="Normal 5 9 4 2 2" xfId="12455" xr:uid="{00000000-0005-0000-0000-0000A8300000}"/>
    <cellStyle name="Normal 5 9 4 3" xfId="12456" xr:uid="{00000000-0005-0000-0000-0000A9300000}"/>
    <cellStyle name="Normal 5 9 5" xfId="12457" xr:uid="{00000000-0005-0000-0000-0000AA300000}"/>
    <cellStyle name="Normal 5 9 5 2" xfId="12458" xr:uid="{00000000-0005-0000-0000-0000AB300000}"/>
    <cellStyle name="Normal 5 9 6" xfId="12459" xr:uid="{00000000-0005-0000-0000-0000AC300000}"/>
    <cellStyle name="Normal 6" xfId="12460" xr:uid="{00000000-0005-0000-0000-0000AD300000}"/>
    <cellStyle name="Normal 7" xfId="12461" xr:uid="{00000000-0005-0000-0000-0000AE300000}"/>
    <cellStyle name="Normal 8" xfId="12462" xr:uid="{00000000-0005-0000-0000-0000AF300000}"/>
    <cellStyle name="Normal 9" xfId="12463" xr:uid="{00000000-0005-0000-0000-0000B0300000}"/>
    <cellStyle name="TableStyleLight1" xfId="12464" xr:uid="{00000000-0005-0000-0000-0000B1300000}"/>
  </cellStyles>
  <dxfs count="162">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rgb="FF000000"/>
        <name val="Calibri"/>
        <scheme val="none"/>
      </font>
      <numFmt numFmtId="0" formatCode="General"/>
      <fill>
        <patternFill patternType="none">
          <fgColor rgb="FF000000"/>
          <bgColor rgb="FFFFFFFF"/>
        </patternFill>
      </fil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border outline="0">
        <top style="thin">
          <color rgb="FF95B3D7"/>
        </top>
      </border>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fill>
        <patternFill patternType="none">
          <fgColor indexed="64"/>
          <bgColor indexed="65"/>
        </patternFill>
      </fil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u val="none"/>
        <vertAlign val="baseline"/>
        <sz val="11"/>
        <color theme="1"/>
        <name val="Calibri"/>
        <scheme val="none"/>
      </font>
      <numFmt numFmtId="0" formatCode="General"/>
      <alignment horizontal="general" vertical="bottom" textRotation="0" wrapText="1" indent="0" justifyLastLine="0" shrinkToFit="0" readingOrder="0"/>
    </dxf>
    <dxf>
      <font>
        <strike val="0"/>
        <outline val="0"/>
        <shadow val="0"/>
        <u val="none"/>
        <vertAlign val="baseline"/>
        <sz val="11"/>
        <color theme="1"/>
        <name val="Calibri"/>
        <scheme val="none"/>
      </font>
      <numFmt numFmtId="0" formatCode="General"/>
    </dxf>
    <dxf>
      <font>
        <strike val="0"/>
        <outline val="0"/>
        <shadow val="0"/>
        <u val="none"/>
        <vertAlign val="baseline"/>
        <sz val="11"/>
        <color theme="1"/>
        <name val="Calibri"/>
        <scheme val="none"/>
      </font>
      <numFmt numFmtId="0" formatCode="General"/>
    </dxf>
    <dxf>
      <font>
        <strike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u val="none"/>
        <vertAlign val="baseline"/>
        <sz val="11"/>
        <color theme="1"/>
        <name val="Calibri"/>
        <scheme val="none"/>
      </font>
      <numFmt numFmtId="0" formatCode="General"/>
    </dxf>
    <dxf>
      <font>
        <strike val="0"/>
        <outline val="0"/>
        <shadow val="0"/>
        <u val="none"/>
        <vertAlign val="baseline"/>
        <sz val="11"/>
        <color rgb="FF000000"/>
        <name val="Calibri"/>
        <scheme val="none"/>
      </font>
      <numFmt numFmtId="0" formatCode="General"/>
    </dxf>
    <dxf>
      <font>
        <strike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rgb="FF000000"/>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rgb="FF000000"/>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strike val="0"/>
        <outline val="0"/>
        <shadow val="0"/>
        <vertAlign val="baseline"/>
        <name val="Calibri"/>
        <scheme val="none"/>
      </font>
      <numFmt numFmtId="0" formatCode="General"/>
    </dxf>
    <dxf>
      <font>
        <strike val="0"/>
        <outline val="0"/>
        <shadow val="0"/>
        <vertAlign val="baseline"/>
        <name val="Calibri"/>
        <scheme val="none"/>
      </font>
      <numFmt numFmtId="0" formatCode="General"/>
    </dxf>
    <dxf>
      <border outline="0">
        <bottom style="medium">
          <color theme="3" tint="0.59996337778862885"/>
        </bottom>
      </border>
    </dxf>
    <dxf>
      <font>
        <b val="0"/>
        <i val="0"/>
        <strike val="0"/>
        <condense val="0"/>
        <extend val="0"/>
        <outline val="0"/>
        <shadow val="0"/>
        <u val="none"/>
        <vertAlign val="baseline"/>
        <sz val="11"/>
        <color auto="1"/>
        <name val="Calibri"/>
        <scheme val="none"/>
      </font>
      <numFmt numFmtId="0" formatCode="General"/>
      <fill>
        <gradientFill degree="90">
          <stop position="0">
            <color theme="3" tint="0.80001220740379042"/>
          </stop>
          <stop position="1">
            <color theme="3" tint="0.59999389629810485"/>
          </stop>
        </gradientFill>
      </fil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dxf>
    <dxf>
      <font>
        <b/>
        <i val="0"/>
        <strike val="0"/>
        <condense val="0"/>
        <extend val="0"/>
        <outline val="0"/>
        <shadow val="0"/>
        <u val="none"/>
        <vertAlign val="baseline"/>
        <sz val="11"/>
        <color auto="1"/>
        <name val="Calibri"/>
        <scheme val="none"/>
      </font>
      <numFmt numFmtId="0" formatCode="General"/>
      <fill>
        <patternFill patternType="solid">
          <fgColor theme="4"/>
          <bgColor theme="3" tint="0.80001220740379042"/>
        </patternFill>
      </fill>
      <alignment horizontal="general" vertical="bottom" textRotation="0" wrapText="1" indent="0" justifyLastLine="0" shrinkToFit="0" readingOrder="0"/>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border diagonalUp="0" diagonalDown="0" outline="0">
        <left style="thin">
          <color auto="1"/>
        </left>
        <right/>
        <top/>
        <bottom/>
      </border>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border diagonalUp="0" diagonalDown="0" outline="0">
        <left style="thin">
          <color auto="1"/>
        </left>
        <right/>
        <top/>
        <bottom/>
      </border>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border diagonalUp="0" diagonalDown="0" outline="0">
        <left style="thin">
          <color auto="1"/>
        </left>
        <right/>
        <top/>
        <bottom/>
      </border>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border diagonalUp="0" diagonalDown="0" outline="0">
        <left style="thin">
          <color auto="1"/>
        </left>
        <right/>
        <top/>
        <bottom/>
      </border>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b val="0"/>
        <i val="0"/>
        <strike val="0"/>
        <condense val="0"/>
        <extend val="0"/>
        <outline val="0"/>
        <shadow val="0"/>
        <u val="none"/>
        <vertAlign val="baseline"/>
        <sz val="11"/>
        <color theme="1"/>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name val="Calibri"/>
        <scheme val="none"/>
      </font>
      <numFmt numFmtId="0" formatCode="General"/>
    </dxf>
    <dxf>
      <font>
        <strike val="0"/>
        <outline val="0"/>
        <shadow val="0"/>
        <u val="none"/>
        <vertAlign val="baseline"/>
        <sz val="11"/>
        <color auto="1"/>
        <name val="Calibri"/>
        <scheme val="none"/>
      </font>
      <numFmt numFmtId="0" formatCode="General"/>
      <alignment horizontal="general" vertical="bottom" textRotation="0" wrapText="0" indent="0" justifyLastLine="0" shrinkToFit="0" readingOrder="0"/>
    </dxf>
    <dxf>
      <font>
        <strike val="0"/>
        <outline val="0"/>
        <shadow val="0"/>
        <u val="none"/>
        <vertAlign val="baseline"/>
        <sz val="11"/>
        <color theme="0" tint="-0.34998626667073579"/>
        <name val="Calibri"/>
        <family val="2"/>
        <charset val="134"/>
        <scheme val="minor"/>
      </font>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59144C-66F0-4A46-BE31-DB3698FDC4AC}" name="Dataset" displayName="Dataset" ref="B5:L1005" totalsRowShown="0" headerRowDxfId="161">
  <autoFilter ref="B5:L1005" xr:uid="{6738B61A-6FBD-4AE3-B6F7-8500217FA98B}"/>
  <tableColumns count="11">
    <tableColumn id="1" xr3:uid="{7E8EBB30-B3F4-47D7-9D40-62474637773B}" name="Column1" dataDxfId="160"/>
    <tableColumn id="2" xr3:uid="{46453A68-F049-403A-841D-AB7FE5BE2C21}" name="Column2" dataDxfId="159"/>
    <tableColumn id="3" xr3:uid="{A69E64C0-8E99-4EA6-8F69-313082311508}" name="Column3" dataDxfId="158"/>
    <tableColumn id="4" xr3:uid="{2A1156E9-E144-4B40-A3F8-1AFB2F65BEBD}" name="Column4"/>
    <tableColumn id="5" xr3:uid="{E25D2FF1-C578-4F07-ABF0-8AD0032A65C8}" name="Column5"/>
    <tableColumn id="6" xr3:uid="{0A62EA65-1F68-4FA3-9A04-0F6D49FD7702}" name="Column6"/>
    <tableColumn id="7" xr3:uid="{E4E4E979-1AD7-4A08-B4FC-8A3E169CC0A8}" name="Column7"/>
    <tableColumn id="8" xr3:uid="{43F160DD-5B32-4AAC-AD1D-31D972664548}" name="Column8"/>
    <tableColumn id="9" xr3:uid="{ED48A62D-5070-4C77-B533-D0EFD1851775}" name="Column9" dataDxfId="157"/>
    <tableColumn id="10" xr3:uid="{3C1634E6-8484-440F-9945-F004383DA51A}" name="Column10"/>
    <tableColumn id="11" xr3:uid="{BF7A21FD-E6F4-4103-8DE2-4029B43A0353}" name="~" dataDxfId="156">
      <calculatedColumnFormula>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9ADD83E-19E4-4792-B5E7-8DDA78DB32EF}" name="AlchemyJ_DataDic_tbl" displayName="AlchemyJ_DataDic_tbl" ref="A11:AL21" totalsRowShown="0" headerRowDxfId="155" dataDxfId="154">
  <autoFilter ref="A11:AL21" xr:uid="{00000000-0009-0000-0100-000019000000}"/>
  <tableColumns count="38">
    <tableColumn id="1" xr3:uid="{6A860900-FAA6-4367-9368-55EAA37B877B}" name="Data Name" dataDxfId="153">
      <calculatedColumnFormula>Dataset[[#Headers],[Column1]]</calculatedColumnFormula>
    </tableColumn>
    <tableColumn id="2" xr3:uid="{586E09A5-F063-4216-958E-72BE1E097D5F}" name="Data Type" dataDxfId="152"/>
    <tableColumn id="21" xr3:uid="{BE412B41-BC57-4467-8633-0C1BC8A54F1A}" name="Display Name" dataDxfId="151" dataCellStyle="Normal 10 13 2 2"/>
    <tableColumn id="3" xr3:uid="{9EDFE1D9-FC9F-4964-AA4A-0956971BCC19}" name="Required" dataDxfId="150"/>
    <tableColumn id="4" xr3:uid="{4F8AA2F3-72BF-4A8C-BCCA-BB240FC17082}" name="Default Value" dataDxfId="149"/>
    <tableColumn id="22" xr3:uid="{405AEAC6-E310-4E94-8067-5CD382E794B8}" name="Example Value" dataDxfId="148" dataCellStyle="Normal 10 13 2 2"/>
    <tableColumn id="27" xr3:uid="{EF0FC35A-C4FC-44E2-B950-E471535679B0}" name="Category" dataDxfId="147" dataCellStyle="Normal 10 13 2 2"/>
    <tableColumn id="39" xr3:uid="{3F2E985D-92F5-4CB0-BF0E-B717E39A1A35}" name="Description" dataDxfId="146" dataCellStyle="Normal 10 13 2 2"/>
    <tableColumn id="28" xr3:uid="{B269C68B-536C-48CF-A6FB-9DF80B25D8EA}" name="Field Error Message" dataDxfId="145" dataCellStyle="Normal 10 13 2 2"/>
    <tableColumn id="5" xr3:uid="{D9980640-3D46-4D11-B815-465C54B0AA0C}" name="Multiple Of" dataDxfId="144"/>
    <tableColumn id="6" xr3:uid="{724E0C86-A7AD-4117-ADE6-92FD01288973}" name="Maximum" dataDxfId="143"/>
    <tableColumn id="7" xr3:uid="{C376D1EF-8836-40D0-824D-E80A5C40780C}" name="Exclusive Maximum" dataDxfId="142"/>
    <tableColumn id="8" xr3:uid="{C2659B0E-B990-4899-A5F8-2D3B2EC76653}" name="Minimum" dataDxfId="141"/>
    <tableColumn id="9" xr3:uid="{9D154073-A0FD-4342-B36D-545A37C86EEA}" name="Exclusive Minimum" dataDxfId="140"/>
    <tableColumn id="10" xr3:uid="{68382231-46A0-4A28-896B-60814F907F8D}" name="Number Value List" dataDxfId="139"/>
    <tableColumn id="12" xr3:uid="{DC1A64FE-0C6E-49D2-AAAF-B84658341BA1}" name="Rounding" dataDxfId="138"/>
    <tableColumn id="23" xr3:uid="{32B8A6C0-B1F6-4282-9F16-9D8B8C0B64DB}" name="Rounding Number of Digits" dataDxfId="137"/>
    <tableColumn id="14" xr3:uid="{9F22A651-D1D5-4508-BF6D-472A8C19B6C2}" name="Max Length" dataDxfId="136"/>
    <tableColumn id="15" xr3:uid="{6DAEA347-DCAA-4569-BC3D-6590E41A87F1}" name="Min Length" dataDxfId="135"/>
    <tableColumn id="16" xr3:uid="{9B341AF9-B14F-461E-BA80-4005B60C39BC}" name="String Value List" dataDxfId="134"/>
    <tableColumn id="17" xr3:uid="{F76E3EC2-A5F4-4F23-8B7A-6E0238235C1B}" name="Pattern" dataDxfId="133"/>
    <tableColumn id="18" xr3:uid="{37FEDBF5-7F02-497A-85BC-A38F326A750B}" name="Format Type" dataDxfId="132"/>
    <tableColumn id="19" xr3:uid="{D18AB466-9BD0-4D60-840B-80FE84D8843D}" name="Case Conversion" dataDxfId="131"/>
    <tableColumn id="20" xr3:uid="{90862604-8C72-4727-A11A-E68D18AC8506}" name="Date Format" dataDxfId="130" dataCellStyle="Normal 10 13 2 2"/>
    <tableColumn id="13" xr3:uid="{E96E6473-7232-49F5-A9FE-7C7AD6F0B657}" name="Minimum Days" dataDxfId="129" dataCellStyle="Normal 10 13 2 2"/>
    <tableColumn id="26" xr3:uid="{B7560164-29D9-4CED-B3F8-C51BEEBAD45C}" name="On and After" dataDxfId="128" dataCellStyle="Normal 10 13 2 2"/>
    <tableColumn id="11" xr3:uid="{8CC9589D-0274-458B-8C25-56CF35CF429A}" name="Maximum Days" dataDxfId="127" dataCellStyle="Normal 10 13 2 2"/>
    <tableColumn id="25" xr3:uid="{69C41B0F-ABD8-47C5-B700-976948D210FA}" name="On and Before" dataDxfId="126"/>
    <tableColumn id="32" xr3:uid="{82B7AA21-217A-42C8-A52F-D1197EDDEA24}" name="Allowed Days of Week" dataDxfId="125" dataCellStyle="Normal 10 13 2 2"/>
    <tableColumn id="30" xr3:uid="{61D9BB0A-593A-4C6F-9281-9CD0D3728E24}" name="Disallow Dates" dataDxfId="124"/>
    <tableColumn id="31" xr3:uid="{6F99A1D5-BF2E-4829-84D8-EEB6A626551E}" name="Disallowed Dates Handling" dataDxfId="123"/>
    <tableColumn id="29" xr3:uid="{1D50B6D5-C459-477E-9F7B-7EDA26F0295F}" name="Convert To" dataDxfId="122" dataCellStyle="Normal 10 13 2 2"/>
    <tableColumn id="33" xr3:uid="{AFD4AF18-FFA1-4972-A7F4-F14E822BF1A1}" name="Min File Size" dataDxfId="121"/>
    <tableColumn id="34" xr3:uid="{0AB5D6A9-6CFE-4D80-91E7-1755909674AA}" name="Max File Size" dataDxfId="120"/>
    <tableColumn id="35" xr3:uid="{8FDDF824-D185-4AAC-890E-B94BC08FA121}" name="File Name Pattern" dataDxfId="119"/>
    <tableColumn id="36" xr3:uid="{0AF636DF-3E49-4A40-9A37-76AB6217AD54}" name="Allowed File Extension" dataDxfId="118"/>
    <tableColumn id="37" xr3:uid="{580A823F-115A-4963-856A-275B1EC9F81B}" name="Disallowed File Extension" dataDxfId="117"/>
    <tableColumn id="38" xr3:uid="{4267820B-F165-4167-BCD5-63FFF5E3F56C}" name="Magic Number Check"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0000000}" name="AlchemyJ_Snippet_Data_Relationship_Schema_tbl" displayName="AlchemyJ_Snippet_Data_Relationship_Schema_tbl" ref="A2:L4" totalsRowShown="0" headerRowDxfId="115" dataDxfId="114" headerRowCellStyle="Normal 24 2 2 5 2">
  <autoFilter ref="A2:L4" xr:uid="{00000000-0009-0000-0100-000013000000}"/>
  <tableColumns count="12">
    <tableColumn id="1" xr3:uid="{00000000-0010-0000-0000-000001000000}" name="JSON Node Name" dataDxfId="113"/>
    <tableColumn id="2" xr3:uid="{00000000-0010-0000-0000-000002000000}" name="Table" dataDxfId="112"/>
    <tableColumn id="3" xr3:uid="{00000000-0010-0000-0000-000003000000}" name="Table Address" dataDxfId="111">
      <calculatedColumnFormula array="1">ajAddress(Query!B6) &amp; ":" &amp; CHAR(COLUMN(Query!B6) + COLUMNS(Dataset[]) - 1 + 64) &amp; ROW(Query!B6) + ROWS(Dataset[])</calculatedColumnFormula>
    </tableColumn>
    <tableColumn id="4" xr3:uid="{00000000-0010-0000-0000-000004000000}" name="Parent Table" dataDxfId="110"/>
    <tableColumn id="5" xr3:uid="{00000000-0010-0000-0000-000005000000}" name="Key" dataDxfId="109"/>
    <tableColumn id="6" xr3:uid="{00000000-0010-0000-0000-000006000000}" name="Multiple Row" dataDxfId="108"/>
    <tableColumn id="12" xr3:uid="{00000000-0010-0000-0000-00000C000000}" name="Exclude Columns" dataDxfId="107"/>
    <tableColumn id="7" xr3:uid="{00000000-0010-0000-0000-000007000000}" name="Data Dictionary Address" dataDxfId="106"/>
    <tableColumn id="8" xr3:uid="{00000000-0010-0000-0000-000008000000}" name="Header Position" dataDxfId="105"/>
    <tableColumn id="9" xr3:uid="{00000000-0010-0000-0000-000009000000}" name="Required" dataDxfId="104"/>
    <tableColumn id="10" xr3:uid="{00000000-0010-0000-0000-00000A000000}" name="Description" dataDxfId="103"/>
    <tableColumn id="11" xr3:uid="{00000000-0010-0000-0000-00000B000000}" name="API Model Name" dataDxfId="10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lchemyJ_RestPkg_ClassList_tbl" displayName="AlchemyJ_RestPkg_ClassList_tbl" ref="A11:A16" totalsRowShown="0" headerRowDxfId="101" dataDxfId="99" headerRowBorderDxfId="100" headerRowCellStyle="Normal 24 2 2 5 2">
  <autoFilter ref="A11:A16" xr:uid="{00000000-0009-0000-0100-000002000000}"/>
  <tableColumns count="1">
    <tableColumn id="1" xr3:uid="{00000000-0010-0000-0200-000001000000}" name="Endpoint Group Definition Sheets" dataDxfId="98">
      <calculatedColumnFormula>ajGetAddress('##RestEndpointGroup'!AlchemyJ_Name_ConfType,,2)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lchemyJ_RestPkg_ET_Setting_tbl" displayName="AlchemyJ_RestPkg_ET_Setting_tbl" ref="A27:C30" totalsRowShown="0" headerRowDxfId="97" dataDxfId="95" headerRowBorderDxfId="96" headerRowCellStyle="Normal 24 2 2 5 2">
  <autoFilter ref="A27:C30" xr:uid="{00000000-0009-0000-0100-000003000000}"/>
  <tableColumns count="3">
    <tableColumn id="1" xr3:uid="{00000000-0010-0000-0300-000001000000}" name="Property" dataDxfId="94"/>
    <tableColumn id="2" xr3:uid="{00000000-0010-0000-0300-000002000000}" name="Value" dataDxfId="93"/>
    <tableColumn id="3" xr3:uid="{00000000-0010-0000-0300-000003000000}" name="Remarks" dataDxfId="9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AlchemyJ_RestPkg_AlchemyJ_Setting_tbl" displayName="AlchemyJ_RestPkg_AlchemyJ_Setting_tbl" ref="A20:C23" totalsRowShown="0" headerRowDxfId="91" dataDxfId="89" headerRowBorderDxfId="90" headerRowCellStyle="Normal 24 2 2 5 2">
  <autoFilter ref="A20:C23" xr:uid="{00000000-0009-0000-0100-000005000000}"/>
  <tableColumns count="3">
    <tableColumn id="1" xr3:uid="{00000000-0010-0000-0400-000001000000}" name="Property" dataDxfId="88"/>
    <tableColumn id="2" xr3:uid="{00000000-0010-0000-0400-000002000000}" name="Value" dataDxfId="87"/>
    <tableColumn id="3" xr3:uid="{00000000-0010-0000-0400-000003000000}" name="Remarks" dataDxfId="8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lchemyJ_RestPkg_SessionManagement_Setting_tbl" displayName="AlchemyJ_RestPkg_SessionManagement_Setting_tbl" ref="A34:C38" totalsRowShown="0" headerRowDxfId="85" dataDxfId="83" headerRowBorderDxfId="84" headerRowCellStyle="Normal 24 2 2 5 2" dataCellStyle="Normal 24 2 2">
  <autoFilter ref="A34:C38" xr:uid="{00000000-0009-0000-0100-000006000000}"/>
  <tableColumns count="3">
    <tableColumn id="1" xr3:uid="{00000000-0010-0000-0500-000001000000}" name="Property" dataDxfId="82" dataCellStyle="Normal 24 2 2"/>
    <tableColumn id="2" xr3:uid="{00000000-0010-0000-0500-000002000000}" name="Value" dataDxfId="81" dataCellStyle="Normal 24 2 2"/>
    <tableColumn id="3" xr3:uid="{00000000-0010-0000-0500-000003000000}" name="Remarks" dataDxfId="80" dataCellStyle="Normal 24 2 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AlchemyJ_RestPkg_Setting_tbl" displayName="AlchemyJ_RestPkg_Setting_tbl" ref="A4:C7" totalsRowShown="0" headerRowDxfId="79" dataDxfId="77" headerRowBorderDxfId="78" headerRowCellStyle="Normal 24 2 2 5 2">
  <autoFilter ref="A4:C7" xr:uid="{00000000-0009-0000-0100-000008000000}"/>
  <tableColumns count="3">
    <tableColumn id="1" xr3:uid="{00000000-0010-0000-0600-000001000000}" name="Property" dataDxfId="76"/>
    <tableColumn id="2" xr3:uid="{00000000-0010-0000-0600-000002000000}" name="Value" dataDxfId="75"/>
    <tableColumn id="3" xr3:uid="{00000000-0010-0000-0600-000003000000}" name="Remarks" dataDxfId="7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AlchemyJ_Maven_Dependency_REST_tbl" displayName="AlchemyJ_Maven_Dependency_REST_tbl" ref="A62:D64" totalsRowShown="0" headerRowDxfId="73" dataDxfId="71" headerRowBorderDxfId="72" headerRowCellStyle="Normal 24 2 2 5 2" dataCellStyle="Normal 24 2 2">
  <autoFilter ref="A62:D64" xr:uid="{00000000-0009-0000-0100-000009000000}"/>
  <tableColumns count="4">
    <tableColumn id="1" xr3:uid="{00000000-0010-0000-0700-000001000000}" name="Maven Group ID" dataDxfId="70" dataCellStyle="Normal 24 2 2"/>
    <tableColumn id="2" xr3:uid="{00000000-0010-0000-0700-000002000000}" name="Maven Artifact ID" dataDxfId="69" dataCellStyle="Normal 24 2 2"/>
    <tableColumn id="3" xr3:uid="{00000000-0010-0000-0700-000003000000}" name="Maven Version" dataDxfId="68" dataCellStyle="Normal 24 2 2"/>
    <tableColumn id="4" xr3:uid="{00000000-0010-0000-0700-000004000000}" name="Scope" dataDxfId="67" dataCellStyle="Normal 24 2 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AlchemyJ_RestPkg_Additional_Config_Tbl" displayName="AlchemyJ_RestPkg_Additional_Config_Tbl" ref="A68:C70" totalsRowShown="0" headerRowDxfId="66" dataDxfId="64" headerRowBorderDxfId="65" headerRowCellStyle="Normal 24 2 2 5 2" dataCellStyle="Normal 24 2 2">
  <autoFilter ref="A68:C70" xr:uid="{00000000-0009-0000-0100-00000A000000}"/>
  <tableColumns count="3">
    <tableColumn id="1" xr3:uid="{00000000-0010-0000-0800-000001000000}" name="Property" dataDxfId="63" dataCellStyle="Normal 24 2 2"/>
    <tableColumn id="2" xr3:uid="{00000000-0010-0000-0800-000002000000}" name="Value" dataDxfId="62" dataCellStyle="Normal 24 2 2"/>
    <tableColumn id="5" xr3:uid="{00000000-0010-0000-0800-000005000000}" name="Remarks" dataDxfId="61" dataCellStyle="Normal 24 2 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AlchemyJ_RestPkg_Advance_Settings_Tbl" displayName="AlchemyJ_RestPkg_Advance_Settings_Tbl" ref="A42:C58" totalsRowShown="0" headerRowDxfId="60" dataDxfId="58" headerRowBorderDxfId="59" headerRowCellStyle="Normal 24 2 2 5 2" dataCellStyle="Normal 24 2 2">
  <autoFilter ref="A42:C58" xr:uid="{00000000-0009-0000-0100-00000B000000}"/>
  <tableColumns count="3">
    <tableColumn id="1" xr3:uid="{00000000-0010-0000-0900-000001000000}" name="Property" dataDxfId="57" dataCellStyle="Normal 24 2 2"/>
    <tableColumn id="2" xr3:uid="{00000000-0010-0000-0900-000002000000}" name="Value" dataDxfId="56" dataCellStyle="Normal 24 2 2"/>
    <tableColumn id="5" xr3:uid="{00000000-0010-0000-0900-000005000000}" name="Remarks" dataDxfId="55" dataCellStyle="Normal 24 2 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A000000}" name="AlchemyJ_RestPkg_Doc_Config_Tbl" displayName="AlchemyJ_RestPkg_Doc_Config_Tbl" ref="A74:C83" totalsRowShown="0" headerRowDxfId="54" dataDxfId="52" headerRowBorderDxfId="53" headerRowCellStyle="Normal 24 2 2 5 2" dataCellStyle="Normal 24 2 2">
  <autoFilter ref="A74:C83" xr:uid="{00000000-0009-0000-0100-000011000000}"/>
  <tableColumns count="3">
    <tableColumn id="1" xr3:uid="{00000000-0010-0000-0A00-000001000000}" name="Property" dataDxfId="51" dataCellStyle="Normal 24 2 2"/>
    <tableColumn id="2" xr3:uid="{00000000-0010-0000-0A00-000002000000}" name="Value" dataDxfId="50" dataCellStyle="Normal 24 2 2"/>
    <tableColumn id="3" xr3:uid="{00000000-0010-0000-0A00-000003000000}" name="Remarks" dataDxfId="49" dataCellStyle="Normal 24 2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B000000}" name="AlchemyJ_RestPkg_Response_Code_Config_Tbl" displayName="AlchemyJ_RestPkg_Response_Code_Config_Tbl" ref="A87:C93" totalsRowShown="0" headerRowDxfId="48" dataDxfId="46" headerRowBorderDxfId="47" headerRowCellStyle="Normal 24 2 2 5 2" dataCellStyle="Normal 24 2 2">
  <autoFilter ref="A87:C93" xr:uid="{00000000-0009-0000-0100-000012000000}"/>
  <tableColumns count="3">
    <tableColumn id="1" xr3:uid="{00000000-0010-0000-0B00-000001000000}" name="HTTP Response Status Code" dataDxfId="45" dataCellStyle="Normal 24 2 2"/>
    <tableColumn id="2" xr3:uid="{00000000-0010-0000-0B00-000002000000}" name="Message" dataDxfId="44" dataCellStyle="Normal 24 2 2"/>
    <tableColumn id="5" xr3:uid="{00000000-0010-0000-0B00-000005000000}" name="Remarks" dataDxfId="43" dataCellStyle="Normal 24 2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C000000}" name="AlchemyJ_RestCls_SheetDef_tbl" displayName="AlchemyJ_RestCls_SheetDef_tbl" ref="A57:B67" totalsRowShown="0" headerRowDxfId="42" dataDxfId="40" headerRowBorderDxfId="41" headerRowCellStyle="Normal 24 2 2 5 2">
  <autoFilter ref="A57:B67" xr:uid="{00000000-0009-0000-0100-00000C000000}"/>
  <tableColumns count="2">
    <tableColumn id="1" xr3:uid="{00000000-0010-0000-0C00-000001000000}" name="Function Point" dataDxfId="39" dataCellStyle="Normal 23"/>
    <tableColumn id="2" xr3:uid="{00000000-0010-0000-0C00-000002000000}" name="Worksheet Name" dataDxfId="38" dataCellStyle="Normal 23">
      <calculatedColumnFormula array="1">ajAddress(Data!B4,,2)</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D000000}" name="AlchemyJ_RestCls_OutputSettings_tbl" displayName="AlchemyJ_RestCls_OutputSettings_tbl" ref="A4:C8" totalsRowShown="0" headerRowDxfId="37" dataDxfId="35" headerRowBorderDxfId="36" headerRowCellStyle="Normal 24 2 2 5 2">
  <autoFilter ref="A4:C8" xr:uid="{00000000-0009-0000-0100-00000D000000}"/>
  <tableColumns count="3">
    <tableColumn id="1" xr3:uid="{00000000-0010-0000-0D00-000001000000}" name="Property" dataDxfId="34"/>
    <tableColumn id="2" xr3:uid="{00000000-0010-0000-0D00-000002000000}" name="Value" dataDxfId="33"/>
    <tableColumn id="3" xr3:uid="{00000000-0010-0000-0D00-000003000000}" name="Remarks" dataDxfId="3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E000000}" name="AlchemyJ_RestCls_EndPointDef_tbl" displayName="AlchemyJ_RestCls_EndPointDef_tbl" ref="A12:I22" totalsRowShown="0" headerRowDxfId="31" dataDxfId="29" headerRowBorderDxfId="30" headerRowCellStyle="Normal 24 2 2 5 2" dataCellStyle="Normal 23">
  <autoFilter ref="A12:I22" xr:uid="{00000000-0009-0000-0100-00000E000000}"/>
  <tableColumns count="9">
    <tableColumn id="20" xr3:uid="{00000000-0010-0000-0E00-000014000000}" name="Function Point" dataDxfId="28" dataCellStyle="Normal 23"/>
    <tableColumn id="2" xr3:uid="{00000000-0010-0000-0E00-000002000000}" name="Path" dataDxfId="27" dataCellStyle="Normal 23"/>
    <tableColumn id="3" xr3:uid="{00000000-0010-0000-0E00-000003000000}" name="Operation" dataDxfId="26" dataCellStyle="Normal 23"/>
    <tableColumn id="6" xr3:uid="{00000000-0010-0000-0E00-000006000000}" name="Response Data Type" dataDxfId="25" dataCellStyle="Normal 23"/>
    <tableColumn id="11" xr3:uid="{00000000-0010-0000-0E00-00000B000000}" name="Response Data Address" dataDxfId="24" dataCellStyle="Normal 23">
      <calculatedColumnFormula>ajGetAddress(DRS!#REF!)</calculatedColumnFormula>
    </tableColumn>
    <tableColumn id="7" xr3:uid="{00000000-0010-0000-0E00-000007000000}" name="Data Source ID" dataDxfId="23" dataCellStyle="Normal 24 2 2 3 2"/>
    <tableColumn id="1" xr3:uid="{00000000-0010-0000-0E00-000001000000}" name="Mark Deprecated" dataDxfId="22" dataCellStyle="Normal 23"/>
    <tableColumn id="4" xr3:uid="{00000000-0010-0000-0E00-000004000000}" name="Description" dataDxfId="21" dataCellStyle="Normal 23"/>
    <tableColumn id="5" xr3:uid="{00000000-0010-0000-0E00-000005000000}" name="Notes" dataDxfId="20" dataCellStyle="Normal 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AlchemyJ_RestCls_EndPointParamDef_tbl" displayName="AlchemyJ_RestCls_EndPointParamDef_tbl" ref="A26:I46" totalsRowShown="0" headerRowDxfId="19" dataDxfId="17" headerRowBorderDxfId="18" tableBorderDxfId="16" headerRowCellStyle="Normal 24 2 2 5 2" dataCellStyle="Normal 23">
  <autoFilter ref="A26:I46" xr:uid="{00000000-0009-0000-0100-00000F000000}"/>
  <tableColumns count="9">
    <tableColumn id="1" xr3:uid="{00000000-0010-0000-0F00-000001000000}" name="Function Point" dataDxfId="15" dataCellStyle="Normal 23">
      <calculatedColumnFormula>IF(AlchemyJ_RestCls_EndPointParamDef_tbl[[#This Row],[Name]]="", "", $A$13)</calculatedColumnFormula>
    </tableColumn>
    <tableColumn id="13" xr3:uid="{00000000-0010-0000-0F00-00000D000000}" name="Style" dataDxfId="14" dataCellStyle="Normal 23">
      <calculatedColumnFormula>IF(AlchemyJ_RestCls_EndPointParamDef_tbl[[#This Row],[Name]]="", "", "Request parameter")</calculatedColumnFormula>
    </tableColumn>
    <tableColumn id="4" xr3:uid="{00000000-0010-0000-0F00-000004000000}" name="Name" dataDxfId="13" dataCellStyle="Normal 23"/>
    <tableColumn id="3" xr3:uid="{00000000-0010-0000-0F00-000003000000}" name="Data Type" dataDxfId="12" dataCellStyle="Normal 23">
      <calculatedColumnFormula>IF(AlchemyJ_RestCls_EndPointParamDef_tbl[[#This Row],[Name]]="", "", "String")</calculatedColumnFormula>
    </tableColumn>
    <tableColumn id="5" xr3:uid="{00000000-0010-0000-0F00-000005000000}" name="Data Address" dataDxfId="11" dataCellStyle="Normal 23"/>
    <tableColumn id="6" xr3:uid="{00000000-0010-0000-0F00-000006000000}" name="Required" dataDxfId="10" dataCellStyle="Normal 23"/>
    <tableColumn id="8" xr3:uid="{00000000-0010-0000-0F00-000008000000}" name="Default Value" dataDxfId="9" dataCellStyle="Normal 23"/>
    <tableColumn id="7" xr3:uid="{00000000-0010-0000-0F00-000007000000}" name="Example Value" dataDxfId="8" dataCellStyle="Normal 23"/>
    <tableColumn id="2" xr3:uid="{00000000-0010-0000-0F00-000002000000}" name="Description" dataDxfId="7" dataCellStyle="Normal 2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0000000}" name="AlchemyJ_RestCls_EndPointRespOperationDef_tbl" displayName="AlchemyJ_RestCls_EndPointRespOperationDef_tbl" ref="A50:D53" totalsRowShown="0" headerRowDxfId="6" dataDxfId="4" headerRowBorderDxfId="5" headerRowCellStyle="Normal 24 2 2 5 2" dataCellStyle="Normal 23">
  <autoFilter ref="A50:D53" xr:uid="{00000000-0009-0000-0100-000010000000}"/>
  <tableColumns count="4">
    <tableColumn id="1" xr3:uid="{00000000-0010-0000-1000-000001000000}" name="Function Point" dataDxfId="3" dataCellStyle="Normal 23"/>
    <tableColumn id="2" xr3:uid="{00000000-0010-0000-1000-000002000000}" name="Style" dataDxfId="2" dataCellStyle="Normal 23"/>
    <tableColumn id="10" xr3:uid="{00000000-0010-0000-1000-00000A000000}" name="Name" dataDxfId="1" dataCellStyle="Normal 23"/>
    <tableColumn id="3" xr3:uid="{00000000-0010-0000-1000-000003000000}" name="Data Address" dataDxfId="0" dataCellStyle="Normal 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5.bin"/><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table" Target="../tables/table1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19"/>
  <sheetViews>
    <sheetView workbookViewId="0">
      <selection activeCell="B26" sqref="B26"/>
    </sheetView>
  </sheetViews>
  <sheetFormatPr defaultColWidth="9.109375" defaultRowHeight="14.4"/>
  <cols>
    <col min="1" max="1" width="3.44140625" style="15" customWidth="1"/>
    <col min="2" max="2" width="22.6640625" style="15" customWidth="1"/>
    <col min="3" max="3" width="150" style="15" customWidth="1"/>
    <col min="4" max="16384" width="9.109375" style="15"/>
  </cols>
  <sheetData>
    <row r="1" spans="1:3" ht="23.4">
      <c r="A1" s="16" t="s">
        <v>289</v>
      </c>
      <c r="B1" s="17"/>
      <c r="C1" s="17"/>
    </row>
    <row r="2" spans="1:3">
      <c r="A2" s="119" t="s">
        <v>301</v>
      </c>
      <c r="B2" s="17"/>
      <c r="C2" s="17"/>
    </row>
    <row r="3" spans="1:3">
      <c r="A3" s="17"/>
      <c r="B3" s="17"/>
      <c r="C3" s="17"/>
    </row>
    <row r="4" spans="1:3" ht="21">
      <c r="A4" s="18" t="s">
        <v>98</v>
      </c>
      <c r="B4" s="17"/>
      <c r="C4" s="17"/>
    </row>
    <row r="5" spans="1:3">
      <c r="A5" s="17"/>
      <c r="B5" s="17"/>
      <c r="C5" s="17"/>
    </row>
    <row r="6" spans="1:3" ht="18">
      <c r="A6" s="19" t="s">
        <v>97</v>
      </c>
      <c r="B6" s="17"/>
      <c r="C6" s="17"/>
    </row>
    <row r="7" spans="1:3">
      <c r="A7" s="17"/>
      <c r="B7" s="17" t="s">
        <v>294</v>
      </c>
      <c r="C7" s="17"/>
    </row>
    <row r="8" spans="1:3">
      <c r="A8" s="17"/>
      <c r="B8" s="17"/>
      <c r="C8" s="17"/>
    </row>
    <row r="9" spans="1:3" ht="18">
      <c r="A9" s="19" t="s">
        <v>290</v>
      </c>
      <c r="B9" s="17"/>
      <c r="C9" s="17"/>
    </row>
    <row r="10" spans="1:3" ht="18">
      <c r="A10" s="19"/>
      <c r="B10" s="17" t="s">
        <v>291</v>
      </c>
      <c r="C10" s="17"/>
    </row>
    <row r="11" spans="1:3" ht="18">
      <c r="A11" s="19"/>
      <c r="B11" s="17" t="s">
        <v>292</v>
      </c>
      <c r="C11" s="17"/>
    </row>
    <row r="12" spans="1:3" ht="18">
      <c r="A12" s="19"/>
      <c r="B12" s="17" t="s">
        <v>293</v>
      </c>
      <c r="C12" s="17"/>
    </row>
    <row r="13" spans="1:3" ht="18">
      <c r="A13" s="19"/>
      <c r="B13" s="17" t="s">
        <v>295</v>
      </c>
      <c r="C13" s="17"/>
    </row>
    <row r="14" spans="1:3" ht="18">
      <c r="A14" s="19"/>
      <c r="B14" s="17"/>
      <c r="C14" s="17"/>
    </row>
    <row r="15" spans="1:3" ht="18">
      <c r="A15" s="19" t="s">
        <v>296</v>
      </c>
      <c r="B15" s="17"/>
      <c r="C15" s="17"/>
    </row>
    <row r="16" spans="1:3" ht="18">
      <c r="A16" s="19"/>
      <c r="B16" s="17" t="s">
        <v>297</v>
      </c>
      <c r="C16" s="17"/>
    </row>
    <row r="17" spans="1:3" ht="18">
      <c r="A17" s="19"/>
      <c r="B17" s="17" t="s">
        <v>298</v>
      </c>
      <c r="C17" s="17"/>
    </row>
    <row r="18" spans="1:3" ht="18">
      <c r="A18" s="19"/>
      <c r="B18" s="17" t="s">
        <v>299</v>
      </c>
      <c r="C18" s="17"/>
    </row>
    <row r="19" spans="1:3" ht="18">
      <c r="A19" s="19"/>
      <c r="B19" s="17" t="s">
        <v>300</v>
      </c>
      <c r="C19" s="17"/>
    </row>
  </sheetData>
  <phoneticPr fontId="19"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18A63-841E-4F42-9830-B44DBFF3F709}">
  <sheetPr codeName="Sheet3">
    <tabColor rgb="FF92D050"/>
  </sheetPr>
  <dimension ref="B1:L1005"/>
  <sheetViews>
    <sheetView tabSelected="1" zoomScale="96" zoomScaleNormal="96" workbookViewId="0">
      <pane ySplit="5" topLeftCell="A6" activePane="bottomLeft" state="frozen"/>
      <selection activeCell="C37" sqref="C37"/>
      <selection pane="bottomLeft" activeCell="C1" sqref="C1"/>
    </sheetView>
  </sheetViews>
  <sheetFormatPr defaultRowHeight="14.4"/>
  <cols>
    <col min="1" max="1" width="2.5546875" customWidth="1"/>
    <col min="2" max="2" width="39.44140625" bestFit="1" customWidth="1"/>
    <col min="3" max="3" width="59.6640625" customWidth="1"/>
    <col min="4" max="10" width="11.5546875" bestFit="1" customWidth="1"/>
    <col min="11" max="11" width="12.5546875" bestFit="1" customWidth="1"/>
    <col min="12" max="12" width="4.5546875" bestFit="1" customWidth="1"/>
    <col min="13" max="13" width="4.44140625" bestFit="1" customWidth="1"/>
  </cols>
  <sheetData>
    <row r="1" spans="2:12">
      <c r="B1" s="117" t="s">
        <v>278</v>
      </c>
      <c r="C1" s="118"/>
      <c r="D1" s="120" t="s">
        <v>302</v>
      </c>
    </row>
    <row r="4" spans="2:12">
      <c r="B4" s="62" t="s">
        <v>194</v>
      </c>
      <c r="C4" s="121" t="s">
        <v>303</v>
      </c>
    </row>
    <row r="5" spans="2:12" s="64" customFormat="1">
      <c r="B5" s="64" t="s">
        <v>304</v>
      </c>
      <c r="C5" s="64" t="s">
        <v>305</v>
      </c>
      <c r="D5" s="64" t="s">
        <v>306</v>
      </c>
      <c r="E5" s="64" t="s">
        <v>285</v>
      </c>
      <c r="F5" s="64" t="s">
        <v>284</v>
      </c>
      <c r="G5" s="64" t="s">
        <v>283</v>
      </c>
      <c r="H5" s="64" t="s">
        <v>282</v>
      </c>
      <c r="I5" s="64" t="s">
        <v>281</v>
      </c>
      <c r="J5" s="64" t="s">
        <v>280</v>
      </c>
      <c r="K5" s="64" t="s">
        <v>279</v>
      </c>
      <c r="L5" s="104" t="s">
        <v>196</v>
      </c>
    </row>
    <row r="6" spans="2:12">
      <c r="L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 spans="2:12">
      <c r="L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 spans="2:12">
      <c r="L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 spans="2:12">
      <c r="L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 spans="2:12">
      <c r="L1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 spans="2:12">
      <c r="L1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 spans="2:12">
      <c r="L1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 spans="2:12">
      <c r="L1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 spans="2:12">
      <c r="L1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 spans="2:12">
      <c r="L1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 spans="2:12">
      <c r="L1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 spans="2:12">
      <c r="L1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 spans="2:12">
      <c r="L1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 spans="2:12">
      <c r="L1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 spans="2:12">
      <c r="L2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 spans="2:12">
      <c r="L2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 spans="2:12">
      <c r="L2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 spans="2:12">
      <c r="L2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 spans="2:12">
      <c r="L2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 spans="2:12">
      <c r="L2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 spans="2:12">
      <c r="L2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 spans="2:12">
      <c r="L2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 spans="2:12">
      <c r="L2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 spans="2:12">
      <c r="L2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 spans="2:12">
      <c r="B30" s="61"/>
      <c r="C30" s="61"/>
      <c r="D30" s="61"/>
      <c r="J30" s="61"/>
      <c r="L3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 spans="2:12">
      <c r="B31" s="61"/>
      <c r="C31" s="61"/>
      <c r="D31" s="61"/>
      <c r="J31" s="61"/>
      <c r="L3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 spans="2:12">
      <c r="B32" s="61"/>
      <c r="C32" s="61"/>
      <c r="D32" s="61"/>
      <c r="J32" s="61"/>
      <c r="L3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 spans="2:12">
      <c r="B33" s="61"/>
      <c r="C33" s="61"/>
      <c r="D33" s="61"/>
      <c r="J33" s="61"/>
      <c r="L3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 spans="2:12">
      <c r="B34" s="61"/>
      <c r="C34" s="61"/>
      <c r="D34" s="61"/>
      <c r="J34" s="61"/>
      <c r="L3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 spans="2:12">
      <c r="B35" s="61"/>
      <c r="C35" s="61"/>
      <c r="D35" s="61"/>
      <c r="J35" s="61"/>
      <c r="L3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 spans="2:12">
      <c r="B36" s="61"/>
      <c r="C36" s="61"/>
      <c r="D36" s="61"/>
      <c r="J36" s="61"/>
      <c r="L3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 spans="2:12">
      <c r="B37" s="61"/>
      <c r="C37" s="61"/>
      <c r="D37" s="61"/>
      <c r="J37" s="61"/>
      <c r="L3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 spans="2:12">
      <c r="B38" s="61"/>
      <c r="C38" s="61"/>
      <c r="D38" s="61"/>
      <c r="J38" s="61"/>
      <c r="L3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 spans="2:12">
      <c r="B39" s="61"/>
      <c r="C39" s="61"/>
      <c r="D39" s="61"/>
      <c r="J39" s="61"/>
      <c r="L3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 spans="2:12">
      <c r="B40" s="61"/>
      <c r="C40" s="61"/>
      <c r="D40" s="61"/>
      <c r="J40" s="61"/>
      <c r="L4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 spans="2:12">
      <c r="B41" s="61"/>
      <c r="C41" s="61"/>
      <c r="D41" s="61"/>
      <c r="J41" s="61"/>
      <c r="L4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 spans="2:12">
      <c r="B42" s="61"/>
      <c r="C42" s="61"/>
      <c r="D42" s="61"/>
      <c r="J42" s="61"/>
      <c r="L4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 spans="2:12">
      <c r="B43" s="61"/>
      <c r="C43" s="61"/>
      <c r="D43" s="61"/>
      <c r="J43" s="61"/>
      <c r="L4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 spans="2:12">
      <c r="B44" s="61"/>
      <c r="C44" s="61"/>
      <c r="D44" s="61"/>
      <c r="J44" s="61"/>
      <c r="L4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 spans="2:12">
      <c r="B45" s="61"/>
      <c r="C45" s="61"/>
      <c r="D45" s="61"/>
      <c r="J45" s="61"/>
      <c r="L4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 spans="2:12">
      <c r="B46" s="61"/>
      <c r="C46" s="61"/>
      <c r="D46" s="61"/>
      <c r="J46" s="61"/>
      <c r="L4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 spans="2:12">
      <c r="B47" s="61"/>
      <c r="C47" s="61"/>
      <c r="D47" s="61"/>
      <c r="J47" s="61"/>
      <c r="L4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 spans="2:12">
      <c r="B48" s="61"/>
      <c r="C48" s="61"/>
      <c r="D48" s="61"/>
      <c r="J48" s="61"/>
      <c r="L4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 spans="2:12">
      <c r="B49" s="61"/>
      <c r="C49" s="61"/>
      <c r="D49" s="61"/>
      <c r="J49" s="61"/>
      <c r="L4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 spans="2:12">
      <c r="B50" s="61"/>
      <c r="C50" s="61"/>
      <c r="D50" s="61"/>
      <c r="J50" s="61"/>
      <c r="L5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 spans="2:12">
      <c r="B51" s="61"/>
      <c r="C51" s="61"/>
      <c r="D51" s="61"/>
      <c r="J51" s="61"/>
      <c r="L5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 spans="2:12">
      <c r="B52" s="61"/>
      <c r="C52" s="61"/>
      <c r="D52" s="61"/>
      <c r="J52" s="61"/>
      <c r="L5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 spans="2:12">
      <c r="B53" s="61"/>
      <c r="C53" s="61"/>
      <c r="D53" s="61"/>
      <c r="J53" s="61"/>
      <c r="L5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 spans="2:12">
      <c r="B54" s="61"/>
      <c r="C54" s="61"/>
      <c r="D54" s="61"/>
      <c r="J54" s="61"/>
      <c r="L5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 spans="2:12">
      <c r="B55" s="61"/>
      <c r="C55" s="61"/>
      <c r="D55" s="61"/>
      <c r="J55" s="61"/>
      <c r="L5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 spans="2:12">
      <c r="B56" s="61"/>
      <c r="C56" s="61"/>
      <c r="D56" s="61"/>
      <c r="J56" s="61"/>
      <c r="L5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 spans="2:12">
      <c r="B57" s="61"/>
      <c r="C57" s="61"/>
      <c r="D57" s="61"/>
      <c r="J57" s="61"/>
      <c r="L5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 spans="2:12">
      <c r="B58" s="61"/>
      <c r="C58" s="61"/>
      <c r="D58" s="61"/>
      <c r="J58" s="61"/>
      <c r="L5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 spans="2:12">
      <c r="B59" s="61"/>
      <c r="C59" s="61"/>
      <c r="D59" s="61"/>
      <c r="J59" s="61"/>
      <c r="L5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 spans="2:12">
      <c r="B60" s="61"/>
      <c r="C60" s="61"/>
      <c r="D60" s="61"/>
      <c r="J60" s="61"/>
      <c r="L6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 spans="2:12">
      <c r="B61" s="61"/>
      <c r="C61" s="61"/>
      <c r="D61" s="61"/>
      <c r="J61" s="61"/>
      <c r="L6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 spans="2:12">
      <c r="B62" s="61"/>
      <c r="C62" s="61"/>
      <c r="D62" s="61"/>
      <c r="J62" s="61"/>
      <c r="L6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 spans="2:12">
      <c r="B63" s="61"/>
      <c r="C63" s="61"/>
      <c r="D63" s="61"/>
      <c r="J63" s="61"/>
      <c r="L6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 spans="2:12">
      <c r="B64" s="61"/>
      <c r="C64" s="61"/>
      <c r="D64" s="61"/>
      <c r="J64" s="61"/>
      <c r="L6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 spans="2:12">
      <c r="B65" s="61"/>
      <c r="C65" s="61"/>
      <c r="D65" s="61"/>
      <c r="J65" s="61"/>
      <c r="L6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 spans="2:12">
      <c r="B66" s="61"/>
      <c r="C66" s="61"/>
      <c r="D66" s="61"/>
      <c r="J66" s="61"/>
      <c r="L6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 spans="2:12">
      <c r="B67" s="61"/>
      <c r="C67" s="61"/>
      <c r="D67" s="61"/>
      <c r="J67" s="61"/>
      <c r="L6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 spans="2:12">
      <c r="B68" s="61"/>
      <c r="C68" s="61"/>
      <c r="D68" s="61"/>
      <c r="J68" s="61"/>
      <c r="L6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 spans="2:12">
      <c r="B69" s="61"/>
      <c r="C69" s="61"/>
      <c r="D69" s="61"/>
      <c r="J69" s="61"/>
      <c r="L6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 spans="2:12">
      <c r="B70" s="61"/>
      <c r="C70" s="61"/>
      <c r="D70" s="61"/>
      <c r="J70" s="61"/>
      <c r="L7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 spans="2:12">
      <c r="B71" s="61"/>
      <c r="C71" s="61"/>
      <c r="D71" s="61"/>
      <c r="J71" s="61"/>
      <c r="L7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 spans="2:12">
      <c r="B72" s="61"/>
      <c r="C72" s="61"/>
      <c r="D72" s="61"/>
      <c r="J72" s="61"/>
      <c r="L7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 spans="2:12">
      <c r="B73" s="61"/>
      <c r="C73" s="61"/>
      <c r="D73" s="61"/>
      <c r="J73" s="61"/>
      <c r="L7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 spans="2:12">
      <c r="B74" s="61"/>
      <c r="C74" s="61"/>
      <c r="D74" s="61"/>
      <c r="J74" s="61"/>
      <c r="L7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 spans="2:12">
      <c r="B75" s="61"/>
      <c r="C75" s="61"/>
      <c r="D75" s="61"/>
      <c r="J75" s="61"/>
      <c r="L7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 spans="2:12">
      <c r="B76" s="61"/>
      <c r="C76" s="61"/>
      <c r="D76" s="61"/>
      <c r="J76" s="61"/>
      <c r="L7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 spans="2:12">
      <c r="B77" s="61"/>
      <c r="C77" s="61"/>
      <c r="D77" s="61"/>
      <c r="J77" s="61"/>
      <c r="L7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 spans="2:12">
      <c r="B78" s="61"/>
      <c r="C78" s="61"/>
      <c r="D78" s="61"/>
      <c r="J78" s="61"/>
      <c r="L7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 spans="2:12">
      <c r="B79" s="61"/>
      <c r="C79" s="61"/>
      <c r="D79" s="61"/>
      <c r="J79" s="61"/>
      <c r="L7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 spans="2:12">
      <c r="B80" s="61"/>
      <c r="C80" s="61"/>
      <c r="D80" s="61"/>
      <c r="J80" s="61"/>
      <c r="L8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 spans="2:12">
      <c r="B81" s="61"/>
      <c r="C81" s="61"/>
      <c r="D81" s="61"/>
      <c r="J81" s="61"/>
      <c r="L8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 spans="2:12">
      <c r="B82" s="61"/>
      <c r="C82" s="61"/>
      <c r="D82" s="61"/>
      <c r="J82" s="61"/>
      <c r="L8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 spans="2:12">
      <c r="B83" s="61"/>
      <c r="C83" s="61"/>
      <c r="D83" s="61"/>
      <c r="J83" s="61"/>
      <c r="L8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 spans="2:12">
      <c r="B84" s="61"/>
      <c r="C84" s="61"/>
      <c r="D84" s="61"/>
      <c r="J84" s="61"/>
      <c r="L8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 spans="2:12">
      <c r="B85" s="61"/>
      <c r="C85" s="61"/>
      <c r="D85" s="61"/>
      <c r="J85" s="61"/>
      <c r="L8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 spans="2:12">
      <c r="B86" s="61"/>
      <c r="C86" s="61"/>
      <c r="D86" s="61"/>
      <c r="J86" s="61"/>
      <c r="L8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 spans="2:12">
      <c r="B87" s="61"/>
      <c r="C87" s="61"/>
      <c r="D87" s="61"/>
      <c r="J87" s="61"/>
      <c r="L8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 spans="2:12">
      <c r="B88" s="61"/>
      <c r="C88" s="61"/>
      <c r="D88" s="61"/>
      <c r="J88" s="61"/>
      <c r="L8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 spans="2:12">
      <c r="B89" s="61"/>
      <c r="C89" s="61"/>
      <c r="D89" s="61"/>
      <c r="J89" s="61"/>
      <c r="L8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 spans="2:12">
      <c r="B90" s="61"/>
      <c r="C90" s="61"/>
      <c r="D90" s="61"/>
      <c r="J90" s="61"/>
      <c r="L9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 spans="2:12">
      <c r="B91" s="61"/>
      <c r="C91" s="61"/>
      <c r="D91" s="61"/>
      <c r="J91" s="61"/>
      <c r="L9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 spans="2:12">
      <c r="B92" s="61"/>
      <c r="C92" s="61"/>
      <c r="D92" s="61"/>
      <c r="J92" s="61"/>
      <c r="L9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 spans="2:12">
      <c r="B93" s="61"/>
      <c r="C93" s="61"/>
      <c r="D93" s="61"/>
      <c r="J93" s="61"/>
      <c r="L9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 spans="2:12">
      <c r="B94" s="61"/>
      <c r="C94" s="61"/>
      <c r="D94" s="61"/>
      <c r="J94" s="61"/>
      <c r="L9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 spans="2:12">
      <c r="B95" s="61"/>
      <c r="C95" s="61"/>
      <c r="D95" s="61"/>
      <c r="J95" s="61"/>
      <c r="L9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 spans="2:12">
      <c r="B96" s="61"/>
      <c r="C96" s="61"/>
      <c r="D96" s="61"/>
      <c r="J96" s="61"/>
      <c r="L96"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 spans="2:12">
      <c r="B97" s="61"/>
      <c r="C97" s="61"/>
      <c r="D97" s="61"/>
      <c r="J97" s="61"/>
      <c r="L97"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 spans="2:12">
      <c r="B98" s="61"/>
      <c r="C98" s="61"/>
      <c r="D98" s="61"/>
      <c r="J98" s="61"/>
      <c r="L98"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 spans="2:12">
      <c r="B99" s="61"/>
      <c r="C99" s="61"/>
      <c r="D99" s="61"/>
      <c r="J99" s="61"/>
      <c r="L99"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0" spans="2:12">
      <c r="B100" s="61"/>
      <c r="C100" s="61"/>
      <c r="D100" s="61"/>
      <c r="J100" s="61"/>
      <c r="L100"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1" spans="2:12">
      <c r="B101" s="61"/>
      <c r="C101" s="61"/>
      <c r="D101" s="61"/>
      <c r="J101" s="61"/>
      <c r="L101"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2" spans="2:12">
      <c r="B102" s="61"/>
      <c r="C102" s="61"/>
      <c r="D102" s="61"/>
      <c r="J102" s="61"/>
      <c r="L102"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3" spans="2:12">
      <c r="B103" s="61"/>
      <c r="C103" s="61"/>
      <c r="D103" s="61"/>
      <c r="J103" s="61"/>
      <c r="L103"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4" spans="2:12">
      <c r="B104" s="61"/>
      <c r="C104" s="61"/>
      <c r="D104" s="61"/>
      <c r="J104" s="61"/>
      <c r="L104"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5" spans="2:12">
      <c r="B105" s="61"/>
      <c r="C105" s="61"/>
      <c r="D105" s="61"/>
      <c r="J105" s="61"/>
      <c r="L105" s="105">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6" spans="2:12">
      <c r="B106" s="61"/>
      <c r="C106" s="61"/>
      <c r="D106" s="61"/>
      <c r="J106" s="61"/>
      <c r="L1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7" spans="2:12">
      <c r="B107" s="61"/>
      <c r="C107" s="61"/>
      <c r="D107" s="61"/>
      <c r="J107" s="61"/>
      <c r="L1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8" spans="2:12">
      <c r="B108" s="61"/>
      <c r="C108" s="61"/>
      <c r="D108" s="61"/>
      <c r="J108" s="61"/>
      <c r="L1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9" spans="2:12">
      <c r="B109" s="61"/>
      <c r="C109" s="61"/>
      <c r="D109" s="61"/>
      <c r="J109" s="61"/>
      <c r="L1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0" spans="2:12">
      <c r="B110" s="61"/>
      <c r="C110" s="61"/>
      <c r="D110" s="61"/>
      <c r="J110" s="61"/>
      <c r="L1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1" spans="2:12">
      <c r="B111" s="61"/>
      <c r="C111" s="61"/>
      <c r="D111" s="61"/>
      <c r="J111" s="61"/>
      <c r="L1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2" spans="2:12">
      <c r="B112" s="61"/>
      <c r="C112" s="61"/>
      <c r="D112" s="61"/>
      <c r="J112" s="61"/>
      <c r="L1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3" spans="2:12">
      <c r="B113" s="61"/>
      <c r="C113" s="61"/>
      <c r="D113" s="61"/>
      <c r="J113" s="61"/>
      <c r="L1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4" spans="2:12">
      <c r="B114" s="61"/>
      <c r="C114" s="61"/>
      <c r="D114" s="61"/>
      <c r="J114" s="61"/>
      <c r="L1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5" spans="2:12">
      <c r="B115" s="61"/>
      <c r="C115" s="61"/>
      <c r="D115" s="61"/>
      <c r="J115" s="61"/>
      <c r="L1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6" spans="2:12">
      <c r="B116" s="61"/>
      <c r="C116" s="61"/>
      <c r="D116" s="61"/>
      <c r="J116" s="61"/>
      <c r="L1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7" spans="2:12">
      <c r="B117" s="61"/>
      <c r="C117" s="61"/>
      <c r="D117" s="61"/>
      <c r="J117" s="61"/>
      <c r="L1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8" spans="2:12">
      <c r="B118" s="61"/>
      <c r="C118" s="61"/>
      <c r="D118" s="61"/>
      <c r="J118" s="61"/>
      <c r="L1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19" spans="2:12">
      <c r="B119" s="61"/>
      <c r="C119" s="61"/>
      <c r="D119" s="61"/>
      <c r="J119" s="61"/>
      <c r="L1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0" spans="2:12">
      <c r="B120" s="61"/>
      <c r="C120" s="61"/>
      <c r="D120" s="61"/>
      <c r="J120" s="61"/>
      <c r="L1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1" spans="2:12">
      <c r="B121" s="61"/>
      <c r="C121" s="61"/>
      <c r="D121" s="61"/>
      <c r="J121" s="61"/>
      <c r="L1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2" spans="2:12">
      <c r="B122" s="61"/>
      <c r="C122" s="61"/>
      <c r="D122" s="61"/>
      <c r="J122" s="61"/>
      <c r="L1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3" spans="2:12">
      <c r="B123" s="61"/>
      <c r="C123" s="61"/>
      <c r="D123" s="61"/>
      <c r="J123" s="61"/>
      <c r="L1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4" spans="2:12">
      <c r="B124" s="61"/>
      <c r="C124" s="61"/>
      <c r="D124" s="61"/>
      <c r="J124" s="61"/>
      <c r="L1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5" spans="2:12">
      <c r="B125" s="61"/>
      <c r="C125" s="61"/>
      <c r="D125" s="61"/>
      <c r="J125" s="61"/>
      <c r="L1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6" spans="2:12">
      <c r="B126" s="61"/>
      <c r="C126" s="61"/>
      <c r="D126" s="61"/>
      <c r="J126" s="61"/>
      <c r="L1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7" spans="2:12">
      <c r="B127" s="61"/>
      <c r="C127" s="61"/>
      <c r="D127" s="61"/>
      <c r="J127" s="61"/>
      <c r="L1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8" spans="2:12">
      <c r="B128" s="61"/>
      <c r="C128" s="61"/>
      <c r="D128" s="61"/>
      <c r="J128" s="61"/>
      <c r="L1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29" spans="2:12">
      <c r="B129" s="61"/>
      <c r="C129" s="61"/>
      <c r="D129" s="61"/>
      <c r="J129" s="61"/>
      <c r="L1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0" spans="2:12">
      <c r="B130" s="61"/>
      <c r="C130" s="61"/>
      <c r="D130" s="61"/>
      <c r="J130" s="61"/>
      <c r="L1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1" spans="2:12">
      <c r="B131" s="61"/>
      <c r="C131" s="61"/>
      <c r="D131" s="61"/>
      <c r="J131" s="61"/>
      <c r="L1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2" spans="2:12">
      <c r="B132" s="61"/>
      <c r="C132" s="61"/>
      <c r="D132" s="61"/>
      <c r="J132" s="61"/>
      <c r="L1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3" spans="2:12">
      <c r="B133" s="61"/>
      <c r="C133" s="61"/>
      <c r="D133" s="61"/>
      <c r="J133" s="61"/>
      <c r="L1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4" spans="2:12">
      <c r="B134" s="61"/>
      <c r="C134" s="61"/>
      <c r="D134" s="61"/>
      <c r="J134" s="61"/>
      <c r="L1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5" spans="2:12">
      <c r="B135" s="61"/>
      <c r="C135" s="61"/>
      <c r="D135" s="61"/>
      <c r="J135" s="61"/>
      <c r="L1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6" spans="2:12">
      <c r="B136" s="61"/>
      <c r="C136" s="61"/>
      <c r="D136" s="61"/>
      <c r="J136" s="61"/>
      <c r="L1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7" spans="2:12">
      <c r="B137" s="61"/>
      <c r="C137" s="61"/>
      <c r="D137" s="61"/>
      <c r="J137" s="61"/>
      <c r="L1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8" spans="2:12">
      <c r="B138" s="61"/>
      <c r="C138" s="61"/>
      <c r="D138" s="61"/>
      <c r="J138" s="61"/>
      <c r="L1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39" spans="2:12">
      <c r="B139" s="61"/>
      <c r="C139" s="61"/>
      <c r="D139" s="61"/>
      <c r="J139" s="61"/>
      <c r="L1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0" spans="2:12">
      <c r="B140" s="61"/>
      <c r="C140" s="61"/>
      <c r="D140" s="61"/>
      <c r="J140" s="61"/>
      <c r="L1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1" spans="2:12">
      <c r="B141" s="61"/>
      <c r="C141" s="61"/>
      <c r="D141" s="61"/>
      <c r="J141" s="61"/>
      <c r="L1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2" spans="2:12">
      <c r="B142" s="61"/>
      <c r="C142" s="61"/>
      <c r="D142" s="61"/>
      <c r="J142" s="61"/>
      <c r="L1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3" spans="2:12">
      <c r="B143" s="61"/>
      <c r="C143" s="61"/>
      <c r="D143" s="61"/>
      <c r="J143" s="61"/>
      <c r="L1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4" spans="2:12">
      <c r="B144" s="61"/>
      <c r="C144" s="61"/>
      <c r="D144" s="61"/>
      <c r="J144" s="61"/>
      <c r="L1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5" spans="2:12">
      <c r="B145" s="61"/>
      <c r="C145" s="61"/>
      <c r="D145" s="61"/>
      <c r="J145" s="61"/>
      <c r="L1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6" spans="2:12">
      <c r="B146" s="61"/>
      <c r="C146" s="61"/>
      <c r="D146" s="61"/>
      <c r="J146" s="61"/>
      <c r="L1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7" spans="2:12">
      <c r="B147" s="61"/>
      <c r="C147" s="61"/>
      <c r="D147" s="61"/>
      <c r="J147" s="61"/>
      <c r="L1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8" spans="2:12">
      <c r="B148" s="61"/>
      <c r="C148" s="61"/>
      <c r="D148" s="61"/>
      <c r="J148" s="61"/>
      <c r="L1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49" spans="2:12">
      <c r="B149" s="61"/>
      <c r="C149" s="61"/>
      <c r="D149" s="61"/>
      <c r="J149" s="61"/>
      <c r="L1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0" spans="2:12">
      <c r="B150" s="61"/>
      <c r="C150" s="61"/>
      <c r="D150" s="61"/>
      <c r="J150" s="61"/>
      <c r="L1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1" spans="2:12">
      <c r="B151" s="61"/>
      <c r="C151" s="61"/>
      <c r="D151" s="61"/>
      <c r="J151" s="61"/>
      <c r="L1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2" spans="2:12">
      <c r="B152" s="61"/>
      <c r="C152" s="61"/>
      <c r="D152" s="61"/>
      <c r="J152" s="61"/>
      <c r="L1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3" spans="2:12">
      <c r="B153" s="61"/>
      <c r="C153" s="61"/>
      <c r="D153" s="61"/>
      <c r="J153" s="61"/>
      <c r="L1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4" spans="2:12">
      <c r="B154" s="61"/>
      <c r="C154" s="61"/>
      <c r="D154" s="61"/>
      <c r="J154" s="61"/>
      <c r="L1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5" spans="2:12">
      <c r="B155" s="61"/>
      <c r="C155" s="61"/>
      <c r="D155" s="61"/>
      <c r="J155" s="61"/>
      <c r="L1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6" spans="2:12">
      <c r="B156" s="61"/>
      <c r="C156" s="61"/>
      <c r="D156" s="61"/>
      <c r="J156" s="61"/>
      <c r="L1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7" spans="2:12">
      <c r="B157" s="61"/>
      <c r="C157" s="61"/>
      <c r="D157" s="61"/>
      <c r="J157" s="61"/>
      <c r="L1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8" spans="2:12">
      <c r="B158" s="61"/>
      <c r="C158" s="61"/>
      <c r="D158" s="61"/>
      <c r="J158" s="61"/>
      <c r="L1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59" spans="2:12">
      <c r="B159" s="61"/>
      <c r="C159" s="61"/>
      <c r="D159" s="61"/>
      <c r="J159" s="61"/>
      <c r="L1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0" spans="2:12">
      <c r="B160" s="61"/>
      <c r="C160" s="61"/>
      <c r="D160" s="61"/>
      <c r="J160" s="61"/>
      <c r="L1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1" spans="2:12">
      <c r="B161" s="61"/>
      <c r="C161" s="61"/>
      <c r="D161" s="61"/>
      <c r="J161" s="61"/>
      <c r="L1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2" spans="2:12">
      <c r="B162" s="61"/>
      <c r="C162" s="61"/>
      <c r="D162" s="61"/>
      <c r="J162" s="61"/>
      <c r="L1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3" spans="2:12">
      <c r="B163" s="61"/>
      <c r="C163" s="61"/>
      <c r="D163" s="61"/>
      <c r="J163" s="61"/>
      <c r="L1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4" spans="2:12">
      <c r="B164" s="61"/>
      <c r="C164" s="61"/>
      <c r="D164" s="61"/>
      <c r="J164" s="61"/>
      <c r="L1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5" spans="2:12">
      <c r="B165" s="61"/>
      <c r="C165" s="61"/>
      <c r="D165" s="61"/>
      <c r="J165" s="61"/>
      <c r="L1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6" spans="2:12">
      <c r="B166" s="61"/>
      <c r="C166" s="61"/>
      <c r="D166" s="61"/>
      <c r="J166" s="61"/>
      <c r="L1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7" spans="2:12">
      <c r="B167" s="61"/>
      <c r="C167" s="61"/>
      <c r="D167" s="61"/>
      <c r="J167" s="61"/>
      <c r="L1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8" spans="2:12">
      <c r="B168" s="61"/>
      <c r="C168" s="61"/>
      <c r="D168" s="61"/>
      <c r="J168" s="61"/>
      <c r="L1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69" spans="2:12">
      <c r="B169" s="61"/>
      <c r="C169" s="61"/>
      <c r="D169" s="61"/>
      <c r="J169" s="61"/>
      <c r="L1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0" spans="2:12">
      <c r="B170" s="61"/>
      <c r="C170" s="61"/>
      <c r="D170" s="61"/>
      <c r="J170" s="61"/>
      <c r="L1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1" spans="2:12">
      <c r="B171" s="61"/>
      <c r="C171" s="61"/>
      <c r="D171" s="61"/>
      <c r="J171" s="61"/>
      <c r="L1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2" spans="2:12">
      <c r="B172" s="61"/>
      <c r="C172" s="61"/>
      <c r="D172" s="61"/>
      <c r="J172" s="61"/>
      <c r="L1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3" spans="2:12">
      <c r="B173" s="61"/>
      <c r="C173" s="61"/>
      <c r="D173" s="61"/>
      <c r="J173" s="61"/>
      <c r="L1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4" spans="2:12">
      <c r="B174" s="61"/>
      <c r="C174" s="61"/>
      <c r="D174" s="61"/>
      <c r="J174" s="61"/>
      <c r="L1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5" spans="2:12">
      <c r="B175" s="61"/>
      <c r="C175" s="61"/>
      <c r="D175" s="61"/>
      <c r="J175" s="61"/>
      <c r="L1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6" spans="2:12">
      <c r="B176" s="61"/>
      <c r="C176" s="61"/>
      <c r="D176" s="61"/>
      <c r="J176" s="61"/>
      <c r="L1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7" spans="2:12">
      <c r="B177" s="61"/>
      <c r="C177" s="61"/>
      <c r="D177" s="61"/>
      <c r="J177" s="61"/>
      <c r="L1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8" spans="2:12">
      <c r="B178" s="61"/>
      <c r="C178" s="61"/>
      <c r="D178" s="61"/>
      <c r="J178" s="61"/>
      <c r="L1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79" spans="2:12">
      <c r="B179" s="61"/>
      <c r="C179" s="61"/>
      <c r="D179" s="61"/>
      <c r="J179" s="61"/>
      <c r="L1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0" spans="2:12">
      <c r="B180" s="61"/>
      <c r="C180" s="61"/>
      <c r="D180" s="61"/>
      <c r="J180" s="61"/>
      <c r="L1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1" spans="2:12">
      <c r="B181" s="61"/>
      <c r="C181" s="61"/>
      <c r="D181" s="61"/>
      <c r="J181" s="61"/>
      <c r="L1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2" spans="2:12">
      <c r="B182" s="61"/>
      <c r="C182" s="61"/>
      <c r="D182" s="61"/>
      <c r="J182" s="61"/>
      <c r="L1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3" spans="2:12">
      <c r="B183" s="61"/>
      <c r="C183" s="61"/>
      <c r="D183" s="61"/>
      <c r="J183" s="61"/>
      <c r="L1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4" spans="2:12">
      <c r="B184" s="61"/>
      <c r="C184" s="61"/>
      <c r="D184" s="61"/>
      <c r="J184" s="61"/>
      <c r="L1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5" spans="2:12">
      <c r="B185" s="61"/>
      <c r="C185" s="61"/>
      <c r="D185" s="61"/>
      <c r="J185" s="61"/>
      <c r="L1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6" spans="2:12">
      <c r="B186" s="61"/>
      <c r="C186" s="61"/>
      <c r="D186" s="61"/>
      <c r="J186" s="61"/>
      <c r="L1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7" spans="2:12">
      <c r="B187" s="61"/>
      <c r="C187" s="61"/>
      <c r="D187" s="61"/>
      <c r="J187" s="61"/>
      <c r="L1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8" spans="2:12">
      <c r="B188" s="61"/>
      <c r="C188" s="61"/>
      <c r="D188" s="61"/>
      <c r="J188" s="61"/>
      <c r="L1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89" spans="2:12">
      <c r="B189" s="61"/>
      <c r="C189" s="61"/>
      <c r="D189" s="61"/>
      <c r="J189" s="61"/>
      <c r="L1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0" spans="2:12">
      <c r="B190" s="61"/>
      <c r="C190" s="61"/>
      <c r="D190" s="61"/>
      <c r="J190" s="61"/>
      <c r="L1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1" spans="2:12">
      <c r="B191" s="61"/>
      <c r="C191" s="61"/>
      <c r="D191" s="61"/>
      <c r="J191" s="61"/>
      <c r="L1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2" spans="2:12">
      <c r="B192" s="61"/>
      <c r="C192" s="61"/>
      <c r="D192" s="61"/>
      <c r="J192" s="61"/>
      <c r="L1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3" spans="2:12">
      <c r="B193" s="61"/>
      <c r="C193" s="61"/>
      <c r="D193" s="61"/>
      <c r="J193" s="61"/>
      <c r="L1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4" spans="2:12">
      <c r="B194" s="61"/>
      <c r="C194" s="61"/>
      <c r="D194" s="61"/>
      <c r="J194" s="61"/>
      <c r="L1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5" spans="2:12">
      <c r="B195" s="61"/>
      <c r="C195" s="61"/>
      <c r="D195" s="61"/>
      <c r="J195" s="61"/>
      <c r="L1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6" spans="2:12">
      <c r="B196" s="61"/>
      <c r="C196" s="61"/>
      <c r="D196" s="61"/>
      <c r="J196" s="61"/>
      <c r="L1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7" spans="2:12">
      <c r="B197" s="61"/>
      <c r="C197" s="61"/>
      <c r="D197" s="61"/>
      <c r="J197" s="61"/>
      <c r="L1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8" spans="2:12">
      <c r="B198" s="61"/>
      <c r="C198" s="61"/>
      <c r="D198" s="61"/>
      <c r="J198" s="61"/>
      <c r="L1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99" spans="2:12">
      <c r="B199" s="61"/>
      <c r="C199" s="61"/>
      <c r="D199" s="61"/>
      <c r="J199" s="61"/>
      <c r="L1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0" spans="2:12">
      <c r="B200" s="61"/>
      <c r="C200" s="61"/>
      <c r="D200" s="61"/>
      <c r="J200" s="61"/>
      <c r="L2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1" spans="2:12">
      <c r="B201" s="61"/>
      <c r="C201" s="61"/>
      <c r="D201" s="61"/>
      <c r="J201" s="61"/>
      <c r="L2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2" spans="2:12">
      <c r="B202" s="61"/>
      <c r="C202" s="61"/>
      <c r="D202" s="61"/>
      <c r="J202" s="61"/>
      <c r="L2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3" spans="2:12">
      <c r="B203" s="61"/>
      <c r="C203" s="61"/>
      <c r="D203" s="61"/>
      <c r="J203" s="61"/>
      <c r="L2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4" spans="2:12">
      <c r="B204" s="61"/>
      <c r="C204" s="61"/>
      <c r="D204" s="61"/>
      <c r="J204" s="61"/>
      <c r="L2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5" spans="2:12">
      <c r="B205" s="61"/>
      <c r="C205" s="61"/>
      <c r="D205" s="61"/>
      <c r="J205" s="61"/>
      <c r="L2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6" spans="2:12">
      <c r="B206" s="61"/>
      <c r="C206" s="61"/>
      <c r="D206" s="61"/>
      <c r="J206" s="61"/>
      <c r="L2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7" spans="2:12">
      <c r="B207" s="61"/>
      <c r="C207" s="61"/>
      <c r="D207" s="61"/>
      <c r="J207" s="61"/>
      <c r="L2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8" spans="2:12">
      <c r="B208" s="61"/>
      <c r="C208" s="61"/>
      <c r="D208" s="61"/>
      <c r="J208" s="61"/>
      <c r="L2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09" spans="2:12">
      <c r="B209" s="61"/>
      <c r="C209" s="61"/>
      <c r="D209" s="61"/>
      <c r="J209" s="61"/>
      <c r="L2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0" spans="2:12">
      <c r="B210" s="61"/>
      <c r="C210" s="61"/>
      <c r="D210" s="61"/>
      <c r="J210" s="61"/>
      <c r="L2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1" spans="2:12">
      <c r="B211" s="61"/>
      <c r="C211" s="61"/>
      <c r="D211" s="61"/>
      <c r="J211" s="61"/>
      <c r="L2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2" spans="2:12">
      <c r="B212" s="61"/>
      <c r="C212" s="61"/>
      <c r="D212" s="61"/>
      <c r="J212" s="61"/>
      <c r="L2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3" spans="2:12">
      <c r="B213" s="61"/>
      <c r="C213" s="61"/>
      <c r="D213" s="61"/>
      <c r="J213" s="61"/>
      <c r="L2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4" spans="2:12">
      <c r="B214" s="61"/>
      <c r="C214" s="61"/>
      <c r="D214" s="61"/>
      <c r="J214" s="61"/>
      <c r="L2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5" spans="2:12">
      <c r="B215" s="61"/>
      <c r="C215" s="61"/>
      <c r="D215" s="61"/>
      <c r="J215" s="61"/>
      <c r="L2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6" spans="2:12">
      <c r="B216" s="61"/>
      <c r="C216" s="61"/>
      <c r="D216" s="61"/>
      <c r="J216" s="61"/>
      <c r="L2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7" spans="2:12">
      <c r="B217" s="61"/>
      <c r="C217" s="61"/>
      <c r="D217" s="61"/>
      <c r="J217" s="61"/>
      <c r="L2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8" spans="2:12">
      <c r="B218" s="61"/>
      <c r="C218" s="61"/>
      <c r="D218" s="61"/>
      <c r="J218" s="61"/>
      <c r="L2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19" spans="2:12">
      <c r="B219" s="61"/>
      <c r="C219" s="61"/>
      <c r="D219" s="61"/>
      <c r="J219" s="61"/>
      <c r="L2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0" spans="2:12">
      <c r="B220" s="61"/>
      <c r="C220" s="61"/>
      <c r="D220" s="61"/>
      <c r="J220" s="61"/>
      <c r="L2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1" spans="2:12">
      <c r="B221" s="61"/>
      <c r="C221" s="61"/>
      <c r="D221" s="61"/>
      <c r="J221" s="61"/>
      <c r="L2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2" spans="2:12">
      <c r="B222" s="61"/>
      <c r="C222" s="61"/>
      <c r="D222" s="61"/>
      <c r="J222" s="61"/>
      <c r="L2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3" spans="2:12">
      <c r="B223" s="61"/>
      <c r="C223" s="61"/>
      <c r="D223" s="61"/>
      <c r="J223" s="61"/>
      <c r="L2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4" spans="2:12">
      <c r="B224" s="61"/>
      <c r="C224" s="61"/>
      <c r="D224" s="61"/>
      <c r="J224" s="61"/>
      <c r="L2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5" spans="2:12">
      <c r="B225" s="61"/>
      <c r="C225" s="61"/>
      <c r="D225" s="61"/>
      <c r="J225" s="61"/>
      <c r="L2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6" spans="2:12">
      <c r="B226" s="61"/>
      <c r="C226" s="61"/>
      <c r="D226" s="61"/>
      <c r="J226" s="61"/>
      <c r="L2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7" spans="2:12">
      <c r="B227" s="61"/>
      <c r="C227" s="61"/>
      <c r="D227" s="61"/>
      <c r="J227" s="61"/>
      <c r="L2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8" spans="2:12">
      <c r="B228" s="61"/>
      <c r="C228" s="61"/>
      <c r="D228" s="61"/>
      <c r="J228" s="61"/>
      <c r="L2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29" spans="2:12">
      <c r="B229" s="61"/>
      <c r="C229" s="61"/>
      <c r="D229" s="61"/>
      <c r="J229" s="61"/>
      <c r="L2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0" spans="2:12">
      <c r="B230" s="61"/>
      <c r="C230" s="61"/>
      <c r="D230" s="61"/>
      <c r="J230" s="61"/>
      <c r="L2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1" spans="2:12">
      <c r="B231" s="61"/>
      <c r="C231" s="61"/>
      <c r="D231" s="61"/>
      <c r="J231" s="61"/>
      <c r="L2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2" spans="2:12">
      <c r="B232" s="61"/>
      <c r="C232" s="61"/>
      <c r="D232" s="61"/>
      <c r="J232" s="61"/>
      <c r="L2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3" spans="2:12">
      <c r="B233" s="61"/>
      <c r="C233" s="61"/>
      <c r="D233" s="61"/>
      <c r="J233" s="61"/>
      <c r="L2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4" spans="2:12">
      <c r="B234" s="61"/>
      <c r="C234" s="61"/>
      <c r="D234" s="61"/>
      <c r="J234" s="61"/>
      <c r="L2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5" spans="2:12">
      <c r="B235" s="61"/>
      <c r="C235" s="61"/>
      <c r="D235" s="61"/>
      <c r="J235" s="61"/>
      <c r="L2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6" spans="2:12">
      <c r="B236" s="61"/>
      <c r="C236" s="61"/>
      <c r="D236" s="61"/>
      <c r="J236" s="61"/>
      <c r="L2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7" spans="2:12">
      <c r="B237" s="61"/>
      <c r="C237" s="61"/>
      <c r="D237" s="61"/>
      <c r="J237" s="61"/>
      <c r="L2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8" spans="2:12">
      <c r="B238" s="61"/>
      <c r="C238" s="61"/>
      <c r="D238" s="61"/>
      <c r="J238" s="61"/>
      <c r="L2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39" spans="2:12">
      <c r="B239" s="61"/>
      <c r="C239" s="61"/>
      <c r="D239" s="61"/>
      <c r="J239" s="61"/>
      <c r="L2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0" spans="2:12">
      <c r="B240" s="61"/>
      <c r="C240" s="61"/>
      <c r="D240" s="61"/>
      <c r="J240" s="61"/>
      <c r="L2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1" spans="2:12">
      <c r="B241" s="61"/>
      <c r="C241" s="61"/>
      <c r="D241" s="61"/>
      <c r="J241" s="61"/>
      <c r="L2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2" spans="2:12">
      <c r="B242" s="61"/>
      <c r="C242" s="61"/>
      <c r="D242" s="61"/>
      <c r="J242" s="61"/>
      <c r="L2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3" spans="2:12">
      <c r="B243" s="61"/>
      <c r="C243" s="61"/>
      <c r="D243" s="61"/>
      <c r="J243" s="61"/>
      <c r="L2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4" spans="2:12">
      <c r="B244" s="61"/>
      <c r="C244" s="61"/>
      <c r="D244" s="61"/>
      <c r="J244" s="61"/>
      <c r="L2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5" spans="2:12">
      <c r="B245" s="61"/>
      <c r="C245" s="61"/>
      <c r="D245" s="61"/>
      <c r="J245" s="61"/>
      <c r="L2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6" spans="2:12">
      <c r="B246" s="61"/>
      <c r="C246" s="61"/>
      <c r="D246" s="61"/>
      <c r="J246" s="61"/>
      <c r="L2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7" spans="2:12">
      <c r="B247" s="61"/>
      <c r="C247" s="61"/>
      <c r="D247" s="61"/>
      <c r="J247" s="61"/>
      <c r="L2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8" spans="2:12">
      <c r="B248" s="61"/>
      <c r="C248" s="61"/>
      <c r="D248" s="61"/>
      <c r="J248" s="61"/>
      <c r="L2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49" spans="2:12">
      <c r="B249" s="61"/>
      <c r="C249" s="61"/>
      <c r="D249" s="61"/>
      <c r="J249" s="61"/>
      <c r="L2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0" spans="2:12">
      <c r="B250" s="61"/>
      <c r="C250" s="61"/>
      <c r="D250" s="61"/>
      <c r="J250" s="61"/>
      <c r="L2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1" spans="2:12">
      <c r="B251" s="61"/>
      <c r="C251" s="61"/>
      <c r="D251" s="61"/>
      <c r="J251" s="61"/>
      <c r="L2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2" spans="2:12">
      <c r="B252" s="61"/>
      <c r="C252" s="61"/>
      <c r="D252" s="61"/>
      <c r="J252" s="61"/>
      <c r="L2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3" spans="2:12">
      <c r="B253" s="61"/>
      <c r="C253" s="61"/>
      <c r="D253" s="61"/>
      <c r="J253" s="61"/>
      <c r="L2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4" spans="2:12">
      <c r="B254" s="61"/>
      <c r="C254" s="61"/>
      <c r="D254" s="61"/>
      <c r="J254" s="61"/>
      <c r="L2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5" spans="2:12">
      <c r="B255" s="61"/>
      <c r="C255" s="61"/>
      <c r="D255" s="61"/>
      <c r="J255" s="61"/>
      <c r="L2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6" spans="2:12">
      <c r="B256" s="61"/>
      <c r="C256" s="61"/>
      <c r="D256" s="61"/>
      <c r="J256" s="61"/>
      <c r="L2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7" spans="2:12">
      <c r="B257" s="61"/>
      <c r="C257" s="61"/>
      <c r="D257" s="61"/>
      <c r="J257" s="61"/>
      <c r="L2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8" spans="2:12">
      <c r="B258" s="61"/>
      <c r="C258" s="61"/>
      <c r="D258" s="61"/>
      <c r="J258" s="61"/>
      <c r="L2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59" spans="2:12">
      <c r="B259" s="61"/>
      <c r="C259" s="61"/>
      <c r="D259" s="61"/>
      <c r="J259" s="61"/>
      <c r="L2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0" spans="2:12">
      <c r="B260" s="61"/>
      <c r="C260" s="61"/>
      <c r="D260" s="61"/>
      <c r="J260" s="61"/>
      <c r="L2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1" spans="2:12">
      <c r="B261" s="61"/>
      <c r="C261" s="61"/>
      <c r="D261" s="61"/>
      <c r="J261" s="61"/>
      <c r="L2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2" spans="2:12">
      <c r="B262" s="61"/>
      <c r="C262" s="61"/>
      <c r="D262" s="61"/>
      <c r="J262" s="61"/>
      <c r="L2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3" spans="2:12">
      <c r="B263" s="61"/>
      <c r="C263" s="61"/>
      <c r="D263" s="61"/>
      <c r="J263" s="61"/>
      <c r="L2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4" spans="2:12">
      <c r="B264" s="61"/>
      <c r="C264" s="61"/>
      <c r="D264" s="61"/>
      <c r="J264" s="61"/>
      <c r="L2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5" spans="2:12">
      <c r="B265" s="61"/>
      <c r="C265" s="61"/>
      <c r="D265" s="61"/>
      <c r="J265" s="61"/>
      <c r="L2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6" spans="2:12">
      <c r="B266" s="61"/>
      <c r="C266" s="61"/>
      <c r="D266" s="61"/>
      <c r="J266" s="61"/>
      <c r="L2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7" spans="2:12">
      <c r="B267" s="61"/>
      <c r="C267" s="61"/>
      <c r="D267" s="61"/>
      <c r="J267" s="61"/>
      <c r="L2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8" spans="2:12">
      <c r="B268" s="61"/>
      <c r="C268" s="61"/>
      <c r="D268" s="61"/>
      <c r="J268" s="61"/>
      <c r="L2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69" spans="2:12">
      <c r="B269" s="61"/>
      <c r="C269" s="61"/>
      <c r="D269" s="61"/>
      <c r="J269" s="61"/>
      <c r="L2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0" spans="2:12">
      <c r="B270" s="61"/>
      <c r="C270" s="61"/>
      <c r="D270" s="61"/>
      <c r="J270" s="61"/>
      <c r="L2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1" spans="2:12">
      <c r="B271" s="61"/>
      <c r="C271" s="61"/>
      <c r="D271" s="61"/>
      <c r="J271" s="61"/>
      <c r="L2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2" spans="2:12">
      <c r="B272" s="61"/>
      <c r="C272" s="61"/>
      <c r="D272" s="61"/>
      <c r="J272" s="61"/>
      <c r="L2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3" spans="2:12">
      <c r="B273" s="61"/>
      <c r="C273" s="61"/>
      <c r="D273" s="61"/>
      <c r="J273" s="61"/>
      <c r="L2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4" spans="2:12">
      <c r="B274" s="61"/>
      <c r="C274" s="61"/>
      <c r="D274" s="61"/>
      <c r="J274" s="61"/>
      <c r="L2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5" spans="2:12">
      <c r="B275" s="61"/>
      <c r="C275" s="61"/>
      <c r="D275" s="61"/>
      <c r="J275" s="61"/>
      <c r="L2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6" spans="2:12">
      <c r="B276" s="61"/>
      <c r="C276" s="61"/>
      <c r="D276" s="61"/>
      <c r="J276" s="61"/>
      <c r="L2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7" spans="2:12">
      <c r="B277" s="61"/>
      <c r="C277" s="61"/>
      <c r="D277" s="61"/>
      <c r="J277" s="61"/>
      <c r="L2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8" spans="2:12">
      <c r="B278" s="61"/>
      <c r="C278" s="61"/>
      <c r="D278" s="61"/>
      <c r="J278" s="61"/>
      <c r="L2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79" spans="2:12">
      <c r="B279" s="61"/>
      <c r="C279" s="61"/>
      <c r="D279" s="61"/>
      <c r="J279" s="61"/>
      <c r="L2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0" spans="2:12">
      <c r="B280" s="61"/>
      <c r="C280" s="61"/>
      <c r="D280" s="61"/>
      <c r="J280" s="61"/>
      <c r="L2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1" spans="2:12">
      <c r="B281" s="61"/>
      <c r="C281" s="61"/>
      <c r="D281" s="61"/>
      <c r="J281" s="61"/>
      <c r="L2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2" spans="2:12">
      <c r="B282" s="61"/>
      <c r="C282" s="61"/>
      <c r="D282" s="61"/>
      <c r="J282" s="61"/>
      <c r="L2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3" spans="2:12">
      <c r="B283" s="61"/>
      <c r="C283" s="61"/>
      <c r="D283" s="61"/>
      <c r="J283" s="61"/>
      <c r="L2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4" spans="2:12">
      <c r="B284" s="61"/>
      <c r="C284" s="61"/>
      <c r="D284" s="61"/>
      <c r="J284" s="61"/>
      <c r="L2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5" spans="2:12">
      <c r="B285" s="61"/>
      <c r="C285" s="61"/>
      <c r="D285" s="61"/>
      <c r="J285" s="61"/>
      <c r="L2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6" spans="2:12">
      <c r="B286" s="61"/>
      <c r="C286" s="61"/>
      <c r="D286" s="61"/>
      <c r="J286" s="61"/>
      <c r="L2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7" spans="2:12">
      <c r="B287" s="61"/>
      <c r="C287" s="61"/>
      <c r="D287" s="61"/>
      <c r="J287" s="61"/>
      <c r="L2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8" spans="2:12">
      <c r="B288" s="61"/>
      <c r="C288" s="61"/>
      <c r="D288" s="61"/>
      <c r="J288" s="61"/>
      <c r="L2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89" spans="2:12">
      <c r="B289" s="61"/>
      <c r="C289" s="61"/>
      <c r="D289" s="61"/>
      <c r="J289" s="61"/>
      <c r="L2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0" spans="2:12">
      <c r="B290" s="61"/>
      <c r="C290" s="61"/>
      <c r="D290" s="61"/>
      <c r="J290" s="61"/>
      <c r="L2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1" spans="2:12">
      <c r="B291" s="61"/>
      <c r="C291" s="61"/>
      <c r="D291" s="61"/>
      <c r="J291" s="61"/>
      <c r="L2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2" spans="2:12">
      <c r="B292" s="61"/>
      <c r="C292" s="61"/>
      <c r="D292" s="61"/>
      <c r="J292" s="61"/>
      <c r="L2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3" spans="2:12">
      <c r="B293" s="61"/>
      <c r="C293" s="61"/>
      <c r="D293" s="61"/>
      <c r="J293" s="61"/>
      <c r="L2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4" spans="2:12">
      <c r="B294" s="61"/>
      <c r="C294" s="61"/>
      <c r="D294" s="61"/>
      <c r="J294" s="61"/>
      <c r="L2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5" spans="2:12">
      <c r="B295" s="61"/>
      <c r="C295" s="61"/>
      <c r="D295" s="61"/>
      <c r="J295" s="61"/>
      <c r="L2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6" spans="2:12">
      <c r="B296" s="61"/>
      <c r="C296" s="61"/>
      <c r="D296" s="61"/>
      <c r="J296" s="61"/>
      <c r="L2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7" spans="2:12">
      <c r="B297" s="61"/>
      <c r="C297" s="61"/>
      <c r="D297" s="61"/>
      <c r="J297" s="61"/>
      <c r="L2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8" spans="2:12">
      <c r="B298" s="61"/>
      <c r="C298" s="61"/>
      <c r="D298" s="61"/>
      <c r="J298" s="61"/>
      <c r="L2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299" spans="2:12">
      <c r="B299" s="61"/>
      <c r="C299" s="61"/>
      <c r="D299" s="61"/>
      <c r="J299" s="61"/>
      <c r="L2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0" spans="2:12">
      <c r="B300" s="61"/>
      <c r="C300" s="61"/>
      <c r="D300" s="61"/>
      <c r="J300" s="61"/>
      <c r="L3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1" spans="2:12">
      <c r="B301" s="61"/>
      <c r="C301" s="61"/>
      <c r="D301" s="61"/>
      <c r="J301" s="61"/>
      <c r="L3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2" spans="2:12">
      <c r="B302" s="61"/>
      <c r="C302" s="61"/>
      <c r="D302" s="61"/>
      <c r="J302" s="61"/>
      <c r="L3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3" spans="2:12">
      <c r="B303" s="61"/>
      <c r="C303" s="61"/>
      <c r="D303" s="61"/>
      <c r="J303" s="61"/>
      <c r="L3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4" spans="2:12">
      <c r="B304" s="61"/>
      <c r="C304" s="61"/>
      <c r="D304" s="61"/>
      <c r="J304" s="61"/>
      <c r="L3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5" spans="2:12">
      <c r="B305" s="61"/>
      <c r="C305" s="61"/>
      <c r="D305" s="61"/>
      <c r="J305" s="61"/>
      <c r="L3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6" spans="2:12">
      <c r="B306" s="61"/>
      <c r="C306" s="61"/>
      <c r="D306" s="61"/>
      <c r="J306" s="61"/>
      <c r="L3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7" spans="2:12">
      <c r="B307" s="61"/>
      <c r="C307" s="61"/>
      <c r="D307" s="61"/>
      <c r="J307" s="61"/>
      <c r="L3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8" spans="2:12">
      <c r="B308" s="61"/>
      <c r="C308" s="61"/>
      <c r="D308" s="61"/>
      <c r="J308" s="61"/>
      <c r="L3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09" spans="2:12">
      <c r="B309" s="61"/>
      <c r="C309" s="61"/>
      <c r="D309" s="61"/>
      <c r="J309" s="61"/>
      <c r="L3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0" spans="2:12">
      <c r="B310" s="61"/>
      <c r="C310" s="61"/>
      <c r="D310" s="61"/>
      <c r="J310" s="61"/>
      <c r="L3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1" spans="2:12">
      <c r="B311" s="61"/>
      <c r="C311" s="61"/>
      <c r="D311" s="61"/>
      <c r="J311" s="61"/>
      <c r="L3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2" spans="2:12">
      <c r="B312" s="61"/>
      <c r="C312" s="61"/>
      <c r="D312" s="61"/>
      <c r="J312" s="61"/>
      <c r="L3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3" spans="2:12">
      <c r="B313" s="61"/>
      <c r="C313" s="61"/>
      <c r="D313" s="61"/>
      <c r="J313" s="61"/>
      <c r="L3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4" spans="2:12">
      <c r="B314" s="61"/>
      <c r="C314" s="61"/>
      <c r="D314" s="61"/>
      <c r="J314" s="61"/>
      <c r="L3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5" spans="2:12">
      <c r="B315" s="61"/>
      <c r="C315" s="61"/>
      <c r="D315" s="61"/>
      <c r="J315" s="61"/>
      <c r="L3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6" spans="2:12">
      <c r="B316" s="61"/>
      <c r="C316" s="61"/>
      <c r="D316" s="61"/>
      <c r="J316" s="61"/>
      <c r="L3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7" spans="2:12">
      <c r="B317" s="61"/>
      <c r="C317" s="61"/>
      <c r="D317" s="61"/>
      <c r="J317" s="61"/>
      <c r="L3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8" spans="2:12">
      <c r="B318" s="61"/>
      <c r="C318" s="61"/>
      <c r="D318" s="61"/>
      <c r="J318" s="61"/>
      <c r="L3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19" spans="2:12">
      <c r="B319" s="61"/>
      <c r="C319" s="61"/>
      <c r="D319" s="61"/>
      <c r="J319" s="61"/>
      <c r="L3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0" spans="2:12">
      <c r="B320" s="61"/>
      <c r="C320" s="61"/>
      <c r="D320" s="61"/>
      <c r="J320" s="61"/>
      <c r="L3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1" spans="2:12">
      <c r="B321" s="61"/>
      <c r="C321" s="61"/>
      <c r="D321" s="61"/>
      <c r="J321" s="61"/>
      <c r="L3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2" spans="2:12">
      <c r="B322" s="61"/>
      <c r="C322" s="61"/>
      <c r="D322" s="61"/>
      <c r="J322" s="61"/>
      <c r="L3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3" spans="2:12">
      <c r="B323" s="61"/>
      <c r="C323" s="61"/>
      <c r="D323" s="61"/>
      <c r="J323" s="61"/>
      <c r="L3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4" spans="2:12">
      <c r="B324" s="61"/>
      <c r="C324" s="61"/>
      <c r="D324" s="61"/>
      <c r="J324" s="61"/>
      <c r="L3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5" spans="2:12">
      <c r="B325" s="61"/>
      <c r="C325" s="61"/>
      <c r="D325" s="61"/>
      <c r="J325" s="61"/>
      <c r="L3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6" spans="2:12">
      <c r="B326" s="61"/>
      <c r="C326" s="61"/>
      <c r="D326" s="61"/>
      <c r="J326" s="61"/>
      <c r="L3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7" spans="2:12">
      <c r="B327" s="61"/>
      <c r="C327" s="61"/>
      <c r="D327" s="61"/>
      <c r="J327" s="61"/>
      <c r="L3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8" spans="2:12">
      <c r="B328" s="61"/>
      <c r="C328" s="61"/>
      <c r="D328" s="61"/>
      <c r="J328" s="61"/>
      <c r="L3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29" spans="2:12">
      <c r="B329" s="61"/>
      <c r="C329" s="61"/>
      <c r="D329" s="61"/>
      <c r="J329" s="61"/>
      <c r="L3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0" spans="2:12">
      <c r="B330" s="61"/>
      <c r="C330" s="61"/>
      <c r="D330" s="61"/>
      <c r="J330" s="61"/>
      <c r="L3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1" spans="2:12">
      <c r="B331" s="61"/>
      <c r="C331" s="61"/>
      <c r="D331" s="61"/>
      <c r="J331" s="61"/>
      <c r="L3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2" spans="2:12">
      <c r="B332" s="61"/>
      <c r="C332" s="61"/>
      <c r="D332" s="61"/>
      <c r="J332" s="61"/>
      <c r="L3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3" spans="2:12">
      <c r="B333" s="61"/>
      <c r="C333" s="61"/>
      <c r="D333" s="61"/>
      <c r="J333" s="61"/>
      <c r="L3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4" spans="2:12">
      <c r="B334" s="61"/>
      <c r="C334" s="61"/>
      <c r="D334" s="61"/>
      <c r="J334" s="61"/>
      <c r="L3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5" spans="2:12">
      <c r="B335" s="61"/>
      <c r="C335" s="61"/>
      <c r="D335" s="61"/>
      <c r="J335" s="61"/>
      <c r="L3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6" spans="2:12">
      <c r="B336" s="61"/>
      <c r="C336" s="61"/>
      <c r="D336" s="61"/>
      <c r="J336" s="61"/>
      <c r="L3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7" spans="2:12">
      <c r="B337" s="61"/>
      <c r="C337" s="61"/>
      <c r="D337" s="61"/>
      <c r="J337" s="61"/>
      <c r="L3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8" spans="2:12">
      <c r="B338" s="61"/>
      <c r="C338" s="61"/>
      <c r="D338" s="61"/>
      <c r="J338" s="61"/>
      <c r="L3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39" spans="2:12">
      <c r="B339" s="61"/>
      <c r="C339" s="61"/>
      <c r="D339" s="61"/>
      <c r="J339" s="61"/>
      <c r="L3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0" spans="2:12">
      <c r="B340" s="61"/>
      <c r="C340" s="61"/>
      <c r="D340" s="61"/>
      <c r="J340" s="61"/>
      <c r="L3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1" spans="2:12">
      <c r="B341" s="61"/>
      <c r="C341" s="61"/>
      <c r="D341" s="61"/>
      <c r="J341" s="61"/>
      <c r="L3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2" spans="2:12">
      <c r="B342" s="61"/>
      <c r="C342" s="61"/>
      <c r="D342" s="61"/>
      <c r="J342" s="61"/>
      <c r="L3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3" spans="2:12">
      <c r="B343" s="61"/>
      <c r="C343" s="61"/>
      <c r="D343" s="61"/>
      <c r="J343" s="61"/>
      <c r="L3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4" spans="2:12">
      <c r="B344" s="61"/>
      <c r="C344" s="61"/>
      <c r="D344" s="61"/>
      <c r="J344" s="61"/>
      <c r="L3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5" spans="2:12">
      <c r="B345" s="61"/>
      <c r="C345" s="61"/>
      <c r="D345" s="61"/>
      <c r="J345" s="61"/>
      <c r="L3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6" spans="2:12">
      <c r="B346" s="61"/>
      <c r="C346" s="61"/>
      <c r="D346" s="61"/>
      <c r="J346" s="61"/>
      <c r="L3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7" spans="2:12">
      <c r="B347" s="61"/>
      <c r="C347" s="61"/>
      <c r="D347" s="61"/>
      <c r="J347" s="61"/>
      <c r="L3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8" spans="2:12">
      <c r="B348" s="61"/>
      <c r="C348" s="61"/>
      <c r="D348" s="61"/>
      <c r="J348" s="61"/>
      <c r="L3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49" spans="2:12">
      <c r="B349" s="61"/>
      <c r="C349" s="61"/>
      <c r="D349" s="61"/>
      <c r="J349" s="61"/>
      <c r="L3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0" spans="2:12">
      <c r="B350" s="61"/>
      <c r="C350" s="61"/>
      <c r="D350" s="61"/>
      <c r="J350" s="61"/>
      <c r="L3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1" spans="2:12">
      <c r="B351" s="61"/>
      <c r="C351" s="61"/>
      <c r="D351" s="61"/>
      <c r="J351" s="61"/>
      <c r="L3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2" spans="2:12">
      <c r="B352" s="61"/>
      <c r="C352" s="61"/>
      <c r="D352" s="61"/>
      <c r="J352" s="61"/>
      <c r="L3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3" spans="2:12">
      <c r="B353" s="61"/>
      <c r="C353" s="61"/>
      <c r="D353" s="61"/>
      <c r="J353" s="61"/>
      <c r="L3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4" spans="2:12">
      <c r="B354" s="61"/>
      <c r="C354" s="61"/>
      <c r="D354" s="61"/>
      <c r="J354" s="61"/>
      <c r="L3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5" spans="2:12">
      <c r="B355" s="61"/>
      <c r="C355" s="61"/>
      <c r="D355" s="61"/>
      <c r="J355" s="61"/>
      <c r="L3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6" spans="2:12">
      <c r="B356" s="61"/>
      <c r="C356" s="61"/>
      <c r="D356" s="61"/>
      <c r="J356" s="61"/>
      <c r="L3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7" spans="2:12">
      <c r="B357" s="61"/>
      <c r="C357" s="61"/>
      <c r="D357" s="61"/>
      <c r="J357" s="61"/>
      <c r="L3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8" spans="2:12">
      <c r="B358" s="61"/>
      <c r="C358" s="61"/>
      <c r="D358" s="61"/>
      <c r="J358" s="61"/>
      <c r="L3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59" spans="2:12">
      <c r="B359" s="61"/>
      <c r="C359" s="61"/>
      <c r="D359" s="61"/>
      <c r="J359" s="61"/>
      <c r="L3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0" spans="2:12">
      <c r="B360" s="61"/>
      <c r="C360" s="61"/>
      <c r="D360" s="61"/>
      <c r="J360" s="61"/>
      <c r="L3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1" spans="2:12">
      <c r="B361" s="61"/>
      <c r="C361" s="61"/>
      <c r="D361" s="61"/>
      <c r="J361" s="61"/>
      <c r="L3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2" spans="2:12">
      <c r="B362" s="61"/>
      <c r="C362" s="61"/>
      <c r="D362" s="61"/>
      <c r="J362" s="61"/>
      <c r="L3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3" spans="2:12">
      <c r="B363" s="61"/>
      <c r="C363" s="61"/>
      <c r="D363" s="61"/>
      <c r="J363" s="61"/>
      <c r="L3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4" spans="2:12">
      <c r="B364" s="61"/>
      <c r="C364" s="61"/>
      <c r="D364" s="61"/>
      <c r="J364" s="61"/>
      <c r="L3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5" spans="2:12">
      <c r="B365" s="61"/>
      <c r="C365" s="61"/>
      <c r="D365" s="61"/>
      <c r="J365" s="61"/>
      <c r="L3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6" spans="2:12">
      <c r="B366" s="61"/>
      <c r="C366" s="61"/>
      <c r="D366" s="61"/>
      <c r="J366" s="61"/>
      <c r="L3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7" spans="2:12">
      <c r="B367" s="61"/>
      <c r="C367" s="61"/>
      <c r="D367" s="61"/>
      <c r="J367" s="61"/>
      <c r="L3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8" spans="2:12">
      <c r="B368" s="61"/>
      <c r="C368" s="61"/>
      <c r="D368" s="61"/>
      <c r="J368" s="61"/>
      <c r="L3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69" spans="2:12">
      <c r="B369" s="61"/>
      <c r="C369" s="61"/>
      <c r="D369" s="61"/>
      <c r="J369" s="61"/>
      <c r="L3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0" spans="2:12">
      <c r="B370" s="61"/>
      <c r="C370" s="61"/>
      <c r="D370" s="61"/>
      <c r="J370" s="61"/>
      <c r="L3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1" spans="2:12">
      <c r="B371" s="61"/>
      <c r="C371" s="61"/>
      <c r="D371" s="61"/>
      <c r="J371" s="61"/>
      <c r="L3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2" spans="2:12">
      <c r="B372" s="61"/>
      <c r="C372" s="61"/>
      <c r="D372" s="61"/>
      <c r="J372" s="61"/>
      <c r="L3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3" spans="2:12">
      <c r="B373" s="61"/>
      <c r="C373" s="61"/>
      <c r="D373" s="61"/>
      <c r="J373" s="61"/>
      <c r="L3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4" spans="2:12">
      <c r="B374" s="61"/>
      <c r="C374" s="61"/>
      <c r="D374" s="61"/>
      <c r="J374" s="61"/>
      <c r="L3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5" spans="2:12">
      <c r="B375" s="61"/>
      <c r="C375" s="61"/>
      <c r="D375" s="61"/>
      <c r="J375" s="61"/>
      <c r="L3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6" spans="2:12">
      <c r="B376" s="61"/>
      <c r="C376" s="61"/>
      <c r="D376" s="61"/>
      <c r="J376" s="61"/>
      <c r="L3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7" spans="2:12">
      <c r="B377" s="61"/>
      <c r="C377" s="61"/>
      <c r="D377" s="61"/>
      <c r="J377" s="61"/>
      <c r="L3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8" spans="2:12">
      <c r="B378" s="61"/>
      <c r="C378" s="61"/>
      <c r="D378" s="61"/>
      <c r="J378" s="61"/>
      <c r="L3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79" spans="2:12">
      <c r="B379" s="61"/>
      <c r="C379" s="61"/>
      <c r="D379" s="61"/>
      <c r="J379" s="61"/>
      <c r="L3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0" spans="2:12">
      <c r="B380" s="61"/>
      <c r="C380" s="61"/>
      <c r="D380" s="61"/>
      <c r="J380" s="61"/>
      <c r="L3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1" spans="2:12">
      <c r="B381" s="61"/>
      <c r="C381" s="61"/>
      <c r="D381" s="61"/>
      <c r="J381" s="61"/>
      <c r="L3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2" spans="2:12">
      <c r="B382" s="61"/>
      <c r="C382" s="61"/>
      <c r="D382" s="61"/>
      <c r="J382" s="61"/>
      <c r="L3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3" spans="2:12">
      <c r="B383" s="61"/>
      <c r="C383" s="61"/>
      <c r="D383" s="61"/>
      <c r="J383" s="61"/>
      <c r="L3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4" spans="2:12">
      <c r="B384" s="61"/>
      <c r="C384" s="61"/>
      <c r="D384" s="61"/>
      <c r="J384" s="61"/>
      <c r="L3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5" spans="2:12">
      <c r="B385" s="61"/>
      <c r="C385" s="61"/>
      <c r="D385" s="61"/>
      <c r="J385" s="61"/>
      <c r="L3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6" spans="2:12">
      <c r="B386" s="61"/>
      <c r="C386" s="61"/>
      <c r="D386" s="61"/>
      <c r="J386" s="61"/>
      <c r="L3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7" spans="2:12">
      <c r="B387" s="61"/>
      <c r="C387" s="61"/>
      <c r="D387" s="61"/>
      <c r="J387" s="61"/>
      <c r="L3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8" spans="2:12">
      <c r="B388" s="61"/>
      <c r="C388" s="61"/>
      <c r="D388" s="61"/>
      <c r="J388" s="61"/>
      <c r="L3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89" spans="2:12">
      <c r="B389" s="61"/>
      <c r="C389" s="61"/>
      <c r="D389" s="61"/>
      <c r="J389" s="61"/>
      <c r="L3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0" spans="2:12">
      <c r="B390" s="61"/>
      <c r="C390" s="61"/>
      <c r="D390" s="61"/>
      <c r="J390" s="61"/>
      <c r="L3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1" spans="2:12">
      <c r="B391" s="61"/>
      <c r="C391" s="61"/>
      <c r="D391" s="61"/>
      <c r="J391" s="61"/>
      <c r="L3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2" spans="2:12">
      <c r="B392" s="61"/>
      <c r="C392" s="61"/>
      <c r="D392" s="61"/>
      <c r="J392" s="61"/>
      <c r="L3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3" spans="2:12">
      <c r="B393" s="61"/>
      <c r="C393" s="61"/>
      <c r="D393" s="61"/>
      <c r="J393" s="61"/>
      <c r="L3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4" spans="2:12">
      <c r="B394" s="61"/>
      <c r="C394" s="61"/>
      <c r="D394" s="61"/>
      <c r="J394" s="61"/>
      <c r="L3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5" spans="2:12">
      <c r="B395" s="61"/>
      <c r="C395" s="61"/>
      <c r="D395" s="61"/>
      <c r="J395" s="61"/>
      <c r="L3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6" spans="2:12">
      <c r="B396" s="61"/>
      <c r="C396" s="61"/>
      <c r="D396" s="61"/>
      <c r="J396" s="61"/>
      <c r="L3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7" spans="2:12">
      <c r="B397" s="61"/>
      <c r="C397" s="61"/>
      <c r="D397" s="61"/>
      <c r="J397" s="61"/>
      <c r="L3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8" spans="2:12">
      <c r="B398" s="61"/>
      <c r="C398" s="61"/>
      <c r="D398" s="61"/>
      <c r="J398" s="61"/>
      <c r="L3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399" spans="2:12">
      <c r="B399" s="61"/>
      <c r="C399" s="61"/>
      <c r="D399" s="61"/>
      <c r="J399" s="61"/>
      <c r="L3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0" spans="2:12">
      <c r="B400" s="61"/>
      <c r="C400" s="61"/>
      <c r="D400" s="61"/>
      <c r="J400" s="61"/>
      <c r="L4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1" spans="2:12">
      <c r="B401" s="61"/>
      <c r="C401" s="61"/>
      <c r="D401" s="61"/>
      <c r="J401" s="61"/>
      <c r="L4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2" spans="2:12">
      <c r="B402" s="61"/>
      <c r="C402" s="61"/>
      <c r="D402" s="61"/>
      <c r="J402" s="61"/>
      <c r="L4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3" spans="2:12">
      <c r="B403" s="61"/>
      <c r="C403" s="61"/>
      <c r="D403" s="61"/>
      <c r="J403" s="61"/>
      <c r="L4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4" spans="2:12">
      <c r="B404" s="61"/>
      <c r="C404" s="61"/>
      <c r="D404" s="61"/>
      <c r="J404" s="61"/>
      <c r="L4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5" spans="2:12">
      <c r="B405" s="61"/>
      <c r="C405" s="61"/>
      <c r="D405" s="61"/>
      <c r="J405" s="61"/>
      <c r="L4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6" spans="2:12">
      <c r="B406" s="61"/>
      <c r="C406" s="61"/>
      <c r="D406" s="61"/>
      <c r="J406" s="61"/>
      <c r="L4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7" spans="2:12">
      <c r="B407" s="61"/>
      <c r="C407" s="61"/>
      <c r="D407" s="61"/>
      <c r="J407" s="61"/>
      <c r="L4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8" spans="2:12">
      <c r="B408" s="61"/>
      <c r="C408" s="61"/>
      <c r="D408" s="61"/>
      <c r="J408" s="61"/>
      <c r="L4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09" spans="2:12">
      <c r="B409" s="61"/>
      <c r="C409" s="61"/>
      <c r="D409" s="61"/>
      <c r="J409" s="61"/>
      <c r="L4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0" spans="2:12">
      <c r="B410" s="61"/>
      <c r="C410" s="61"/>
      <c r="D410" s="61"/>
      <c r="J410" s="61"/>
      <c r="L4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1" spans="2:12">
      <c r="B411" s="61"/>
      <c r="C411" s="61"/>
      <c r="D411" s="61"/>
      <c r="J411" s="61"/>
      <c r="L4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2" spans="2:12">
      <c r="B412" s="61"/>
      <c r="C412" s="61"/>
      <c r="D412" s="61"/>
      <c r="J412" s="61"/>
      <c r="L4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3" spans="2:12">
      <c r="B413" s="61"/>
      <c r="C413" s="61"/>
      <c r="D413" s="61"/>
      <c r="J413" s="61"/>
      <c r="L4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4" spans="2:12">
      <c r="B414" s="61"/>
      <c r="C414" s="61"/>
      <c r="D414" s="61"/>
      <c r="J414" s="61"/>
      <c r="L4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5" spans="2:12">
      <c r="B415" s="61"/>
      <c r="C415" s="61"/>
      <c r="D415" s="61"/>
      <c r="J415" s="61"/>
      <c r="L4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6" spans="2:12">
      <c r="B416" s="61"/>
      <c r="C416" s="61"/>
      <c r="D416" s="61"/>
      <c r="J416" s="61"/>
      <c r="L4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7" spans="2:12">
      <c r="B417" s="61"/>
      <c r="C417" s="61"/>
      <c r="D417" s="61"/>
      <c r="J417" s="61"/>
      <c r="L4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8" spans="2:12">
      <c r="B418" s="61"/>
      <c r="C418" s="61"/>
      <c r="D418" s="61"/>
      <c r="J418" s="61"/>
      <c r="L4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19" spans="2:12">
      <c r="B419" s="61"/>
      <c r="C419" s="61"/>
      <c r="D419" s="61"/>
      <c r="J419" s="61"/>
      <c r="L4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0" spans="2:12">
      <c r="B420" s="61"/>
      <c r="C420" s="61"/>
      <c r="D420" s="61"/>
      <c r="J420" s="61"/>
      <c r="L4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1" spans="2:12">
      <c r="B421" s="61"/>
      <c r="C421" s="61"/>
      <c r="D421" s="61"/>
      <c r="J421" s="61"/>
      <c r="L4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2" spans="2:12">
      <c r="B422" s="61"/>
      <c r="C422" s="61"/>
      <c r="D422" s="61"/>
      <c r="J422" s="61"/>
      <c r="L4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3" spans="2:12">
      <c r="B423" s="61"/>
      <c r="C423" s="61"/>
      <c r="D423" s="61"/>
      <c r="J423" s="61"/>
      <c r="L4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4" spans="2:12">
      <c r="B424" s="61"/>
      <c r="C424" s="61"/>
      <c r="D424" s="61"/>
      <c r="J424" s="61"/>
      <c r="L4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5" spans="2:12">
      <c r="B425" s="61"/>
      <c r="C425" s="61"/>
      <c r="D425" s="61"/>
      <c r="J425" s="61"/>
      <c r="L4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6" spans="2:12">
      <c r="B426" s="61"/>
      <c r="C426" s="61"/>
      <c r="D426" s="61"/>
      <c r="J426" s="61"/>
      <c r="L4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7" spans="2:12">
      <c r="B427" s="61"/>
      <c r="C427" s="61"/>
      <c r="D427" s="61"/>
      <c r="J427" s="61"/>
      <c r="L4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8" spans="2:12">
      <c r="B428" s="61"/>
      <c r="C428" s="61"/>
      <c r="D428" s="61"/>
      <c r="J428" s="61"/>
      <c r="L4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29" spans="2:12">
      <c r="B429" s="61"/>
      <c r="C429" s="61"/>
      <c r="D429" s="61"/>
      <c r="J429" s="61"/>
      <c r="L4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0" spans="2:12">
      <c r="B430" s="61"/>
      <c r="C430" s="61"/>
      <c r="D430" s="61"/>
      <c r="J430" s="61"/>
      <c r="L4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1" spans="2:12">
      <c r="B431" s="61"/>
      <c r="C431" s="61"/>
      <c r="D431" s="61"/>
      <c r="J431" s="61"/>
      <c r="L4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2" spans="2:12">
      <c r="B432" s="61"/>
      <c r="C432" s="61"/>
      <c r="D432" s="61"/>
      <c r="J432" s="61"/>
      <c r="L4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3" spans="2:12">
      <c r="B433" s="61"/>
      <c r="C433" s="61"/>
      <c r="D433" s="61"/>
      <c r="J433" s="61"/>
      <c r="L4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4" spans="2:12">
      <c r="B434" s="61"/>
      <c r="C434" s="61"/>
      <c r="D434" s="61"/>
      <c r="J434" s="61"/>
      <c r="L4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5" spans="2:12">
      <c r="B435" s="61"/>
      <c r="C435" s="61"/>
      <c r="D435" s="61"/>
      <c r="J435" s="61"/>
      <c r="L4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6" spans="2:12">
      <c r="B436" s="61"/>
      <c r="C436" s="61"/>
      <c r="D436" s="61"/>
      <c r="J436" s="61"/>
      <c r="L4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7" spans="2:12">
      <c r="B437" s="61"/>
      <c r="C437" s="61"/>
      <c r="D437" s="61"/>
      <c r="J437" s="61"/>
      <c r="L4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8" spans="2:12">
      <c r="B438" s="61"/>
      <c r="C438" s="61"/>
      <c r="D438" s="61"/>
      <c r="J438" s="61"/>
      <c r="L4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39" spans="2:12">
      <c r="B439" s="61"/>
      <c r="C439" s="61"/>
      <c r="D439" s="61"/>
      <c r="J439" s="61"/>
      <c r="L4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0" spans="2:12">
      <c r="B440" s="61"/>
      <c r="C440" s="61"/>
      <c r="D440" s="61"/>
      <c r="J440" s="61"/>
      <c r="L4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1" spans="2:12">
      <c r="B441" s="61"/>
      <c r="C441" s="61"/>
      <c r="D441" s="61"/>
      <c r="J441" s="61"/>
      <c r="L4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2" spans="2:12">
      <c r="B442" s="61"/>
      <c r="C442" s="61"/>
      <c r="D442" s="61"/>
      <c r="J442" s="61"/>
      <c r="L4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3" spans="2:12">
      <c r="B443" s="61"/>
      <c r="C443" s="61"/>
      <c r="D443" s="61"/>
      <c r="J443" s="61"/>
      <c r="L4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4" spans="2:12">
      <c r="B444" s="61"/>
      <c r="C444" s="61"/>
      <c r="D444" s="61"/>
      <c r="J444" s="61"/>
      <c r="L4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5" spans="2:12">
      <c r="B445" s="61"/>
      <c r="C445" s="61"/>
      <c r="D445" s="61"/>
      <c r="J445" s="61"/>
      <c r="L4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6" spans="2:12">
      <c r="B446" s="61"/>
      <c r="C446" s="61"/>
      <c r="D446" s="61"/>
      <c r="J446" s="61"/>
      <c r="L4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7" spans="2:12">
      <c r="B447" s="61"/>
      <c r="C447" s="61"/>
      <c r="D447" s="61"/>
      <c r="J447" s="61"/>
      <c r="L4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8" spans="2:12">
      <c r="B448" s="61"/>
      <c r="C448" s="61"/>
      <c r="D448" s="61"/>
      <c r="J448" s="61"/>
      <c r="L4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49" spans="2:12">
      <c r="B449" s="61"/>
      <c r="C449" s="61"/>
      <c r="D449" s="61"/>
      <c r="J449" s="61"/>
      <c r="L4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0" spans="2:12">
      <c r="B450" s="61"/>
      <c r="C450" s="61"/>
      <c r="D450" s="61"/>
      <c r="J450" s="61"/>
      <c r="L4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1" spans="2:12">
      <c r="B451" s="61"/>
      <c r="C451" s="61"/>
      <c r="D451" s="61"/>
      <c r="J451" s="61"/>
      <c r="L4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2" spans="2:12">
      <c r="B452" s="61"/>
      <c r="C452" s="61"/>
      <c r="D452" s="61"/>
      <c r="J452" s="61"/>
      <c r="L4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3" spans="2:12">
      <c r="B453" s="61"/>
      <c r="C453" s="61"/>
      <c r="D453" s="61"/>
      <c r="J453" s="61"/>
      <c r="L4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4" spans="2:12">
      <c r="B454" s="61"/>
      <c r="C454" s="61"/>
      <c r="D454" s="61"/>
      <c r="J454" s="61"/>
      <c r="L4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5" spans="2:12">
      <c r="B455" s="61"/>
      <c r="C455" s="61"/>
      <c r="D455" s="61"/>
      <c r="J455" s="61"/>
      <c r="L4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6" spans="2:12">
      <c r="B456" s="61"/>
      <c r="C456" s="61"/>
      <c r="D456" s="61"/>
      <c r="J456" s="61"/>
      <c r="L4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7" spans="2:12">
      <c r="B457" s="61"/>
      <c r="C457" s="61"/>
      <c r="D457" s="61"/>
      <c r="J457" s="61"/>
      <c r="L4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8" spans="2:12">
      <c r="B458" s="61"/>
      <c r="C458" s="61"/>
      <c r="D458" s="61"/>
      <c r="J458" s="61"/>
      <c r="L4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59" spans="2:12">
      <c r="B459" s="61"/>
      <c r="C459" s="61"/>
      <c r="D459" s="61"/>
      <c r="J459" s="61"/>
      <c r="L4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0" spans="2:12">
      <c r="B460" s="61"/>
      <c r="C460" s="61"/>
      <c r="D460" s="61"/>
      <c r="J460" s="61"/>
      <c r="L4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1" spans="2:12">
      <c r="B461" s="61"/>
      <c r="C461" s="61"/>
      <c r="D461" s="61"/>
      <c r="J461" s="61"/>
      <c r="L4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2" spans="2:12">
      <c r="B462" s="61"/>
      <c r="C462" s="61"/>
      <c r="D462" s="61"/>
      <c r="J462" s="61"/>
      <c r="L4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3" spans="2:12">
      <c r="B463" s="61"/>
      <c r="C463" s="61"/>
      <c r="D463" s="61"/>
      <c r="J463" s="61"/>
      <c r="L4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4" spans="2:12">
      <c r="B464" s="61"/>
      <c r="C464" s="61"/>
      <c r="D464" s="61"/>
      <c r="J464" s="61"/>
      <c r="L4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5" spans="2:12">
      <c r="B465" s="61"/>
      <c r="C465" s="61"/>
      <c r="D465" s="61"/>
      <c r="J465" s="61"/>
      <c r="L4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6" spans="2:12">
      <c r="B466" s="61"/>
      <c r="C466" s="61"/>
      <c r="D466" s="61"/>
      <c r="J466" s="61"/>
      <c r="L4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7" spans="2:12">
      <c r="B467" s="61"/>
      <c r="C467" s="61"/>
      <c r="D467" s="61"/>
      <c r="J467" s="61"/>
      <c r="L4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8" spans="2:12">
      <c r="B468" s="61"/>
      <c r="C468" s="61"/>
      <c r="D468" s="61"/>
      <c r="J468" s="61"/>
      <c r="L4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69" spans="2:12">
      <c r="B469" s="61"/>
      <c r="C469" s="61"/>
      <c r="D469" s="61"/>
      <c r="J469" s="61"/>
      <c r="L4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0" spans="2:12">
      <c r="B470" s="61"/>
      <c r="C470" s="61"/>
      <c r="D470" s="61"/>
      <c r="J470" s="61"/>
      <c r="L4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1" spans="2:12">
      <c r="B471" s="61"/>
      <c r="C471" s="61"/>
      <c r="D471" s="61"/>
      <c r="J471" s="61"/>
      <c r="L4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2" spans="2:12">
      <c r="B472" s="61"/>
      <c r="C472" s="61"/>
      <c r="D472" s="61"/>
      <c r="J472" s="61"/>
      <c r="L4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3" spans="2:12">
      <c r="B473" s="61"/>
      <c r="C473" s="61"/>
      <c r="D473" s="61"/>
      <c r="J473" s="61"/>
      <c r="L4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4" spans="2:12">
      <c r="B474" s="61"/>
      <c r="C474" s="61"/>
      <c r="D474" s="61"/>
      <c r="J474" s="61"/>
      <c r="L4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5" spans="2:12">
      <c r="B475" s="61"/>
      <c r="C475" s="61"/>
      <c r="D475" s="61"/>
      <c r="J475" s="61"/>
      <c r="L4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6" spans="2:12">
      <c r="B476" s="61"/>
      <c r="C476" s="61"/>
      <c r="D476" s="61"/>
      <c r="J476" s="61"/>
      <c r="L4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7" spans="2:12">
      <c r="B477" s="61"/>
      <c r="C477" s="61"/>
      <c r="D477" s="61"/>
      <c r="J477" s="61"/>
      <c r="L4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8" spans="2:12">
      <c r="B478" s="61"/>
      <c r="C478" s="61"/>
      <c r="D478" s="61"/>
      <c r="J478" s="61"/>
      <c r="L4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79" spans="2:12">
      <c r="B479" s="61"/>
      <c r="C479" s="61"/>
      <c r="D479" s="61"/>
      <c r="J479" s="61"/>
      <c r="L4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0" spans="2:12">
      <c r="B480" s="61"/>
      <c r="C480" s="61"/>
      <c r="D480" s="61"/>
      <c r="J480" s="61"/>
      <c r="L4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1" spans="2:12">
      <c r="B481" s="61"/>
      <c r="C481" s="61"/>
      <c r="D481" s="61"/>
      <c r="J481" s="61"/>
      <c r="L4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2" spans="2:12">
      <c r="B482" s="61"/>
      <c r="C482" s="61"/>
      <c r="D482" s="61"/>
      <c r="J482" s="61"/>
      <c r="L4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3" spans="2:12">
      <c r="B483" s="61"/>
      <c r="C483" s="61"/>
      <c r="D483" s="61"/>
      <c r="J483" s="61"/>
      <c r="L4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4" spans="2:12">
      <c r="B484" s="61"/>
      <c r="C484" s="61"/>
      <c r="D484" s="61"/>
      <c r="J484" s="61"/>
      <c r="L4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5" spans="2:12">
      <c r="B485" s="61"/>
      <c r="C485" s="61"/>
      <c r="D485" s="61"/>
      <c r="J485" s="61"/>
      <c r="L4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6" spans="2:12">
      <c r="B486" s="61"/>
      <c r="C486" s="61"/>
      <c r="D486" s="61"/>
      <c r="J486" s="61"/>
      <c r="L4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7" spans="2:12">
      <c r="B487" s="61"/>
      <c r="C487" s="61"/>
      <c r="D487" s="61"/>
      <c r="J487" s="61"/>
      <c r="L4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8" spans="2:12">
      <c r="B488" s="61"/>
      <c r="C488" s="61"/>
      <c r="D488" s="61"/>
      <c r="J488" s="61"/>
      <c r="L4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89" spans="2:12">
      <c r="B489" s="61"/>
      <c r="C489" s="61"/>
      <c r="D489" s="61"/>
      <c r="J489" s="61"/>
      <c r="L4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0" spans="2:12">
      <c r="B490" s="61"/>
      <c r="C490" s="61"/>
      <c r="D490" s="61"/>
      <c r="J490" s="61"/>
      <c r="L4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1" spans="2:12">
      <c r="B491" s="61"/>
      <c r="C491" s="61"/>
      <c r="D491" s="61"/>
      <c r="J491" s="61"/>
      <c r="L4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2" spans="2:12">
      <c r="B492" s="61"/>
      <c r="C492" s="61"/>
      <c r="D492" s="61"/>
      <c r="J492" s="61"/>
      <c r="L4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3" spans="2:12">
      <c r="B493" s="61"/>
      <c r="C493" s="61"/>
      <c r="D493" s="61"/>
      <c r="J493" s="61"/>
      <c r="L4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4" spans="2:12">
      <c r="B494" s="61"/>
      <c r="C494" s="61"/>
      <c r="D494" s="61"/>
      <c r="J494" s="61"/>
      <c r="L4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5" spans="2:12">
      <c r="B495" s="61"/>
      <c r="C495" s="61"/>
      <c r="D495" s="61"/>
      <c r="J495" s="61"/>
      <c r="L4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6" spans="2:12">
      <c r="B496" s="61"/>
      <c r="C496" s="61"/>
      <c r="D496" s="61"/>
      <c r="J496" s="61"/>
      <c r="L4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7" spans="2:12">
      <c r="B497" s="61"/>
      <c r="C497" s="61"/>
      <c r="D497" s="61"/>
      <c r="J497" s="61"/>
      <c r="L4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8" spans="2:12">
      <c r="B498" s="61"/>
      <c r="C498" s="61"/>
      <c r="D498" s="61"/>
      <c r="J498" s="61"/>
      <c r="L4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499" spans="2:12">
      <c r="B499" s="61"/>
      <c r="C499" s="61"/>
      <c r="D499" s="61"/>
      <c r="J499" s="61"/>
      <c r="L4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0" spans="2:12">
      <c r="B500" s="61"/>
      <c r="C500" s="61"/>
      <c r="D500" s="61"/>
      <c r="J500" s="61"/>
      <c r="L5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1" spans="2:12">
      <c r="B501" s="61"/>
      <c r="C501" s="61"/>
      <c r="D501" s="61"/>
      <c r="J501" s="61"/>
      <c r="L5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2" spans="2:12">
      <c r="B502" s="61"/>
      <c r="C502" s="61"/>
      <c r="D502" s="61"/>
      <c r="J502" s="61"/>
      <c r="L5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3" spans="2:12">
      <c r="B503" s="61"/>
      <c r="C503" s="61"/>
      <c r="D503" s="61"/>
      <c r="J503" s="61"/>
      <c r="L5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4" spans="2:12">
      <c r="B504" s="61"/>
      <c r="C504" s="61"/>
      <c r="D504" s="61"/>
      <c r="J504" s="61"/>
      <c r="L5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5" spans="2:12">
      <c r="B505" s="61"/>
      <c r="C505" s="61"/>
      <c r="D505" s="61"/>
      <c r="J505" s="61"/>
      <c r="L5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6" spans="2:12">
      <c r="B506" s="61"/>
      <c r="C506" s="61"/>
      <c r="D506" s="61"/>
      <c r="J506" s="61"/>
      <c r="L5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7" spans="2:12">
      <c r="B507" s="61"/>
      <c r="C507" s="61"/>
      <c r="D507" s="61"/>
      <c r="J507" s="61"/>
      <c r="L5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8" spans="2:12">
      <c r="B508" s="61"/>
      <c r="C508" s="61"/>
      <c r="D508" s="61"/>
      <c r="J508" s="61"/>
      <c r="L5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09" spans="2:12">
      <c r="B509" s="61"/>
      <c r="C509" s="61"/>
      <c r="D509" s="61"/>
      <c r="J509" s="61"/>
      <c r="L5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0" spans="2:12">
      <c r="B510" s="61"/>
      <c r="C510" s="61"/>
      <c r="D510" s="61"/>
      <c r="J510" s="61"/>
      <c r="L5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1" spans="2:12">
      <c r="B511" s="61"/>
      <c r="C511" s="61"/>
      <c r="D511" s="61"/>
      <c r="J511" s="61"/>
      <c r="L5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2" spans="2:12">
      <c r="B512" s="61"/>
      <c r="C512" s="61"/>
      <c r="D512" s="61"/>
      <c r="J512" s="61"/>
      <c r="L5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3" spans="2:12">
      <c r="B513" s="61"/>
      <c r="C513" s="61"/>
      <c r="D513" s="61"/>
      <c r="J513" s="61"/>
      <c r="L5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4" spans="2:12">
      <c r="B514" s="61"/>
      <c r="C514" s="61"/>
      <c r="D514" s="61"/>
      <c r="J514" s="61"/>
      <c r="L5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5" spans="2:12">
      <c r="B515" s="61"/>
      <c r="C515" s="61"/>
      <c r="D515" s="61"/>
      <c r="J515" s="61"/>
      <c r="L5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6" spans="2:12">
      <c r="B516" s="61"/>
      <c r="C516" s="61"/>
      <c r="D516" s="61"/>
      <c r="J516" s="61"/>
      <c r="L5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7" spans="2:12">
      <c r="B517" s="61"/>
      <c r="C517" s="61"/>
      <c r="D517" s="61"/>
      <c r="J517" s="61"/>
      <c r="L5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8" spans="2:12">
      <c r="B518" s="61"/>
      <c r="C518" s="61"/>
      <c r="D518" s="61"/>
      <c r="J518" s="61"/>
      <c r="L5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19" spans="2:12">
      <c r="B519" s="61"/>
      <c r="C519" s="61"/>
      <c r="D519" s="61"/>
      <c r="J519" s="61"/>
      <c r="L5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0" spans="2:12">
      <c r="B520" s="61"/>
      <c r="C520" s="61"/>
      <c r="D520" s="61"/>
      <c r="J520" s="61"/>
      <c r="L5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1" spans="2:12">
      <c r="B521" s="61"/>
      <c r="C521" s="61"/>
      <c r="D521" s="61"/>
      <c r="J521" s="61"/>
      <c r="L5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2" spans="2:12">
      <c r="B522" s="61"/>
      <c r="C522" s="61"/>
      <c r="D522" s="61"/>
      <c r="J522" s="61"/>
      <c r="L5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3" spans="2:12">
      <c r="B523" s="61"/>
      <c r="C523" s="61"/>
      <c r="D523" s="61"/>
      <c r="J523" s="61"/>
      <c r="L5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4" spans="2:12">
      <c r="B524" s="61"/>
      <c r="C524" s="61"/>
      <c r="D524" s="61"/>
      <c r="J524" s="61"/>
      <c r="L5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5" spans="2:12">
      <c r="B525" s="61"/>
      <c r="C525" s="61"/>
      <c r="D525" s="61"/>
      <c r="J525" s="61"/>
      <c r="L5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6" spans="2:12">
      <c r="B526" s="61"/>
      <c r="C526" s="61"/>
      <c r="D526" s="61"/>
      <c r="J526" s="61"/>
      <c r="L5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7" spans="2:12">
      <c r="B527" s="61"/>
      <c r="C527" s="61"/>
      <c r="D527" s="61"/>
      <c r="J527" s="61"/>
      <c r="L5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8" spans="2:12">
      <c r="B528" s="61"/>
      <c r="C528" s="61"/>
      <c r="D528" s="61"/>
      <c r="J528" s="61"/>
      <c r="L5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29" spans="2:12">
      <c r="B529" s="61"/>
      <c r="C529" s="61"/>
      <c r="D529" s="61"/>
      <c r="J529" s="61"/>
      <c r="L5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0" spans="2:12">
      <c r="B530" s="61"/>
      <c r="C530" s="61"/>
      <c r="D530" s="61"/>
      <c r="J530" s="61"/>
      <c r="L5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1" spans="2:12">
      <c r="B531" s="61"/>
      <c r="C531" s="61"/>
      <c r="D531" s="61"/>
      <c r="J531" s="61"/>
      <c r="L5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2" spans="2:12">
      <c r="B532" s="61"/>
      <c r="C532" s="61"/>
      <c r="D532" s="61"/>
      <c r="J532" s="61"/>
      <c r="L5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3" spans="2:12">
      <c r="B533" s="61"/>
      <c r="C533" s="61"/>
      <c r="D533" s="61"/>
      <c r="J533" s="61"/>
      <c r="L5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4" spans="2:12">
      <c r="B534" s="61"/>
      <c r="C534" s="61"/>
      <c r="D534" s="61"/>
      <c r="J534" s="61"/>
      <c r="L5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5" spans="2:12">
      <c r="B535" s="61"/>
      <c r="C535" s="61"/>
      <c r="D535" s="61"/>
      <c r="J535" s="61"/>
      <c r="L5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6" spans="2:12">
      <c r="B536" s="61"/>
      <c r="C536" s="61"/>
      <c r="D536" s="61"/>
      <c r="J536" s="61"/>
      <c r="L5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7" spans="2:12">
      <c r="B537" s="61"/>
      <c r="C537" s="61"/>
      <c r="D537" s="61"/>
      <c r="J537" s="61"/>
      <c r="L5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8" spans="2:12">
      <c r="B538" s="61"/>
      <c r="C538" s="61"/>
      <c r="D538" s="61"/>
      <c r="J538" s="61"/>
      <c r="L5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39" spans="2:12">
      <c r="B539" s="61"/>
      <c r="C539" s="61"/>
      <c r="D539" s="61"/>
      <c r="J539" s="61"/>
      <c r="L5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0" spans="2:12">
      <c r="B540" s="61"/>
      <c r="C540" s="61"/>
      <c r="D540" s="61"/>
      <c r="J540" s="61"/>
      <c r="L5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1" spans="2:12">
      <c r="B541" s="61"/>
      <c r="C541" s="61"/>
      <c r="D541" s="61"/>
      <c r="J541" s="61"/>
      <c r="L5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2" spans="2:12">
      <c r="B542" s="61"/>
      <c r="C542" s="61"/>
      <c r="D542" s="61"/>
      <c r="J542" s="61"/>
      <c r="L5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3" spans="2:12">
      <c r="B543" s="61"/>
      <c r="C543" s="61"/>
      <c r="D543" s="61"/>
      <c r="J543" s="61"/>
      <c r="L5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4" spans="2:12">
      <c r="B544" s="61"/>
      <c r="C544" s="61"/>
      <c r="D544" s="61"/>
      <c r="J544" s="61"/>
      <c r="L5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5" spans="2:12">
      <c r="B545" s="61"/>
      <c r="C545" s="61"/>
      <c r="D545" s="61"/>
      <c r="J545" s="61"/>
      <c r="L5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6" spans="2:12">
      <c r="B546" s="61"/>
      <c r="C546" s="61"/>
      <c r="D546" s="61"/>
      <c r="J546" s="61"/>
      <c r="L5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7" spans="2:12">
      <c r="B547" s="61"/>
      <c r="C547" s="61"/>
      <c r="D547" s="61"/>
      <c r="J547" s="61"/>
      <c r="L5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8" spans="2:12">
      <c r="B548" s="61"/>
      <c r="C548" s="61"/>
      <c r="D548" s="61"/>
      <c r="J548" s="61"/>
      <c r="L5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49" spans="2:12">
      <c r="B549" s="61"/>
      <c r="C549" s="61"/>
      <c r="D549" s="61"/>
      <c r="J549" s="61"/>
      <c r="L5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0" spans="2:12">
      <c r="B550" s="61"/>
      <c r="C550" s="61"/>
      <c r="D550" s="61"/>
      <c r="J550" s="61"/>
      <c r="L5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1" spans="2:12">
      <c r="B551" s="61"/>
      <c r="C551" s="61"/>
      <c r="D551" s="61"/>
      <c r="J551" s="61"/>
      <c r="L5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2" spans="2:12">
      <c r="B552" s="61"/>
      <c r="C552" s="61"/>
      <c r="D552" s="61"/>
      <c r="J552" s="61"/>
      <c r="L5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3" spans="2:12">
      <c r="B553" s="61"/>
      <c r="C553" s="61"/>
      <c r="D553" s="61"/>
      <c r="J553" s="61"/>
      <c r="L5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4" spans="2:12">
      <c r="B554" s="61"/>
      <c r="C554" s="61"/>
      <c r="D554" s="61"/>
      <c r="J554" s="61"/>
      <c r="L5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5" spans="2:12">
      <c r="B555" s="61"/>
      <c r="C555" s="61"/>
      <c r="D555" s="61"/>
      <c r="J555" s="61"/>
      <c r="L5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6" spans="2:12">
      <c r="B556" s="61"/>
      <c r="C556" s="61"/>
      <c r="D556" s="61"/>
      <c r="J556" s="61"/>
      <c r="L5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7" spans="2:12">
      <c r="B557" s="61"/>
      <c r="C557" s="61"/>
      <c r="D557" s="61"/>
      <c r="J557" s="61"/>
      <c r="L5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8" spans="2:12">
      <c r="B558" s="61"/>
      <c r="C558" s="61"/>
      <c r="D558" s="61"/>
      <c r="J558" s="61"/>
      <c r="L5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59" spans="2:12">
      <c r="B559" s="61"/>
      <c r="C559" s="61"/>
      <c r="D559" s="61"/>
      <c r="J559" s="61"/>
      <c r="L5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0" spans="2:12">
      <c r="B560" s="61"/>
      <c r="C560" s="61"/>
      <c r="D560" s="61"/>
      <c r="J560" s="61"/>
      <c r="L5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1" spans="2:12">
      <c r="B561" s="61"/>
      <c r="C561" s="61"/>
      <c r="D561" s="61"/>
      <c r="J561" s="61"/>
      <c r="L5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2" spans="2:12">
      <c r="B562" s="61"/>
      <c r="C562" s="61"/>
      <c r="D562" s="61"/>
      <c r="J562" s="61"/>
      <c r="L5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3" spans="2:12">
      <c r="B563" s="61"/>
      <c r="C563" s="61"/>
      <c r="D563" s="61"/>
      <c r="J563" s="61"/>
      <c r="L5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4" spans="2:12">
      <c r="B564" s="61"/>
      <c r="C564" s="61"/>
      <c r="D564" s="61"/>
      <c r="J564" s="61"/>
      <c r="L5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5" spans="2:12">
      <c r="B565" s="61"/>
      <c r="C565" s="61"/>
      <c r="D565" s="61"/>
      <c r="J565" s="61"/>
      <c r="L5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6" spans="2:12">
      <c r="B566" s="61"/>
      <c r="C566" s="61"/>
      <c r="D566" s="61"/>
      <c r="J566" s="61"/>
      <c r="L5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7" spans="2:12">
      <c r="B567" s="61"/>
      <c r="C567" s="61"/>
      <c r="D567" s="61"/>
      <c r="J567" s="61"/>
      <c r="L5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8" spans="2:12">
      <c r="B568" s="61"/>
      <c r="C568" s="61"/>
      <c r="D568" s="61"/>
      <c r="J568" s="61"/>
      <c r="L5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69" spans="2:12">
      <c r="B569" s="61"/>
      <c r="C569" s="61"/>
      <c r="D569" s="61"/>
      <c r="J569" s="61"/>
      <c r="L5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0" spans="2:12">
      <c r="B570" s="61"/>
      <c r="C570" s="61"/>
      <c r="D570" s="61"/>
      <c r="J570" s="61"/>
      <c r="L5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1" spans="2:12">
      <c r="B571" s="61"/>
      <c r="C571" s="61"/>
      <c r="D571" s="61"/>
      <c r="J571" s="61"/>
      <c r="L5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2" spans="2:12">
      <c r="B572" s="61"/>
      <c r="C572" s="61"/>
      <c r="D572" s="61"/>
      <c r="J572" s="61"/>
      <c r="L5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3" spans="2:12">
      <c r="B573" s="61"/>
      <c r="C573" s="61"/>
      <c r="D573" s="61"/>
      <c r="J573" s="61"/>
      <c r="L5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4" spans="2:12">
      <c r="B574" s="61"/>
      <c r="C574" s="61"/>
      <c r="D574" s="61"/>
      <c r="J574" s="61"/>
      <c r="L5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5" spans="2:12">
      <c r="B575" s="61"/>
      <c r="C575" s="61"/>
      <c r="D575" s="61"/>
      <c r="J575" s="61"/>
      <c r="L5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6" spans="2:12">
      <c r="B576" s="61"/>
      <c r="C576" s="61"/>
      <c r="D576" s="61"/>
      <c r="J576" s="61"/>
      <c r="L5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7" spans="2:12">
      <c r="B577" s="61"/>
      <c r="C577" s="61"/>
      <c r="D577" s="61"/>
      <c r="J577" s="61"/>
      <c r="L5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8" spans="2:12">
      <c r="B578" s="61"/>
      <c r="C578" s="61"/>
      <c r="D578" s="61"/>
      <c r="J578" s="61"/>
      <c r="L5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79" spans="2:12">
      <c r="B579" s="61"/>
      <c r="C579" s="61"/>
      <c r="D579" s="61"/>
      <c r="J579" s="61"/>
      <c r="L5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0" spans="2:12">
      <c r="B580" s="61"/>
      <c r="C580" s="61"/>
      <c r="D580" s="61"/>
      <c r="J580" s="61"/>
      <c r="L5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1" spans="2:12">
      <c r="B581" s="61"/>
      <c r="C581" s="61"/>
      <c r="D581" s="61"/>
      <c r="J581" s="61"/>
      <c r="L5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2" spans="2:12">
      <c r="B582" s="61"/>
      <c r="C582" s="61"/>
      <c r="D582" s="61"/>
      <c r="J582" s="61"/>
      <c r="L5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3" spans="2:12">
      <c r="B583" s="61"/>
      <c r="C583" s="61"/>
      <c r="D583" s="61"/>
      <c r="J583" s="61"/>
      <c r="L5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4" spans="2:12">
      <c r="B584" s="61"/>
      <c r="C584" s="61"/>
      <c r="D584" s="61"/>
      <c r="J584" s="61"/>
      <c r="L5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5" spans="2:12">
      <c r="B585" s="61"/>
      <c r="C585" s="61"/>
      <c r="D585" s="61"/>
      <c r="J585" s="61"/>
      <c r="L5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6" spans="2:12">
      <c r="B586" s="61"/>
      <c r="C586" s="61"/>
      <c r="D586" s="61"/>
      <c r="J586" s="61"/>
      <c r="L5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7" spans="2:12">
      <c r="B587" s="61"/>
      <c r="C587" s="61"/>
      <c r="D587" s="61"/>
      <c r="J587" s="61"/>
      <c r="L5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8" spans="2:12">
      <c r="B588" s="61"/>
      <c r="C588" s="61"/>
      <c r="D588" s="61"/>
      <c r="J588" s="61"/>
      <c r="L5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89" spans="2:12">
      <c r="B589" s="61"/>
      <c r="C589" s="61"/>
      <c r="D589" s="61"/>
      <c r="J589" s="61"/>
      <c r="L5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0" spans="2:12">
      <c r="B590" s="61"/>
      <c r="C590" s="61"/>
      <c r="D590" s="61"/>
      <c r="J590" s="61"/>
      <c r="L5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1" spans="2:12">
      <c r="B591" s="61"/>
      <c r="C591" s="61"/>
      <c r="D591" s="61"/>
      <c r="J591" s="61"/>
      <c r="L5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2" spans="2:12">
      <c r="B592" s="61"/>
      <c r="C592" s="61"/>
      <c r="D592" s="61"/>
      <c r="J592" s="61"/>
      <c r="L5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3" spans="2:12">
      <c r="B593" s="61"/>
      <c r="C593" s="61"/>
      <c r="D593" s="61"/>
      <c r="J593" s="61"/>
      <c r="L5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4" spans="2:12">
      <c r="B594" s="61"/>
      <c r="C594" s="61"/>
      <c r="D594" s="61"/>
      <c r="J594" s="61"/>
      <c r="L5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5" spans="2:12">
      <c r="B595" s="61"/>
      <c r="C595" s="61"/>
      <c r="D595" s="61"/>
      <c r="J595" s="61"/>
      <c r="L5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6" spans="2:12">
      <c r="B596" s="61"/>
      <c r="C596" s="61"/>
      <c r="D596" s="61"/>
      <c r="J596" s="61"/>
      <c r="L5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7" spans="2:12">
      <c r="B597" s="61"/>
      <c r="C597" s="61"/>
      <c r="D597" s="61"/>
      <c r="J597" s="61"/>
      <c r="L5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8" spans="2:12">
      <c r="B598" s="61"/>
      <c r="C598" s="61"/>
      <c r="D598" s="61"/>
      <c r="J598" s="61"/>
      <c r="L5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599" spans="2:12">
      <c r="B599" s="61"/>
      <c r="C599" s="61"/>
      <c r="D599" s="61"/>
      <c r="J599" s="61"/>
      <c r="L5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0" spans="2:12">
      <c r="B600" s="61"/>
      <c r="C600" s="61"/>
      <c r="D600" s="61"/>
      <c r="J600" s="61"/>
      <c r="L6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1" spans="2:12">
      <c r="B601" s="61"/>
      <c r="C601" s="61"/>
      <c r="D601" s="61"/>
      <c r="J601" s="61"/>
      <c r="L6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2" spans="2:12">
      <c r="B602" s="61"/>
      <c r="C602" s="61"/>
      <c r="D602" s="61"/>
      <c r="J602" s="61"/>
      <c r="L6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3" spans="2:12">
      <c r="B603" s="61"/>
      <c r="C603" s="61"/>
      <c r="D603" s="61"/>
      <c r="J603" s="61"/>
      <c r="L6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4" spans="2:12">
      <c r="B604" s="61"/>
      <c r="C604" s="61"/>
      <c r="D604" s="61"/>
      <c r="J604" s="61"/>
      <c r="L6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5" spans="2:12">
      <c r="B605" s="61"/>
      <c r="C605" s="61"/>
      <c r="D605" s="61"/>
      <c r="J605" s="61"/>
      <c r="L6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6" spans="2:12">
      <c r="B606" s="61"/>
      <c r="C606" s="61"/>
      <c r="D606" s="61"/>
      <c r="J606" s="61"/>
      <c r="L6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7" spans="2:12">
      <c r="B607" s="61"/>
      <c r="C607" s="61"/>
      <c r="D607" s="61"/>
      <c r="J607" s="61"/>
      <c r="L6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8" spans="2:12">
      <c r="B608" s="61"/>
      <c r="C608" s="61"/>
      <c r="D608" s="61"/>
      <c r="J608" s="61"/>
      <c r="L6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09" spans="2:12">
      <c r="B609" s="61"/>
      <c r="C609" s="61"/>
      <c r="D609" s="61"/>
      <c r="J609" s="61"/>
      <c r="L6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0" spans="2:12">
      <c r="B610" s="61"/>
      <c r="C610" s="61"/>
      <c r="D610" s="61"/>
      <c r="J610" s="61"/>
      <c r="L6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1" spans="2:12">
      <c r="B611" s="61"/>
      <c r="C611" s="61"/>
      <c r="D611" s="61"/>
      <c r="J611" s="61"/>
      <c r="L6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2" spans="2:12">
      <c r="B612" s="61"/>
      <c r="C612" s="61"/>
      <c r="D612" s="61"/>
      <c r="J612" s="61"/>
      <c r="L6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3" spans="2:12">
      <c r="B613" s="61"/>
      <c r="C613" s="61"/>
      <c r="D613" s="61"/>
      <c r="J613" s="61"/>
      <c r="L6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4" spans="2:12">
      <c r="B614" s="61"/>
      <c r="C614" s="61"/>
      <c r="D614" s="61"/>
      <c r="J614" s="61"/>
      <c r="L6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5" spans="2:12">
      <c r="B615" s="61"/>
      <c r="C615" s="61"/>
      <c r="D615" s="61"/>
      <c r="J615" s="61"/>
      <c r="L6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6" spans="2:12">
      <c r="B616" s="61"/>
      <c r="C616" s="61"/>
      <c r="D616" s="61"/>
      <c r="J616" s="61"/>
      <c r="L6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7" spans="2:12">
      <c r="B617" s="61"/>
      <c r="C617" s="61"/>
      <c r="D617" s="61"/>
      <c r="J617" s="61"/>
      <c r="L6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8" spans="2:12">
      <c r="B618" s="61"/>
      <c r="C618" s="61"/>
      <c r="D618" s="61"/>
      <c r="J618" s="61"/>
      <c r="L6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19" spans="2:12">
      <c r="B619" s="61"/>
      <c r="C619" s="61"/>
      <c r="D619" s="61"/>
      <c r="J619" s="61"/>
      <c r="L6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0" spans="2:12">
      <c r="B620" s="61"/>
      <c r="C620" s="61"/>
      <c r="D620" s="61"/>
      <c r="J620" s="61"/>
      <c r="L6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1" spans="2:12">
      <c r="B621" s="61"/>
      <c r="C621" s="61"/>
      <c r="D621" s="61"/>
      <c r="J621" s="61"/>
      <c r="L6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2" spans="2:12">
      <c r="B622" s="61"/>
      <c r="C622" s="61"/>
      <c r="D622" s="61"/>
      <c r="J622" s="61"/>
      <c r="L6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3" spans="2:12">
      <c r="B623" s="61"/>
      <c r="C623" s="61"/>
      <c r="D623" s="61"/>
      <c r="J623" s="61"/>
      <c r="L6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4" spans="2:12">
      <c r="B624" s="61"/>
      <c r="C624" s="61"/>
      <c r="D624" s="61"/>
      <c r="J624" s="61"/>
      <c r="L6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5" spans="2:12">
      <c r="B625" s="61"/>
      <c r="C625" s="61"/>
      <c r="D625" s="61"/>
      <c r="J625" s="61"/>
      <c r="L6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6" spans="2:12">
      <c r="B626" s="61"/>
      <c r="C626" s="61"/>
      <c r="D626" s="61"/>
      <c r="J626" s="61"/>
      <c r="L6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7" spans="2:12">
      <c r="B627" s="61"/>
      <c r="C627" s="61"/>
      <c r="D627" s="61"/>
      <c r="J627" s="61"/>
      <c r="L6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8" spans="2:12">
      <c r="B628" s="61"/>
      <c r="C628" s="61"/>
      <c r="D628" s="61"/>
      <c r="J628" s="61"/>
      <c r="L6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29" spans="2:12">
      <c r="B629" s="61"/>
      <c r="C629" s="61"/>
      <c r="D629" s="61"/>
      <c r="J629" s="61"/>
      <c r="L6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0" spans="2:12">
      <c r="B630" s="61"/>
      <c r="C630" s="61"/>
      <c r="D630" s="61"/>
      <c r="J630" s="61"/>
      <c r="L6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1" spans="2:12">
      <c r="B631" s="61"/>
      <c r="C631" s="61"/>
      <c r="D631" s="61"/>
      <c r="J631" s="61"/>
      <c r="L6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2" spans="2:12">
      <c r="B632" s="61"/>
      <c r="C632" s="61"/>
      <c r="D632" s="61"/>
      <c r="J632" s="61"/>
      <c r="L6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3" spans="2:12">
      <c r="B633" s="61"/>
      <c r="C633" s="61"/>
      <c r="D633" s="61"/>
      <c r="J633" s="61"/>
      <c r="L6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4" spans="2:12">
      <c r="B634" s="61"/>
      <c r="C634" s="61"/>
      <c r="D634" s="61"/>
      <c r="J634" s="61"/>
      <c r="L6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5" spans="2:12">
      <c r="B635" s="61"/>
      <c r="C635" s="61"/>
      <c r="D635" s="61"/>
      <c r="J635" s="61"/>
      <c r="L6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6" spans="2:12">
      <c r="B636" s="61"/>
      <c r="C636" s="61"/>
      <c r="D636" s="61"/>
      <c r="J636" s="61"/>
      <c r="L6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7" spans="2:12">
      <c r="B637" s="61"/>
      <c r="C637" s="61"/>
      <c r="D637" s="61"/>
      <c r="J637" s="61"/>
      <c r="L6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8" spans="2:12">
      <c r="B638" s="61"/>
      <c r="C638" s="61"/>
      <c r="D638" s="61"/>
      <c r="J638" s="61"/>
      <c r="L6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39" spans="2:12">
      <c r="B639" s="61"/>
      <c r="C639" s="61"/>
      <c r="D639" s="61"/>
      <c r="J639" s="61"/>
      <c r="L6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0" spans="2:12">
      <c r="B640" s="61"/>
      <c r="C640" s="61"/>
      <c r="D640" s="61"/>
      <c r="J640" s="61"/>
      <c r="L6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1" spans="2:12">
      <c r="B641" s="61"/>
      <c r="C641" s="61"/>
      <c r="D641" s="61"/>
      <c r="J641" s="61"/>
      <c r="L6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2" spans="2:12">
      <c r="B642" s="61"/>
      <c r="C642" s="61"/>
      <c r="D642" s="61"/>
      <c r="J642" s="61"/>
      <c r="L6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3" spans="2:12">
      <c r="B643" s="61"/>
      <c r="C643" s="61"/>
      <c r="D643" s="61"/>
      <c r="J643" s="61"/>
      <c r="L6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4" spans="2:12">
      <c r="B644" s="61"/>
      <c r="C644" s="61"/>
      <c r="D644" s="61"/>
      <c r="J644" s="61"/>
      <c r="L6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5" spans="2:12">
      <c r="B645" s="61"/>
      <c r="C645" s="61"/>
      <c r="D645" s="61"/>
      <c r="J645" s="61"/>
      <c r="L6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6" spans="2:12">
      <c r="B646" s="61"/>
      <c r="C646" s="61"/>
      <c r="D646" s="61"/>
      <c r="J646" s="61"/>
      <c r="L6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7" spans="2:12">
      <c r="B647" s="61"/>
      <c r="C647" s="61"/>
      <c r="D647" s="61"/>
      <c r="J647" s="61"/>
      <c r="L6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8" spans="2:12">
      <c r="B648" s="61"/>
      <c r="C648" s="61"/>
      <c r="D648" s="61"/>
      <c r="J648" s="61"/>
      <c r="L6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49" spans="2:12">
      <c r="B649" s="61"/>
      <c r="C649" s="61"/>
      <c r="D649" s="61"/>
      <c r="J649" s="61"/>
      <c r="L6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0" spans="2:12">
      <c r="B650" s="61"/>
      <c r="C650" s="61"/>
      <c r="D650" s="61"/>
      <c r="J650" s="61"/>
      <c r="L6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1" spans="2:12">
      <c r="B651" s="61"/>
      <c r="C651" s="61"/>
      <c r="D651" s="61"/>
      <c r="J651" s="61"/>
      <c r="L6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2" spans="2:12">
      <c r="B652" s="61"/>
      <c r="C652" s="61"/>
      <c r="D652" s="61"/>
      <c r="J652" s="61"/>
      <c r="L6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3" spans="2:12">
      <c r="B653" s="61"/>
      <c r="C653" s="61"/>
      <c r="D653" s="61"/>
      <c r="J653" s="61"/>
      <c r="L6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4" spans="2:12">
      <c r="B654" s="61"/>
      <c r="C654" s="61"/>
      <c r="D654" s="61"/>
      <c r="J654" s="61"/>
      <c r="L6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5" spans="2:12">
      <c r="B655" s="61"/>
      <c r="C655" s="61"/>
      <c r="D655" s="61"/>
      <c r="J655" s="61"/>
      <c r="L6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6" spans="2:12">
      <c r="B656" s="61"/>
      <c r="C656" s="61"/>
      <c r="D656" s="61"/>
      <c r="J656" s="61"/>
      <c r="L6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7" spans="2:12">
      <c r="B657" s="61"/>
      <c r="C657" s="61"/>
      <c r="D657" s="61"/>
      <c r="J657" s="61"/>
      <c r="L6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8" spans="2:12">
      <c r="B658" s="61"/>
      <c r="C658" s="61"/>
      <c r="D658" s="61"/>
      <c r="J658" s="61"/>
      <c r="L6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59" spans="2:12">
      <c r="B659" s="61"/>
      <c r="C659" s="61"/>
      <c r="D659" s="61"/>
      <c r="J659" s="61"/>
      <c r="L6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0" spans="2:12">
      <c r="B660" s="61"/>
      <c r="C660" s="61"/>
      <c r="D660" s="61"/>
      <c r="J660" s="61"/>
      <c r="L6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1" spans="2:12">
      <c r="B661" s="61"/>
      <c r="C661" s="61"/>
      <c r="D661" s="61"/>
      <c r="J661" s="61"/>
      <c r="L6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2" spans="2:12">
      <c r="B662" s="61"/>
      <c r="C662" s="61"/>
      <c r="D662" s="61"/>
      <c r="J662" s="61"/>
      <c r="L6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3" spans="2:12">
      <c r="B663" s="61"/>
      <c r="C663" s="61"/>
      <c r="D663" s="61"/>
      <c r="J663" s="61"/>
      <c r="L6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4" spans="2:12">
      <c r="B664" s="61"/>
      <c r="C664" s="61"/>
      <c r="D664" s="61"/>
      <c r="J664" s="61"/>
      <c r="L6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5" spans="2:12">
      <c r="B665" s="61"/>
      <c r="C665" s="61"/>
      <c r="D665" s="61"/>
      <c r="J665" s="61"/>
      <c r="L6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6" spans="2:12">
      <c r="B666" s="61"/>
      <c r="C666" s="61"/>
      <c r="D666" s="61"/>
      <c r="J666" s="61"/>
      <c r="L6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7" spans="2:12">
      <c r="B667" s="61"/>
      <c r="C667" s="61"/>
      <c r="D667" s="61"/>
      <c r="J667" s="61"/>
      <c r="L6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8" spans="2:12">
      <c r="B668" s="61"/>
      <c r="C668" s="61"/>
      <c r="D668" s="61"/>
      <c r="J668" s="61"/>
      <c r="L6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69" spans="2:12">
      <c r="B669" s="61"/>
      <c r="C669" s="61"/>
      <c r="D669" s="61"/>
      <c r="J669" s="61"/>
      <c r="L6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0" spans="2:12">
      <c r="B670" s="61"/>
      <c r="C670" s="61"/>
      <c r="D670" s="61"/>
      <c r="J670" s="61"/>
      <c r="L6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1" spans="2:12">
      <c r="B671" s="61"/>
      <c r="C671" s="61"/>
      <c r="D671" s="61"/>
      <c r="J671" s="61"/>
      <c r="L6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2" spans="2:12">
      <c r="B672" s="61"/>
      <c r="C672" s="61"/>
      <c r="D672" s="61"/>
      <c r="J672" s="61"/>
      <c r="L6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3" spans="2:12">
      <c r="B673" s="61"/>
      <c r="C673" s="61"/>
      <c r="D673" s="61"/>
      <c r="J673" s="61"/>
      <c r="L6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4" spans="2:12">
      <c r="B674" s="61"/>
      <c r="C674" s="61"/>
      <c r="D674" s="61"/>
      <c r="J674" s="61"/>
      <c r="L6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5" spans="2:12">
      <c r="B675" s="61"/>
      <c r="C675" s="61"/>
      <c r="D675" s="61"/>
      <c r="J675" s="61"/>
      <c r="L6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6" spans="2:12">
      <c r="B676" s="61"/>
      <c r="C676" s="61"/>
      <c r="D676" s="61"/>
      <c r="J676" s="61"/>
      <c r="L6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7" spans="2:12">
      <c r="B677" s="61"/>
      <c r="C677" s="61"/>
      <c r="D677" s="61"/>
      <c r="J677" s="61"/>
      <c r="L6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8" spans="2:12">
      <c r="B678" s="61"/>
      <c r="C678" s="61"/>
      <c r="D678" s="61"/>
      <c r="J678" s="61"/>
      <c r="L6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79" spans="2:12">
      <c r="B679" s="61"/>
      <c r="C679" s="61"/>
      <c r="D679" s="61"/>
      <c r="J679" s="61"/>
      <c r="L6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0" spans="2:12">
      <c r="B680" s="61"/>
      <c r="C680" s="61"/>
      <c r="D680" s="61"/>
      <c r="J680" s="61"/>
      <c r="L6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1" spans="2:12">
      <c r="B681" s="61"/>
      <c r="C681" s="61"/>
      <c r="D681" s="61"/>
      <c r="J681" s="61"/>
      <c r="L6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2" spans="2:12">
      <c r="B682" s="61"/>
      <c r="C682" s="61"/>
      <c r="D682" s="61"/>
      <c r="J682" s="61"/>
      <c r="L6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3" spans="2:12">
      <c r="B683" s="61"/>
      <c r="C683" s="61"/>
      <c r="D683" s="61"/>
      <c r="J683" s="61"/>
      <c r="L6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4" spans="2:12">
      <c r="B684" s="61"/>
      <c r="C684" s="61"/>
      <c r="D684" s="61"/>
      <c r="J684" s="61"/>
      <c r="L6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5" spans="2:12">
      <c r="B685" s="61"/>
      <c r="C685" s="61"/>
      <c r="D685" s="61"/>
      <c r="J685" s="61"/>
      <c r="L6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6" spans="2:12">
      <c r="B686" s="61"/>
      <c r="C686" s="61"/>
      <c r="D686" s="61"/>
      <c r="J686" s="61"/>
      <c r="L6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7" spans="2:12">
      <c r="B687" s="61"/>
      <c r="C687" s="61"/>
      <c r="D687" s="61"/>
      <c r="J687" s="61"/>
      <c r="L6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8" spans="2:12">
      <c r="B688" s="61"/>
      <c r="C688" s="61"/>
      <c r="D688" s="61"/>
      <c r="J688" s="61"/>
      <c r="L6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89" spans="2:12">
      <c r="B689" s="61"/>
      <c r="C689" s="61"/>
      <c r="D689" s="61"/>
      <c r="J689" s="61"/>
      <c r="L6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0" spans="2:12">
      <c r="B690" s="61"/>
      <c r="C690" s="61"/>
      <c r="D690" s="61"/>
      <c r="J690" s="61"/>
      <c r="L6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1" spans="2:12">
      <c r="B691" s="61"/>
      <c r="C691" s="61"/>
      <c r="D691" s="61"/>
      <c r="J691" s="61"/>
      <c r="L6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2" spans="2:12">
      <c r="B692" s="61"/>
      <c r="C692" s="61"/>
      <c r="D692" s="61"/>
      <c r="J692" s="61"/>
      <c r="L6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3" spans="2:12">
      <c r="B693" s="61"/>
      <c r="C693" s="61"/>
      <c r="D693" s="61"/>
      <c r="J693" s="61"/>
      <c r="L6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4" spans="2:12">
      <c r="B694" s="61"/>
      <c r="C694" s="61"/>
      <c r="D694" s="61"/>
      <c r="J694" s="61"/>
      <c r="L6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5" spans="2:12">
      <c r="B695" s="61"/>
      <c r="C695" s="61"/>
      <c r="D695" s="61"/>
      <c r="J695" s="61"/>
      <c r="L6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6" spans="2:12">
      <c r="B696" s="61"/>
      <c r="C696" s="61"/>
      <c r="D696" s="61"/>
      <c r="J696" s="61"/>
      <c r="L6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7" spans="2:12">
      <c r="B697" s="61"/>
      <c r="C697" s="61"/>
      <c r="D697" s="61"/>
      <c r="J697" s="61"/>
      <c r="L6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8" spans="2:12">
      <c r="B698" s="61"/>
      <c r="C698" s="61"/>
      <c r="D698" s="61"/>
      <c r="J698" s="61"/>
      <c r="L6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699" spans="2:12">
      <c r="B699" s="61"/>
      <c r="C699" s="61"/>
      <c r="D699" s="61"/>
      <c r="J699" s="61"/>
      <c r="L6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0" spans="2:12">
      <c r="B700" s="61"/>
      <c r="C700" s="61"/>
      <c r="D700" s="61"/>
      <c r="J700" s="61"/>
      <c r="L7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1" spans="2:12">
      <c r="B701" s="61"/>
      <c r="C701" s="61"/>
      <c r="D701" s="61"/>
      <c r="J701" s="61"/>
      <c r="L7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2" spans="2:12">
      <c r="B702" s="61"/>
      <c r="C702" s="61"/>
      <c r="D702" s="61"/>
      <c r="J702" s="61"/>
      <c r="L7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3" spans="2:12">
      <c r="B703" s="61"/>
      <c r="C703" s="61"/>
      <c r="D703" s="61"/>
      <c r="J703" s="61"/>
      <c r="L7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4" spans="2:12">
      <c r="B704" s="61"/>
      <c r="C704" s="61"/>
      <c r="D704" s="61"/>
      <c r="J704" s="61"/>
      <c r="L7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5" spans="2:12">
      <c r="B705" s="61"/>
      <c r="C705" s="61"/>
      <c r="D705" s="61"/>
      <c r="J705" s="61"/>
      <c r="L7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6" spans="2:12">
      <c r="B706" s="61"/>
      <c r="C706" s="61"/>
      <c r="D706" s="61"/>
      <c r="J706" s="61"/>
      <c r="L7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7" spans="2:12">
      <c r="B707" s="61"/>
      <c r="C707" s="61"/>
      <c r="D707" s="61"/>
      <c r="J707" s="61"/>
      <c r="L7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8" spans="2:12">
      <c r="B708" s="61"/>
      <c r="C708" s="61"/>
      <c r="D708" s="61"/>
      <c r="J708" s="61"/>
      <c r="L7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09" spans="2:12">
      <c r="B709" s="61"/>
      <c r="C709" s="61"/>
      <c r="D709" s="61"/>
      <c r="J709" s="61"/>
      <c r="L7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0" spans="2:12">
      <c r="B710" s="61"/>
      <c r="C710" s="61"/>
      <c r="D710" s="61"/>
      <c r="J710" s="61"/>
      <c r="L7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1" spans="2:12">
      <c r="B711" s="61"/>
      <c r="C711" s="61"/>
      <c r="D711" s="61"/>
      <c r="J711" s="61"/>
      <c r="L7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2" spans="2:12">
      <c r="B712" s="61"/>
      <c r="C712" s="61"/>
      <c r="D712" s="61"/>
      <c r="J712" s="61"/>
      <c r="L7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3" spans="2:12">
      <c r="B713" s="61"/>
      <c r="C713" s="61"/>
      <c r="D713" s="61"/>
      <c r="J713" s="61"/>
      <c r="L7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4" spans="2:12">
      <c r="B714" s="61"/>
      <c r="C714" s="61"/>
      <c r="D714" s="61"/>
      <c r="J714" s="61"/>
      <c r="L7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5" spans="2:12">
      <c r="B715" s="61"/>
      <c r="C715" s="61"/>
      <c r="D715" s="61"/>
      <c r="J715" s="61"/>
      <c r="L7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6" spans="2:12">
      <c r="B716" s="61"/>
      <c r="C716" s="61"/>
      <c r="D716" s="61"/>
      <c r="J716" s="61"/>
      <c r="L7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7" spans="2:12">
      <c r="B717" s="61"/>
      <c r="C717" s="61"/>
      <c r="D717" s="61"/>
      <c r="J717" s="61"/>
      <c r="L7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8" spans="2:12">
      <c r="B718" s="61"/>
      <c r="C718" s="61"/>
      <c r="D718" s="61"/>
      <c r="J718" s="61"/>
      <c r="L7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19" spans="2:12">
      <c r="B719" s="61"/>
      <c r="C719" s="61"/>
      <c r="D719" s="61"/>
      <c r="J719" s="61"/>
      <c r="L7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0" spans="2:12">
      <c r="B720" s="61"/>
      <c r="C720" s="61"/>
      <c r="D720" s="61"/>
      <c r="J720" s="61"/>
      <c r="L7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1" spans="2:12">
      <c r="B721" s="61"/>
      <c r="C721" s="61"/>
      <c r="D721" s="61"/>
      <c r="J721" s="61"/>
      <c r="L7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2" spans="2:12">
      <c r="B722" s="61"/>
      <c r="C722" s="61"/>
      <c r="D722" s="61"/>
      <c r="J722" s="61"/>
      <c r="L7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3" spans="2:12">
      <c r="B723" s="61"/>
      <c r="C723" s="61"/>
      <c r="D723" s="61"/>
      <c r="J723" s="61"/>
      <c r="L7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4" spans="2:12">
      <c r="B724" s="61"/>
      <c r="C724" s="61"/>
      <c r="D724" s="61"/>
      <c r="J724" s="61"/>
      <c r="L7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5" spans="2:12">
      <c r="B725" s="61"/>
      <c r="C725" s="61"/>
      <c r="D725" s="61"/>
      <c r="J725" s="61"/>
      <c r="L7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6" spans="2:12">
      <c r="B726" s="61"/>
      <c r="C726" s="61"/>
      <c r="D726" s="61"/>
      <c r="J726" s="61"/>
      <c r="L7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7" spans="2:12">
      <c r="B727" s="61"/>
      <c r="C727" s="61"/>
      <c r="D727" s="61"/>
      <c r="J727" s="61"/>
      <c r="L7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8" spans="2:12">
      <c r="B728" s="61"/>
      <c r="C728" s="61"/>
      <c r="D728" s="61"/>
      <c r="J728" s="61"/>
      <c r="L7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29" spans="2:12">
      <c r="B729" s="61"/>
      <c r="C729" s="61"/>
      <c r="D729" s="61"/>
      <c r="J729" s="61"/>
      <c r="L7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0" spans="2:12">
      <c r="B730" s="61"/>
      <c r="C730" s="61"/>
      <c r="D730" s="61"/>
      <c r="J730" s="61"/>
      <c r="L7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1" spans="2:12">
      <c r="B731" s="61"/>
      <c r="C731" s="61"/>
      <c r="D731" s="61"/>
      <c r="J731" s="61"/>
      <c r="L7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2" spans="2:12">
      <c r="B732" s="61"/>
      <c r="C732" s="61"/>
      <c r="D732" s="61"/>
      <c r="J732" s="61"/>
      <c r="L7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3" spans="2:12">
      <c r="B733" s="61"/>
      <c r="C733" s="61"/>
      <c r="D733" s="61"/>
      <c r="J733" s="61"/>
      <c r="L7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4" spans="2:12">
      <c r="B734" s="61"/>
      <c r="C734" s="61"/>
      <c r="D734" s="61"/>
      <c r="J734" s="61"/>
      <c r="L7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5" spans="2:12">
      <c r="B735" s="61"/>
      <c r="C735" s="61"/>
      <c r="D735" s="61"/>
      <c r="J735" s="61"/>
      <c r="L7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6" spans="2:12">
      <c r="B736" s="61"/>
      <c r="C736" s="61"/>
      <c r="D736" s="61"/>
      <c r="J736" s="61"/>
      <c r="L7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7" spans="2:12">
      <c r="B737" s="61"/>
      <c r="C737" s="61"/>
      <c r="D737" s="61"/>
      <c r="J737" s="61"/>
      <c r="L7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8" spans="2:12">
      <c r="B738" s="61"/>
      <c r="C738" s="61"/>
      <c r="D738" s="61"/>
      <c r="J738" s="61"/>
      <c r="L7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39" spans="2:12">
      <c r="B739" s="61"/>
      <c r="C739" s="61"/>
      <c r="D739" s="61"/>
      <c r="J739" s="61"/>
      <c r="L7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0" spans="2:12">
      <c r="B740" s="61"/>
      <c r="C740" s="61"/>
      <c r="D740" s="61"/>
      <c r="J740" s="61"/>
      <c r="L7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1" spans="2:12">
      <c r="B741" s="61"/>
      <c r="C741" s="61"/>
      <c r="D741" s="61"/>
      <c r="J741" s="61"/>
      <c r="L7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2" spans="2:12">
      <c r="B742" s="61"/>
      <c r="C742" s="61"/>
      <c r="D742" s="61"/>
      <c r="J742" s="61"/>
      <c r="L7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3" spans="2:12">
      <c r="B743" s="61"/>
      <c r="C743" s="61"/>
      <c r="D743" s="61"/>
      <c r="J743" s="61"/>
      <c r="L7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4" spans="2:12">
      <c r="B744" s="61"/>
      <c r="C744" s="61"/>
      <c r="D744" s="61"/>
      <c r="J744" s="61"/>
      <c r="L7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5" spans="2:12">
      <c r="B745" s="61"/>
      <c r="C745" s="61"/>
      <c r="D745" s="61"/>
      <c r="J745" s="61"/>
      <c r="L7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6" spans="2:12">
      <c r="B746" s="61"/>
      <c r="C746" s="61"/>
      <c r="D746" s="61"/>
      <c r="J746" s="61"/>
      <c r="L7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7" spans="2:12">
      <c r="B747" s="61"/>
      <c r="C747" s="61"/>
      <c r="D747" s="61"/>
      <c r="J747" s="61"/>
      <c r="L7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8" spans="2:12">
      <c r="B748" s="61"/>
      <c r="C748" s="61"/>
      <c r="D748" s="61"/>
      <c r="J748" s="61"/>
      <c r="L7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49" spans="2:12">
      <c r="B749" s="61"/>
      <c r="C749" s="61"/>
      <c r="D749" s="61"/>
      <c r="J749" s="61"/>
      <c r="L7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0" spans="2:12">
      <c r="B750" s="61"/>
      <c r="C750" s="61"/>
      <c r="D750" s="61"/>
      <c r="J750" s="61"/>
      <c r="L7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1" spans="2:12">
      <c r="B751" s="61"/>
      <c r="C751" s="61"/>
      <c r="D751" s="61"/>
      <c r="J751" s="61"/>
      <c r="L7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2" spans="2:12">
      <c r="B752" s="61"/>
      <c r="C752" s="61"/>
      <c r="D752" s="61"/>
      <c r="J752" s="61"/>
      <c r="L7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3" spans="2:12">
      <c r="B753" s="61"/>
      <c r="C753" s="61"/>
      <c r="D753" s="61"/>
      <c r="J753" s="61"/>
      <c r="L7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4" spans="2:12">
      <c r="B754" s="61"/>
      <c r="C754" s="61"/>
      <c r="D754" s="61"/>
      <c r="J754" s="61"/>
      <c r="L7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5" spans="2:12">
      <c r="B755" s="61"/>
      <c r="C755" s="61"/>
      <c r="D755" s="61"/>
      <c r="J755" s="61"/>
      <c r="L7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6" spans="2:12">
      <c r="B756" s="61"/>
      <c r="C756" s="61"/>
      <c r="D756" s="61"/>
      <c r="J756" s="61"/>
      <c r="L7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7" spans="2:12">
      <c r="B757" s="61"/>
      <c r="C757" s="61"/>
      <c r="D757" s="61"/>
      <c r="J757" s="61"/>
      <c r="L7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8" spans="2:12">
      <c r="B758" s="61"/>
      <c r="C758" s="61"/>
      <c r="D758" s="61"/>
      <c r="J758" s="61"/>
      <c r="L7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59" spans="2:12">
      <c r="B759" s="61"/>
      <c r="C759" s="61"/>
      <c r="D759" s="61"/>
      <c r="J759" s="61"/>
      <c r="L7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0" spans="2:12">
      <c r="B760" s="61"/>
      <c r="C760" s="61"/>
      <c r="D760" s="61"/>
      <c r="J760" s="61"/>
      <c r="L7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1" spans="2:12">
      <c r="B761" s="61"/>
      <c r="C761" s="61"/>
      <c r="D761" s="61"/>
      <c r="J761" s="61"/>
      <c r="L7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2" spans="2:12">
      <c r="B762" s="61"/>
      <c r="C762" s="61"/>
      <c r="D762" s="61"/>
      <c r="J762" s="61"/>
      <c r="L7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3" spans="2:12">
      <c r="B763" s="61"/>
      <c r="C763" s="61"/>
      <c r="D763" s="61"/>
      <c r="J763" s="61"/>
      <c r="L7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4" spans="2:12">
      <c r="B764" s="61"/>
      <c r="C764" s="61"/>
      <c r="D764" s="61"/>
      <c r="J764" s="61"/>
      <c r="L7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5" spans="2:12">
      <c r="B765" s="61"/>
      <c r="C765" s="61"/>
      <c r="D765" s="61"/>
      <c r="J765" s="61"/>
      <c r="L7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6" spans="2:12">
      <c r="B766" s="61"/>
      <c r="C766" s="61"/>
      <c r="D766" s="61"/>
      <c r="J766" s="61"/>
      <c r="L7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7" spans="2:12">
      <c r="B767" s="61"/>
      <c r="C767" s="61"/>
      <c r="D767" s="61"/>
      <c r="J767" s="61"/>
      <c r="L7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8" spans="2:12">
      <c r="B768" s="61"/>
      <c r="C768" s="61"/>
      <c r="D768" s="61"/>
      <c r="J768" s="61"/>
      <c r="L7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69" spans="2:12">
      <c r="B769" s="61"/>
      <c r="C769" s="61"/>
      <c r="D769" s="61"/>
      <c r="J769" s="61"/>
      <c r="L7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0" spans="2:12">
      <c r="B770" s="61"/>
      <c r="C770" s="61"/>
      <c r="D770" s="61"/>
      <c r="J770" s="61"/>
      <c r="L7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1" spans="2:12">
      <c r="B771" s="61"/>
      <c r="C771" s="61"/>
      <c r="D771" s="61"/>
      <c r="J771" s="61"/>
      <c r="L7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2" spans="2:12">
      <c r="B772" s="61"/>
      <c r="C772" s="61"/>
      <c r="D772" s="61"/>
      <c r="J772" s="61"/>
      <c r="L7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3" spans="2:12">
      <c r="B773" s="61"/>
      <c r="C773" s="61"/>
      <c r="D773" s="61"/>
      <c r="J773" s="61"/>
      <c r="L7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4" spans="2:12">
      <c r="B774" s="61"/>
      <c r="C774" s="61"/>
      <c r="D774" s="61"/>
      <c r="J774" s="61"/>
      <c r="L7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5" spans="2:12">
      <c r="B775" s="61"/>
      <c r="C775" s="61"/>
      <c r="D775" s="61"/>
      <c r="J775" s="61"/>
      <c r="L7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6" spans="2:12">
      <c r="B776" s="61"/>
      <c r="C776" s="61"/>
      <c r="D776" s="61"/>
      <c r="J776" s="61"/>
      <c r="L7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7" spans="2:12">
      <c r="B777" s="61"/>
      <c r="C777" s="61"/>
      <c r="D777" s="61"/>
      <c r="J777" s="61"/>
      <c r="L7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8" spans="2:12">
      <c r="B778" s="61"/>
      <c r="C778" s="61"/>
      <c r="D778" s="61"/>
      <c r="J778" s="61"/>
      <c r="L7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79" spans="2:12">
      <c r="B779" s="61"/>
      <c r="C779" s="61"/>
      <c r="D779" s="61"/>
      <c r="J779" s="61"/>
      <c r="L7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0" spans="2:12">
      <c r="B780" s="61"/>
      <c r="C780" s="61"/>
      <c r="D780" s="61"/>
      <c r="J780" s="61"/>
      <c r="L7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1" spans="2:12">
      <c r="B781" s="61"/>
      <c r="C781" s="61"/>
      <c r="D781" s="61"/>
      <c r="J781" s="61"/>
      <c r="L7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2" spans="2:12">
      <c r="B782" s="61"/>
      <c r="C782" s="61"/>
      <c r="D782" s="61"/>
      <c r="J782" s="61"/>
      <c r="L7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3" spans="2:12">
      <c r="B783" s="61"/>
      <c r="C783" s="61"/>
      <c r="D783" s="61"/>
      <c r="J783" s="61"/>
      <c r="L7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4" spans="2:12">
      <c r="B784" s="61"/>
      <c r="C784" s="61"/>
      <c r="D784" s="61"/>
      <c r="J784" s="61"/>
      <c r="L7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5" spans="2:12">
      <c r="B785" s="61"/>
      <c r="C785" s="61"/>
      <c r="D785" s="61"/>
      <c r="J785" s="61"/>
      <c r="L7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6" spans="2:12">
      <c r="B786" s="61"/>
      <c r="C786" s="61"/>
      <c r="D786" s="61"/>
      <c r="J786" s="61"/>
      <c r="L7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7" spans="2:12">
      <c r="B787" s="61"/>
      <c r="C787" s="61"/>
      <c r="D787" s="61"/>
      <c r="J787" s="61"/>
      <c r="L7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8" spans="2:12">
      <c r="B788" s="61"/>
      <c r="C788" s="61"/>
      <c r="D788" s="61"/>
      <c r="J788" s="61"/>
      <c r="L7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89" spans="2:12">
      <c r="B789" s="61"/>
      <c r="C789" s="61"/>
      <c r="D789" s="61"/>
      <c r="J789" s="61"/>
      <c r="L7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0" spans="2:12">
      <c r="B790" s="61"/>
      <c r="C790" s="61"/>
      <c r="D790" s="61"/>
      <c r="J790" s="61"/>
      <c r="L7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1" spans="2:12">
      <c r="B791" s="61"/>
      <c r="C791" s="61"/>
      <c r="D791" s="61"/>
      <c r="J791" s="61"/>
      <c r="L7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2" spans="2:12">
      <c r="B792" s="61"/>
      <c r="C792" s="61"/>
      <c r="D792" s="61"/>
      <c r="J792" s="61"/>
      <c r="L7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3" spans="2:12">
      <c r="B793" s="61"/>
      <c r="C793" s="61"/>
      <c r="D793" s="61"/>
      <c r="J793" s="61"/>
      <c r="L7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4" spans="2:12">
      <c r="B794" s="61"/>
      <c r="C794" s="61"/>
      <c r="D794" s="61"/>
      <c r="J794" s="61"/>
      <c r="L7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5" spans="2:12">
      <c r="B795" s="61"/>
      <c r="C795" s="61"/>
      <c r="D795" s="61"/>
      <c r="J795" s="61"/>
      <c r="L7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6" spans="2:12">
      <c r="B796" s="61"/>
      <c r="C796" s="61"/>
      <c r="D796" s="61"/>
      <c r="J796" s="61"/>
      <c r="L7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7" spans="2:12">
      <c r="B797" s="61"/>
      <c r="C797" s="61"/>
      <c r="D797" s="61"/>
      <c r="J797" s="61"/>
      <c r="L7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8" spans="2:12">
      <c r="B798" s="61"/>
      <c r="C798" s="61"/>
      <c r="D798" s="61"/>
      <c r="J798" s="61"/>
      <c r="L7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799" spans="2:12">
      <c r="B799" s="61"/>
      <c r="C799" s="61"/>
      <c r="D799" s="61"/>
      <c r="J799" s="61"/>
      <c r="L7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0" spans="2:12">
      <c r="B800" s="61"/>
      <c r="C800" s="61"/>
      <c r="D800" s="61"/>
      <c r="J800" s="61"/>
      <c r="L8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1" spans="2:12">
      <c r="B801" s="61"/>
      <c r="C801" s="61"/>
      <c r="D801" s="61"/>
      <c r="J801" s="61"/>
      <c r="L8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2" spans="2:12">
      <c r="B802" s="61"/>
      <c r="C802" s="61"/>
      <c r="D802" s="61"/>
      <c r="J802" s="61"/>
      <c r="L8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3" spans="2:12">
      <c r="B803" s="61"/>
      <c r="C803" s="61"/>
      <c r="D803" s="61"/>
      <c r="J803" s="61"/>
      <c r="L8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4" spans="2:12">
      <c r="B804" s="61"/>
      <c r="C804" s="61"/>
      <c r="D804" s="61"/>
      <c r="J804" s="61"/>
      <c r="L8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5" spans="2:12">
      <c r="B805" s="61"/>
      <c r="C805" s="61"/>
      <c r="D805" s="61"/>
      <c r="J805" s="61"/>
      <c r="L8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6" spans="2:12">
      <c r="B806" s="61"/>
      <c r="C806" s="61"/>
      <c r="D806" s="61"/>
      <c r="J806" s="61"/>
      <c r="L8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7" spans="2:12">
      <c r="B807" s="61"/>
      <c r="C807" s="61"/>
      <c r="D807" s="61"/>
      <c r="J807" s="61"/>
      <c r="L8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8" spans="2:12">
      <c r="B808" s="61"/>
      <c r="C808" s="61"/>
      <c r="D808" s="61"/>
      <c r="J808" s="61"/>
      <c r="L8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09" spans="2:12">
      <c r="B809" s="61"/>
      <c r="C809" s="61"/>
      <c r="D809" s="61"/>
      <c r="J809" s="61"/>
      <c r="L8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0" spans="2:12">
      <c r="B810" s="61"/>
      <c r="C810" s="61"/>
      <c r="D810" s="61"/>
      <c r="J810" s="61"/>
      <c r="L8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1" spans="2:12">
      <c r="B811" s="61"/>
      <c r="C811" s="61"/>
      <c r="D811" s="61"/>
      <c r="J811" s="61"/>
      <c r="L8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2" spans="2:12">
      <c r="B812" s="61"/>
      <c r="C812" s="61"/>
      <c r="D812" s="61"/>
      <c r="J812" s="61"/>
      <c r="L8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3" spans="2:12">
      <c r="B813" s="61"/>
      <c r="C813" s="61"/>
      <c r="D813" s="61"/>
      <c r="J813" s="61"/>
      <c r="L8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4" spans="2:12">
      <c r="B814" s="61"/>
      <c r="C814" s="61"/>
      <c r="D814" s="61"/>
      <c r="J814" s="61"/>
      <c r="L8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5" spans="2:12">
      <c r="B815" s="61"/>
      <c r="C815" s="61"/>
      <c r="D815" s="61"/>
      <c r="J815" s="61"/>
      <c r="L8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6" spans="2:12">
      <c r="B816" s="61"/>
      <c r="C816" s="61"/>
      <c r="D816" s="61"/>
      <c r="J816" s="61"/>
      <c r="L8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7" spans="2:12">
      <c r="B817" s="61"/>
      <c r="C817" s="61"/>
      <c r="D817" s="61"/>
      <c r="J817" s="61"/>
      <c r="L8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8" spans="2:12">
      <c r="B818" s="61"/>
      <c r="C818" s="61"/>
      <c r="D818" s="61"/>
      <c r="J818" s="61"/>
      <c r="L8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19" spans="2:12">
      <c r="B819" s="61"/>
      <c r="C819" s="61"/>
      <c r="D819" s="61"/>
      <c r="J819" s="61"/>
      <c r="L8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0" spans="2:12">
      <c r="B820" s="61"/>
      <c r="C820" s="61"/>
      <c r="D820" s="61"/>
      <c r="J820" s="61"/>
      <c r="L8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1" spans="2:12">
      <c r="B821" s="61"/>
      <c r="C821" s="61"/>
      <c r="D821" s="61"/>
      <c r="J821" s="61"/>
      <c r="L8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2" spans="2:12">
      <c r="B822" s="61"/>
      <c r="C822" s="61"/>
      <c r="D822" s="61"/>
      <c r="J822" s="61"/>
      <c r="L8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3" spans="2:12">
      <c r="B823" s="61"/>
      <c r="C823" s="61"/>
      <c r="D823" s="61"/>
      <c r="J823" s="61"/>
      <c r="L8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4" spans="2:12">
      <c r="B824" s="61"/>
      <c r="C824" s="61"/>
      <c r="D824" s="61"/>
      <c r="J824" s="61"/>
      <c r="L8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5" spans="2:12">
      <c r="B825" s="61"/>
      <c r="C825" s="61"/>
      <c r="D825" s="61"/>
      <c r="J825" s="61"/>
      <c r="L8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6" spans="2:12">
      <c r="B826" s="61"/>
      <c r="C826" s="61"/>
      <c r="D826" s="61"/>
      <c r="J826" s="61"/>
      <c r="L8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7" spans="2:12">
      <c r="B827" s="61"/>
      <c r="C827" s="61"/>
      <c r="D827" s="61"/>
      <c r="J827" s="61"/>
      <c r="L8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8" spans="2:12">
      <c r="B828" s="61"/>
      <c r="C828" s="61"/>
      <c r="D828" s="61"/>
      <c r="J828" s="61"/>
      <c r="L8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29" spans="2:12">
      <c r="B829" s="61"/>
      <c r="C829" s="61"/>
      <c r="D829" s="61"/>
      <c r="J829" s="61"/>
      <c r="L8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0" spans="2:12">
      <c r="B830" s="61"/>
      <c r="C830" s="61"/>
      <c r="D830" s="61"/>
      <c r="J830" s="61"/>
      <c r="L8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1" spans="2:12">
      <c r="B831" s="61"/>
      <c r="C831" s="61"/>
      <c r="D831" s="61"/>
      <c r="J831" s="61"/>
      <c r="L8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2" spans="2:12">
      <c r="B832" s="61"/>
      <c r="C832" s="61"/>
      <c r="D832" s="61"/>
      <c r="J832" s="61"/>
      <c r="L8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3" spans="2:12">
      <c r="B833" s="61"/>
      <c r="C833" s="61"/>
      <c r="D833" s="61"/>
      <c r="J833" s="61"/>
      <c r="L8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4" spans="2:12">
      <c r="B834" s="61"/>
      <c r="C834" s="61"/>
      <c r="D834" s="61"/>
      <c r="J834" s="61"/>
      <c r="L8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5" spans="2:12">
      <c r="B835" s="61"/>
      <c r="C835" s="61"/>
      <c r="D835" s="61"/>
      <c r="J835" s="61"/>
      <c r="L8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6" spans="2:12">
      <c r="B836" s="61"/>
      <c r="C836" s="61"/>
      <c r="D836" s="61"/>
      <c r="J836" s="61"/>
      <c r="L8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7" spans="2:12">
      <c r="B837" s="61"/>
      <c r="C837" s="61"/>
      <c r="D837" s="61"/>
      <c r="J837" s="61"/>
      <c r="L8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8" spans="2:12">
      <c r="B838" s="61"/>
      <c r="C838" s="61"/>
      <c r="D838" s="61"/>
      <c r="J838" s="61"/>
      <c r="L8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39" spans="2:12">
      <c r="B839" s="61"/>
      <c r="C839" s="61"/>
      <c r="D839" s="61"/>
      <c r="J839" s="61"/>
      <c r="L8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0" spans="2:12">
      <c r="B840" s="61"/>
      <c r="C840" s="61"/>
      <c r="D840" s="61"/>
      <c r="J840" s="61"/>
      <c r="L8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1" spans="2:12">
      <c r="B841" s="61"/>
      <c r="C841" s="61"/>
      <c r="D841" s="61"/>
      <c r="J841" s="61"/>
      <c r="L8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2" spans="2:12">
      <c r="B842" s="61"/>
      <c r="C842" s="61"/>
      <c r="D842" s="61"/>
      <c r="J842" s="61"/>
      <c r="L8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3" spans="2:12">
      <c r="B843" s="61"/>
      <c r="C843" s="61"/>
      <c r="D843" s="61"/>
      <c r="J843" s="61"/>
      <c r="L8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4" spans="2:12">
      <c r="B844" s="61"/>
      <c r="C844" s="61"/>
      <c r="D844" s="61"/>
      <c r="J844" s="61"/>
      <c r="L8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5" spans="2:12">
      <c r="B845" s="61"/>
      <c r="C845" s="61"/>
      <c r="D845" s="61"/>
      <c r="J845" s="61"/>
      <c r="L8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6" spans="2:12">
      <c r="B846" s="61"/>
      <c r="C846" s="61"/>
      <c r="D846" s="61"/>
      <c r="J846" s="61"/>
      <c r="L8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7" spans="2:12">
      <c r="B847" s="61"/>
      <c r="C847" s="61"/>
      <c r="D847" s="61"/>
      <c r="J847" s="61"/>
      <c r="L8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8" spans="2:12">
      <c r="B848" s="61"/>
      <c r="C848" s="61"/>
      <c r="D848" s="61"/>
      <c r="J848" s="61"/>
      <c r="L8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49" spans="2:12">
      <c r="B849" s="61"/>
      <c r="C849" s="61"/>
      <c r="D849" s="61"/>
      <c r="J849" s="61"/>
      <c r="L8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0" spans="2:12">
      <c r="B850" s="61"/>
      <c r="C850" s="61"/>
      <c r="D850" s="61"/>
      <c r="J850" s="61"/>
      <c r="L8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1" spans="2:12">
      <c r="B851" s="61"/>
      <c r="C851" s="61"/>
      <c r="D851" s="61"/>
      <c r="J851" s="61"/>
      <c r="L8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2" spans="2:12">
      <c r="B852" s="61"/>
      <c r="C852" s="61"/>
      <c r="D852" s="61"/>
      <c r="J852" s="61"/>
      <c r="L8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3" spans="2:12">
      <c r="B853" s="61"/>
      <c r="C853" s="61"/>
      <c r="D853" s="61"/>
      <c r="J853" s="61"/>
      <c r="L8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4" spans="2:12">
      <c r="B854" s="61"/>
      <c r="C854" s="61"/>
      <c r="D854" s="61"/>
      <c r="J854" s="61"/>
      <c r="L8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5" spans="2:12">
      <c r="B855" s="61"/>
      <c r="C855" s="61"/>
      <c r="D855" s="61"/>
      <c r="J855" s="61"/>
      <c r="L8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6" spans="2:12">
      <c r="B856" s="61"/>
      <c r="C856" s="61"/>
      <c r="D856" s="61"/>
      <c r="J856" s="61"/>
      <c r="L8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7" spans="2:12">
      <c r="B857" s="61"/>
      <c r="C857" s="61"/>
      <c r="D857" s="61"/>
      <c r="J857" s="61"/>
      <c r="L8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8" spans="2:12">
      <c r="B858" s="61"/>
      <c r="C858" s="61"/>
      <c r="D858" s="61"/>
      <c r="J858" s="61"/>
      <c r="L8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59" spans="2:12">
      <c r="B859" s="61"/>
      <c r="C859" s="61"/>
      <c r="D859" s="61"/>
      <c r="J859" s="61"/>
      <c r="L8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0" spans="2:12">
      <c r="B860" s="61"/>
      <c r="C860" s="61"/>
      <c r="D860" s="61"/>
      <c r="J860" s="61"/>
      <c r="L8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1" spans="2:12">
      <c r="B861" s="61"/>
      <c r="C861" s="61"/>
      <c r="D861" s="61"/>
      <c r="J861" s="61"/>
      <c r="L8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2" spans="2:12">
      <c r="B862" s="61"/>
      <c r="C862" s="61"/>
      <c r="D862" s="61"/>
      <c r="J862" s="61"/>
      <c r="L8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3" spans="2:12">
      <c r="B863" s="61"/>
      <c r="C863" s="61"/>
      <c r="D863" s="61"/>
      <c r="J863" s="61"/>
      <c r="L8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4" spans="2:12">
      <c r="B864" s="61"/>
      <c r="C864" s="61"/>
      <c r="D864" s="61"/>
      <c r="J864" s="61"/>
      <c r="L8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5" spans="2:12">
      <c r="B865" s="61"/>
      <c r="C865" s="61"/>
      <c r="D865" s="61"/>
      <c r="J865" s="61"/>
      <c r="L8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6" spans="2:12">
      <c r="B866" s="61"/>
      <c r="C866" s="61"/>
      <c r="D866" s="61"/>
      <c r="J866" s="61"/>
      <c r="L8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7" spans="2:12">
      <c r="B867" s="61"/>
      <c r="C867" s="61"/>
      <c r="D867" s="61"/>
      <c r="J867" s="61"/>
      <c r="L8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8" spans="2:12">
      <c r="B868" s="61"/>
      <c r="C868" s="61"/>
      <c r="D868" s="61"/>
      <c r="J868" s="61"/>
      <c r="L8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69" spans="2:12">
      <c r="B869" s="61"/>
      <c r="C869" s="61"/>
      <c r="D869" s="61"/>
      <c r="J869" s="61"/>
      <c r="L8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0" spans="2:12">
      <c r="B870" s="61"/>
      <c r="C870" s="61"/>
      <c r="D870" s="61"/>
      <c r="J870" s="61"/>
      <c r="L8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1" spans="2:12">
      <c r="B871" s="61"/>
      <c r="C871" s="61"/>
      <c r="D871" s="61"/>
      <c r="J871" s="61"/>
      <c r="L8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2" spans="2:12">
      <c r="B872" s="61"/>
      <c r="C872" s="61"/>
      <c r="D872" s="61"/>
      <c r="J872" s="61"/>
      <c r="L8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3" spans="2:12">
      <c r="B873" s="61"/>
      <c r="C873" s="61"/>
      <c r="D873" s="61"/>
      <c r="J873" s="61"/>
      <c r="L8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4" spans="2:12">
      <c r="B874" s="61"/>
      <c r="C874" s="61"/>
      <c r="D874" s="61"/>
      <c r="J874" s="61"/>
      <c r="L8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5" spans="2:12">
      <c r="B875" s="61"/>
      <c r="C875" s="61"/>
      <c r="D875" s="61"/>
      <c r="J875" s="61"/>
      <c r="L8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6" spans="2:12">
      <c r="B876" s="61"/>
      <c r="C876" s="61"/>
      <c r="D876" s="61"/>
      <c r="J876" s="61"/>
      <c r="L8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7" spans="2:12">
      <c r="B877" s="61"/>
      <c r="C877" s="61"/>
      <c r="D877" s="61"/>
      <c r="J877" s="61"/>
      <c r="L8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8" spans="2:12">
      <c r="B878" s="61"/>
      <c r="C878" s="61"/>
      <c r="D878" s="61"/>
      <c r="J878" s="61"/>
      <c r="L8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79" spans="2:12">
      <c r="B879" s="61"/>
      <c r="C879" s="61"/>
      <c r="D879" s="61"/>
      <c r="J879" s="61"/>
      <c r="L8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0" spans="2:12">
      <c r="B880" s="61"/>
      <c r="C880" s="61"/>
      <c r="D880" s="61"/>
      <c r="J880" s="61"/>
      <c r="L8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1" spans="2:12">
      <c r="B881" s="61"/>
      <c r="C881" s="61"/>
      <c r="D881" s="61"/>
      <c r="J881" s="61"/>
      <c r="L8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2" spans="2:12">
      <c r="B882" s="61"/>
      <c r="C882" s="61"/>
      <c r="D882" s="61"/>
      <c r="J882" s="61"/>
      <c r="L8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3" spans="2:12">
      <c r="B883" s="61"/>
      <c r="C883" s="61"/>
      <c r="D883" s="61"/>
      <c r="J883" s="61"/>
      <c r="L8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4" spans="2:12">
      <c r="B884" s="61"/>
      <c r="C884" s="61"/>
      <c r="D884" s="61"/>
      <c r="J884" s="61"/>
      <c r="L8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5" spans="2:12">
      <c r="B885" s="61"/>
      <c r="C885" s="61"/>
      <c r="D885" s="61"/>
      <c r="J885" s="61"/>
      <c r="L8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6" spans="2:12">
      <c r="B886" s="61"/>
      <c r="C886" s="61"/>
      <c r="D886" s="61"/>
      <c r="J886" s="61"/>
      <c r="L8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7" spans="2:12">
      <c r="B887" s="61"/>
      <c r="C887" s="61"/>
      <c r="D887" s="61"/>
      <c r="J887" s="61"/>
      <c r="L8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8" spans="2:12">
      <c r="B888" s="61"/>
      <c r="C888" s="61"/>
      <c r="D888" s="61"/>
      <c r="J888" s="61"/>
      <c r="L8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89" spans="2:12">
      <c r="B889" s="61"/>
      <c r="C889" s="61"/>
      <c r="D889" s="61"/>
      <c r="J889" s="61"/>
      <c r="L8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0" spans="2:12">
      <c r="B890" s="61"/>
      <c r="C890" s="61"/>
      <c r="D890" s="61"/>
      <c r="J890" s="61"/>
      <c r="L8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1" spans="2:12">
      <c r="B891" s="61"/>
      <c r="C891" s="61"/>
      <c r="D891" s="61"/>
      <c r="J891" s="61"/>
      <c r="L8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2" spans="2:12">
      <c r="B892" s="61"/>
      <c r="C892" s="61"/>
      <c r="D892" s="61"/>
      <c r="J892" s="61"/>
      <c r="L8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3" spans="2:12">
      <c r="B893" s="61"/>
      <c r="C893" s="61"/>
      <c r="D893" s="61"/>
      <c r="J893" s="61"/>
      <c r="L8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4" spans="2:12">
      <c r="B894" s="61"/>
      <c r="C894" s="61"/>
      <c r="D894" s="61"/>
      <c r="J894" s="61"/>
      <c r="L8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5" spans="2:12">
      <c r="B895" s="61"/>
      <c r="C895" s="61"/>
      <c r="D895" s="61"/>
      <c r="J895" s="61"/>
      <c r="L8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6" spans="2:12">
      <c r="B896" s="61"/>
      <c r="C896" s="61"/>
      <c r="D896" s="61"/>
      <c r="J896" s="61"/>
      <c r="L8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7" spans="2:12">
      <c r="B897" s="61"/>
      <c r="C897" s="61"/>
      <c r="D897" s="61"/>
      <c r="J897" s="61"/>
      <c r="L8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8" spans="2:12">
      <c r="B898" s="61"/>
      <c r="C898" s="61"/>
      <c r="D898" s="61"/>
      <c r="J898" s="61"/>
      <c r="L8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899" spans="2:12">
      <c r="B899" s="61"/>
      <c r="C899" s="61"/>
      <c r="D899" s="61"/>
      <c r="J899" s="61"/>
      <c r="L8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0" spans="2:12">
      <c r="B900" s="61"/>
      <c r="C900" s="61"/>
      <c r="D900" s="61"/>
      <c r="J900" s="61"/>
      <c r="L9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1" spans="2:12">
      <c r="B901" s="61"/>
      <c r="C901" s="61"/>
      <c r="D901" s="61"/>
      <c r="J901" s="61"/>
      <c r="L9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2" spans="2:12">
      <c r="B902" s="61"/>
      <c r="C902" s="61"/>
      <c r="D902" s="61"/>
      <c r="J902" s="61"/>
      <c r="L9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3" spans="2:12">
      <c r="B903" s="61"/>
      <c r="C903" s="61"/>
      <c r="D903" s="61"/>
      <c r="J903" s="61"/>
      <c r="L9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4" spans="2:12">
      <c r="B904" s="61"/>
      <c r="C904" s="61"/>
      <c r="D904" s="61"/>
      <c r="J904" s="61"/>
      <c r="L9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5" spans="2:12">
      <c r="B905" s="61"/>
      <c r="C905" s="61"/>
      <c r="D905" s="61"/>
      <c r="J905" s="61"/>
      <c r="L9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6" spans="2:12">
      <c r="B906" s="61"/>
      <c r="C906" s="61"/>
      <c r="D906" s="61"/>
      <c r="J906" s="61"/>
      <c r="L90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7" spans="2:12">
      <c r="B907" s="61"/>
      <c r="C907" s="61"/>
      <c r="D907" s="61"/>
      <c r="J907" s="61"/>
      <c r="L90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8" spans="2:12">
      <c r="B908" s="61"/>
      <c r="C908" s="61"/>
      <c r="D908" s="61"/>
      <c r="J908" s="61"/>
      <c r="L90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09" spans="2:12">
      <c r="B909" s="61"/>
      <c r="C909" s="61"/>
      <c r="D909" s="61"/>
      <c r="J909" s="61"/>
      <c r="L90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0" spans="2:12">
      <c r="B910" s="61"/>
      <c r="C910" s="61"/>
      <c r="D910" s="61"/>
      <c r="J910" s="61"/>
      <c r="L91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1" spans="2:12">
      <c r="B911" s="61"/>
      <c r="C911" s="61"/>
      <c r="D911" s="61"/>
      <c r="J911" s="61"/>
      <c r="L91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2" spans="2:12">
      <c r="B912" s="61"/>
      <c r="C912" s="61"/>
      <c r="D912" s="61"/>
      <c r="J912" s="61"/>
      <c r="L91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3" spans="2:12">
      <c r="B913" s="61"/>
      <c r="C913" s="61"/>
      <c r="D913" s="61"/>
      <c r="J913" s="61"/>
      <c r="L91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4" spans="2:12">
      <c r="B914" s="61"/>
      <c r="C914" s="61"/>
      <c r="D914" s="61"/>
      <c r="J914" s="61"/>
      <c r="L91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5" spans="2:12">
      <c r="B915" s="61"/>
      <c r="C915" s="61"/>
      <c r="D915" s="61"/>
      <c r="J915" s="61"/>
      <c r="L91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6" spans="2:12">
      <c r="B916" s="61"/>
      <c r="C916" s="61"/>
      <c r="D916" s="61"/>
      <c r="J916" s="61"/>
      <c r="L91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7" spans="2:12">
      <c r="B917" s="61"/>
      <c r="C917" s="61"/>
      <c r="D917" s="61"/>
      <c r="J917" s="61"/>
      <c r="L91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8" spans="2:12">
      <c r="B918" s="61"/>
      <c r="C918" s="61"/>
      <c r="D918" s="61"/>
      <c r="J918" s="61"/>
      <c r="L91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19" spans="2:12">
      <c r="B919" s="61"/>
      <c r="C919" s="61"/>
      <c r="D919" s="61"/>
      <c r="J919" s="61"/>
      <c r="L91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0" spans="2:12">
      <c r="B920" s="61"/>
      <c r="C920" s="61"/>
      <c r="D920" s="61"/>
      <c r="J920" s="61"/>
      <c r="L92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1" spans="2:12">
      <c r="B921" s="61"/>
      <c r="C921" s="61"/>
      <c r="D921" s="61"/>
      <c r="J921" s="61"/>
      <c r="L92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2" spans="2:12">
      <c r="B922" s="61"/>
      <c r="C922" s="61"/>
      <c r="D922" s="61"/>
      <c r="J922" s="61"/>
      <c r="L92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3" spans="2:12">
      <c r="B923" s="61"/>
      <c r="C923" s="61"/>
      <c r="D923" s="61"/>
      <c r="J923" s="61"/>
      <c r="L92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4" spans="2:12">
      <c r="B924" s="61"/>
      <c r="C924" s="61"/>
      <c r="D924" s="61"/>
      <c r="J924" s="61"/>
      <c r="L92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5" spans="2:12">
      <c r="B925" s="61"/>
      <c r="C925" s="61"/>
      <c r="D925" s="61"/>
      <c r="J925" s="61"/>
      <c r="L92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6" spans="2:12">
      <c r="B926" s="61"/>
      <c r="C926" s="61"/>
      <c r="D926" s="61"/>
      <c r="J926" s="61"/>
      <c r="L92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7" spans="2:12">
      <c r="B927" s="61"/>
      <c r="C927" s="61"/>
      <c r="D927" s="61"/>
      <c r="J927" s="61"/>
      <c r="L92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8" spans="2:12">
      <c r="B928" s="61"/>
      <c r="C928" s="61"/>
      <c r="D928" s="61"/>
      <c r="J928" s="61"/>
      <c r="L92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29" spans="2:12">
      <c r="B929" s="61"/>
      <c r="C929" s="61"/>
      <c r="D929" s="61"/>
      <c r="J929" s="61"/>
      <c r="L92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0" spans="2:12">
      <c r="B930" s="61"/>
      <c r="C930" s="61"/>
      <c r="D930" s="61"/>
      <c r="J930" s="61"/>
      <c r="L93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1" spans="2:12">
      <c r="B931" s="61"/>
      <c r="C931" s="61"/>
      <c r="D931" s="61"/>
      <c r="J931" s="61"/>
      <c r="L93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2" spans="2:12">
      <c r="B932" s="61"/>
      <c r="C932" s="61"/>
      <c r="D932" s="61"/>
      <c r="J932" s="61"/>
      <c r="L93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3" spans="2:12">
      <c r="B933" s="61"/>
      <c r="C933" s="61"/>
      <c r="D933" s="61"/>
      <c r="J933" s="61"/>
      <c r="L93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4" spans="2:12">
      <c r="B934" s="61"/>
      <c r="C934" s="61"/>
      <c r="D934" s="61"/>
      <c r="J934" s="61"/>
      <c r="L93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5" spans="2:12">
      <c r="B935" s="61"/>
      <c r="C935" s="61"/>
      <c r="D935" s="61"/>
      <c r="J935" s="61"/>
      <c r="L93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6" spans="2:12">
      <c r="B936" s="61"/>
      <c r="C936" s="61"/>
      <c r="D936" s="61"/>
      <c r="J936" s="61"/>
      <c r="L93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7" spans="2:12">
      <c r="B937" s="61"/>
      <c r="C937" s="61"/>
      <c r="D937" s="61"/>
      <c r="J937" s="61"/>
      <c r="L93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8" spans="2:12">
      <c r="B938" s="61"/>
      <c r="C938" s="61"/>
      <c r="D938" s="61"/>
      <c r="J938" s="61"/>
      <c r="L93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39" spans="2:12">
      <c r="B939" s="61"/>
      <c r="C939" s="61"/>
      <c r="D939" s="61"/>
      <c r="J939" s="61"/>
      <c r="L93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0" spans="2:12">
      <c r="B940" s="61"/>
      <c r="C940" s="61"/>
      <c r="D940" s="61"/>
      <c r="J940" s="61"/>
      <c r="L94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1" spans="2:12">
      <c r="B941" s="61"/>
      <c r="C941" s="61"/>
      <c r="D941" s="61"/>
      <c r="J941" s="61"/>
      <c r="L94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2" spans="2:12">
      <c r="B942" s="61"/>
      <c r="C942" s="61"/>
      <c r="D942" s="61"/>
      <c r="J942" s="61"/>
      <c r="L94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3" spans="2:12">
      <c r="B943" s="61"/>
      <c r="C943" s="61"/>
      <c r="D943" s="61"/>
      <c r="J943" s="61"/>
      <c r="L94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4" spans="2:12">
      <c r="B944" s="61"/>
      <c r="C944" s="61"/>
      <c r="D944" s="61"/>
      <c r="J944" s="61"/>
      <c r="L94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5" spans="2:12">
      <c r="B945" s="61"/>
      <c r="C945" s="61"/>
      <c r="D945" s="61"/>
      <c r="J945" s="61"/>
      <c r="L94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6" spans="2:12">
      <c r="B946" s="61"/>
      <c r="C946" s="61"/>
      <c r="D946" s="61"/>
      <c r="J946" s="61"/>
      <c r="L94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7" spans="2:12">
      <c r="B947" s="61"/>
      <c r="C947" s="61"/>
      <c r="D947" s="61"/>
      <c r="J947" s="61"/>
      <c r="L94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8" spans="2:12">
      <c r="B948" s="61"/>
      <c r="C948" s="61"/>
      <c r="D948" s="61"/>
      <c r="J948" s="61"/>
      <c r="L94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49" spans="2:12">
      <c r="B949" s="61"/>
      <c r="C949" s="61"/>
      <c r="D949" s="61"/>
      <c r="J949" s="61"/>
      <c r="L94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0" spans="2:12">
      <c r="B950" s="61"/>
      <c r="C950" s="61"/>
      <c r="D950" s="61"/>
      <c r="J950" s="61"/>
      <c r="L95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1" spans="2:12">
      <c r="B951" s="61"/>
      <c r="C951" s="61"/>
      <c r="D951" s="61"/>
      <c r="J951" s="61"/>
      <c r="L95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2" spans="2:12">
      <c r="B952" s="61"/>
      <c r="C952" s="61"/>
      <c r="D952" s="61"/>
      <c r="J952" s="61"/>
      <c r="L95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3" spans="2:12">
      <c r="B953" s="61"/>
      <c r="C953" s="61"/>
      <c r="D953" s="61"/>
      <c r="J953" s="61"/>
      <c r="L95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4" spans="2:12">
      <c r="B954" s="61"/>
      <c r="C954" s="61"/>
      <c r="D954" s="61"/>
      <c r="J954" s="61"/>
      <c r="L95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5" spans="2:12">
      <c r="B955" s="61"/>
      <c r="C955" s="61"/>
      <c r="D955" s="61"/>
      <c r="J955" s="61"/>
      <c r="L95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6" spans="2:12">
      <c r="B956" s="61"/>
      <c r="C956" s="61"/>
      <c r="D956" s="61"/>
      <c r="J956" s="61"/>
      <c r="L95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7" spans="2:12">
      <c r="B957" s="61"/>
      <c r="C957" s="61"/>
      <c r="D957" s="61"/>
      <c r="J957" s="61"/>
      <c r="L95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8" spans="2:12">
      <c r="B958" s="61"/>
      <c r="C958" s="61"/>
      <c r="D958" s="61"/>
      <c r="J958" s="61"/>
      <c r="L95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59" spans="2:12">
      <c r="B959" s="61"/>
      <c r="C959" s="61"/>
      <c r="D959" s="61"/>
      <c r="J959" s="61"/>
      <c r="L95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0" spans="2:12">
      <c r="B960" s="61"/>
      <c r="C960" s="61"/>
      <c r="D960" s="61"/>
      <c r="J960" s="61"/>
      <c r="L96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1" spans="2:12">
      <c r="B961" s="61"/>
      <c r="C961" s="61"/>
      <c r="D961" s="61"/>
      <c r="J961" s="61"/>
      <c r="L96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2" spans="2:12">
      <c r="B962" s="61"/>
      <c r="C962" s="61"/>
      <c r="D962" s="61"/>
      <c r="J962" s="61"/>
      <c r="L96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3" spans="2:12">
      <c r="B963" s="61"/>
      <c r="C963" s="61"/>
      <c r="D963" s="61"/>
      <c r="J963" s="61"/>
      <c r="L96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4" spans="2:12">
      <c r="B964" s="61"/>
      <c r="C964" s="61"/>
      <c r="D964" s="61"/>
      <c r="J964" s="61"/>
      <c r="L96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5" spans="2:12">
      <c r="B965" s="61"/>
      <c r="C965" s="61"/>
      <c r="D965" s="61"/>
      <c r="J965" s="61"/>
      <c r="L96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6" spans="2:12">
      <c r="B966" s="61"/>
      <c r="C966" s="61"/>
      <c r="D966" s="61"/>
      <c r="J966" s="61"/>
      <c r="L96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7" spans="2:12">
      <c r="B967" s="61"/>
      <c r="C967" s="61"/>
      <c r="D967" s="61"/>
      <c r="J967" s="61"/>
      <c r="L96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8" spans="2:12">
      <c r="B968" s="61"/>
      <c r="C968" s="61"/>
      <c r="D968" s="61"/>
      <c r="J968" s="61"/>
      <c r="L96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69" spans="2:12">
      <c r="B969" s="61"/>
      <c r="C969" s="61"/>
      <c r="D969" s="61"/>
      <c r="J969" s="61"/>
      <c r="L96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0" spans="2:12">
      <c r="B970" s="61"/>
      <c r="C970" s="61"/>
      <c r="D970" s="61"/>
      <c r="J970" s="61"/>
      <c r="L97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1" spans="2:12">
      <c r="B971" s="61"/>
      <c r="C971" s="61"/>
      <c r="D971" s="61"/>
      <c r="J971" s="61"/>
      <c r="L97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2" spans="2:12">
      <c r="B972" s="61"/>
      <c r="C972" s="61"/>
      <c r="D972" s="61"/>
      <c r="J972" s="61"/>
      <c r="L97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3" spans="2:12">
      <c r="B973" s="61"/>
      <c r="C973" s="61"/>
      <c r="D973" s="61"/>
      <c r="J973" s="61"/>
      <c r="L97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4" spans="2:12">
      <c r="B974" s="61"/>
      <c r="C974" s="61"/>
      <c r="D974" s="61"/>
      <c r="J974" s="61"/>
      <c r="L97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5" spans="2:12">
      <c r="B975" s="61"/>
      <c r="C975" s="61"/>
      <c r="D975" s="61"/>
      <c r="J975" s="61"/>
      <c r="L97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6" spans="2:12">
      <c r="B976" s="61"/>
      <c r="C976" s="61"/>
      <c r="D976" s="61"/>
      <c r="J976" s="61"/>
      <c r="L97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7" spans="2:12">
      <c r="B977" s="61"/>
      <c r="C977" s="61"/>
      <c r="D977" s="61"/>
      <c r="J977" s="61"/>
      <c r="L97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8" spans="2:12">
      <c r="B978" s="61"/>
      <c r="C978" s="61"/>
      <c r="D978" s="61"/>
      <c r="J978" s="61"/>
      <c r="L97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79" spans="2:12">
      <c r="B979" s="61"/>
      <c r="C979" s="61"/>
      <c r="D979" s="61"/>
      <c r="J979" s="61"/>
      <c r="L97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0" spans="2:12">
      <c r="B980" s="61"/>
      <c r="C980" s="61"/>
      <c r="D980" s="61"/>
      <c r="J980" s="61"/>
      <c r="L98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1" spans="2:12">
      <c r="B981" s="61"/>
      <c r="C981" s="61"/>
      <c r="D981" s="61"/>
      <c r="J981" s="61"/>
      <c r="L98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2" spans="2:12">
      <c r="B982" s="61"/>
      <c r="C982" s="61"/>
      <c r="D982" s="61"/>
      <c r="J982" s="61"/>
      <c r="L98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3" spans="2:12">
      <c r="B983" s="61"/>
      <c r="C983" s="61"/>
      <c r="D983" s="61"/>
      <c r="J983" s="61"/>
      <c r="L98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4" spans="2:12">
      <c r="B984" s="61"/>
      <c r="C984" s="61"/>
      <c r="D984" s="61"/>
      <c r="J984" s="61"/>
      <c r="L98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5" spans="2:12">
      <c r="B985" s="61"/>
      <c r="C985" s="61"/>
      <c r="D985" s="61"/>
      <c r="J985" s="61"/>
      <c r="L98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6" spans="2:12">
      <c r="B986" s="61"/>
      <c r="C986" s="61"/>
      <c r="D986" s="61"/>
      <c r="J986" s="61"/>
      <c r="L98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7" spans="2:12">
      <c r="B987" s="61"/>
      <c r="C987" s="61"/>
      <c r="D987" s="61"/>
      <c r="J987" s="61"/>
      <c r="L98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8" spans="2:12">
      <c r="B988" s="61"/>
      <c r="C988" s="61"/>
      <c r="D988" s="61"/>
      <c r="J988" s="61"/>
      <c r="L98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89" spans="2:12">
      <c r="B989" s="61"/>
      <c r="C989" s="61"/>
      <c r="D989" s="61"/>
      <c r="J989" s="61"/>
      <c r="L98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0" spans="2:12">
      <c r="B990" s="61"/>
      <c r="C990" s="61"/>
      <c r="D990" s="61"/>
      <c r="J990" s="61"/>
      <c r="L99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1" spans="2:12">
      <c r="B991" s="61"/>
      <c r="C991" s="61"/>
      <c r="D991" s="61"/>
      <c r="J991" s="61"/>
      <c r="L99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2" spans="2:12">
      <c r="B992" s="61"/>
      <c r="C992" s="61"/>
      <c r="D992" s="61"/>
      <c r="J992" s="61"/>
      <c r="L99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3" spans="2:12">
      <c r="B993" s="61"/>
      <c r="C993" s="61"/>
      <c r="D993" s="61"/>
      <c r="J993" s="61"/>
      <c r="L99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4" spans="2:12">
      <c r="B994" s="61"/>
      <c r="C994" s="61"/>
      <c r="D994" s="61"/>
      <c r="J994" s="61"/>
      <c r="L99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5" spans="2:12">
      <c r="B995" s="61"/>
      <c r="C995" s="61"/>
      <c r="D995" s="61"/>
      <c r="J995" s="61"/>
      <c r="L99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6" spans="2:12">
      <c r="B996" s="61"/>
      <c r="C996" s="61"/>
      <c r="D996" s="61"/>
      <c r="J996" s="61"/>
      <c r="L996"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7" spans="2:12">
      <c r="B997" s="61"/>
      <c r="C997" s="61"/>
      <c r="D997" s="61"/>
      <c r="J997" s="61"/>
      <c r="L997"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8" spans="2:12">
      <c r="B998" s="61"/>
      <c r="C998" s="61"/>
      <c r="D998" s="61"/>
      <c r="J998" s="61"/>
      <c r="L998"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999" spans="2:12">
      <c r="B999" s="61"/>
      <c r="C999" s="61"/>
      <c r="D999" s="61"/>
      <c r="J999" s="61"/>
      <c r="L999"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00" spans="2:12">
      <c r="B1000" s="61"/>
      <c r="C1000" s="61"/>
      <c r="D1000" s="61"/>
      <c r="J1000" s="61"/>
      <c r="L1000"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01" spans="2:12">
      <c r="B1001" s="61"/>
      <c r="C1001" s="61"/>
      <c r="D1001" s="61"/>
      <c r="J1001" s="61"/>
      <c r="L1001"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02" spans="2:12">
      <c r="B1002" s="61"/>
      <c r="C1002" s="61"/>
      <c r="D1002" s="61"/>
      <c r="J1002" s="61"/>
      <c r="L1002"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03" spans="2:12">
      <c r="B1003" s="61"/>
      <c r="C1003" s="61"/>
      <c r="D1003" s="61"/>
      <c r="J1003" s="61"/>
      <c r="L1003"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04" spans="2:12">
      <c r="B1004" s="61"/>
      <c r="C1004" s="61"/>
      <c r="D1004" s="61"/>
      <c r="J1004" s="61"/>
      <c r="L1004"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row r="1005" spans="2:12">
      <c r="B1005" s="61"/>
      <c r="C1005" s="61"/>
      <c r="D1005" s="61"/>
      <c r="J1005" s="61"/>
      <c r="L1005" s="106">
        <f>IF(COUNTA(Query!$B$4:$K$4) = 0, 1,
IF(Query!$B$4 = "", 1, IF(Query!$B$3 = "contains", IFERROR(SEARCH(Query!$B$4, Dataset[[#This Row],[Column1]] ), 0), Dataset[[#This Row],[Column1]] = Query!$B$4)) *
IF(Query!$C$4 = "", 1, IF(Query!$C$3 = "contains", IFERROR(SEARCH(Query!$C$4, Dataset[[#This Row],[Column2]] ), 0), Dataset[[#This Row],[Column2]] = Query!$C$4)) *
IF(Query!$D$4 = "", 1, IF(Query!$D$3 = "contains", IFERROR(SEARCH(Query!$D$4, Dataset[[#This Row],[Column3]] ), 0), Dataset[[#This Row],[Column3]] = Query!$D$4)) *
IF(Query!$E$4 = "", 1, IF(Query!$E$3 = "contains", IFERROR(SEARCH(Query!$E$4, Dataset[[#This Row],[Column4]] ), 0), Dataset[[#This Row],[Column4]] = Query!$E$4)) *
IF(Query!$F$4 = "", 1, IF(Query!$F$3 = "contains", IFERROR(SEARCH(Query!$F$4, Dataset[[#This Row],[Column5]] ), 0), Dataset[[#This Row],[Column5]] = Query!$F$4)) *
IF(Query!$G$4 = "", 1, IF(Query!$G$3 = "contains", IFERROR(SEARCH(Query!$G$4, Dataset[[#This Row],[Column6]] ), 0), Dataset[[#This Row],[Column6]] = Query!$G$4)) *
IF(Query!$H$4 = "", 1, IF(Query!$H$3 = "contains", IFERROR(SEARCH(Query!$H$4, Dataset[[#This Row],[Column7]] ), 0), Dataset[[#This Row],[Column7]] = Query!$H$4)) *
IF(Query!$I$4 = "", 1, IF(Query!$I$3 = "contains", IFERROR(SEARCH(Query!$I$4, Dataset[[#This Row],[Column8]] ), 0), Dataset[[#This Row],[Column8]] = Query!$I$4)) *
IF(Query!$J$4 = "", 1, IF(Query!$J$3 = "contains", IFERROR(SEARCH(Query!$J$4, Dataset[[#This Row],[Column9]] ), 0), Dataset[[#This Row],[Column9]] = Query!$J$4)) *
IF(Query!$K$4 = "", 1, IF(Query!$K$3 = "contains", IFERROR(SEARCH(Query!$K$4, Dataset[[#This Row],[Column10]]), 0), Dataset[[#This Row],[Column10]]= Query!$K$4)))</f>
        <v>1</v>
      </c>
    </row>
  </sheetData>
  <phoneticPr fontId="27"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A3157-938A-4D10-B765-3DB4D2EC44E0}">
  <sheetPr codeName="Sheet4">
    <tabColor rgb="FF92D050"/>
  </sheetPr>
  <dimension ref="A1:K1007"/>
  <sheetViews>
    <sheetView workbookViewId="0">
      <pane ySplit="7" topLeftCell="A8" activePane="bottomLeft" state="frozen"/>
      <selection activeCell="C5" sqref="C5"/>
      <selection pane="bottomLeft" activeCell="B3" sqref="B3:C4"/>
    </sheetView>
  </sheetViews>
  <sheetFormatPr defaultRowHeight="14.4"/>
  <cols>
    <col min="1" max="1" width="9" bestFit="1" customWidth="1"/>
    <col min="2" max="2" width="21.109375" bestFit="1" customWidth="1"/>
    <col min="3" max="3" width="71.109375" customWidth="1"/>
    <col min="4" max="4" width="13.33203125" customWidth="1"/>
    <col min="5" max="11" width="11.109375" bestFit="1" customWidth="1"/>
  </cols>
  <sheetData>
    <row r="1" spans="1:11">
      <c r="B1" s="62" t="s">
        <v>192</v>
      </c>
    </row>
    <row r="2" spans="1:11">
      <c r="B2" s="63" t="str" cm="1">
        <f t="array" ref="B2">IF(LEFT(
INDEX(Dataset[#Headers],COLUMN()-1), 6) = "Column", "",
INDEX(Dataset[#Headers],COLUMN()-1))</f>
        <v/>
      </c>
      <c r="C2" s="63" t="str" cm="1">
        <f t="array" ref="C2">IF(LEFT(
INDEX(Dataset[#Headers],COLUMN()-1), 6) = "Column", "",
INDEX(Dataset[#Headers],COLUMN()-1))</f>
        <v/>
      </c>
      <c r="D2" s="63" t="str" cm="1">
        <f t="array" ref="D2">IF(LEFT(
INDEX(Dataset[#Headers],COLUMN()-1), 6) = "Column", "",
INDEX(Dataset[#Headers],COLUMN()-1))</f>
        <v/>
      </c>
      <c r="E2" s="63" t="str" cm="1">
        <f t="array" ref="E2">IF(LEFT(
INDEX(Dataset[#Headers],COLUMN()-1), 6) = "Column", "",
INDEX(Dataset[#Headers],COLUMN()-1))</f>
        <v/>
      </c>
      <c r="F2" s="63" t="str" cm="1">
        <f t="array" ref="F2">IF(LEFT(
INDEX(Dataset[#Headers],COLUMN()-1), 6) = "Column", "",
INDEX(Dataset[#Headers],COLUMN()-1))</f>
        <v/>
      </c>
      <c r="G2" s="63" t="str" cm="1">
        <f t="array" ref="G2">IF(LEFT(
INDEX(Dataset[#Headers],COLUMN()-1), 6) = "Column", "",
INDEX(Dataset[#Headers],COLUMN()-1))</f>
        <v/>
      </c>
      <c r="H2" s="63" t="str" cm="1">
        <f t="array" ref="H2">IF(LEFT(
INDEX(Dataset[#Headers],COLUMN()-1), 6) = "Column", "",
INDEX(Dataset[#Headers],COLUMN()-1))</f>
        <v/>
      </c>
      <c r="I2" s="63" t="str" cm="1">
        <f t="array" ref="I2">IF(LEFT(
INDEX(Dataset[#Headers],COLUMN()-1), 6) = "Column", "",
INDEX(Dataset[#Headers],COLUMN()-1))</f>
        <v/>
      </c>
      <c r="J2" s="63" t="str" cm="1">
        <f t="array" ref="J2">IF(LEFT(
INDEX(Dataset[#Headers],COLUMN()-1), 6) = "Column", "",
INDEX(Dataset[#Headers],COLUMN()-1))</f>
        <v/>
      </c>
      <c r="K2" s="63" t="str" cm="1">
        <f t="array" ref="K2">IF(LEFT(
INDEX(Dataset[#Headers],COLUMN()-1), 6) = "Column", "",
INDEX(Dataset[#Headers],COLUMN()-1))</f>
        <v/>
      </c>
    </row>
    <row r="3" spans="1:11">
      <c r="A3" s="63" t="s">
        <v>275</v>
      </c>
      <c r="B3" s="110"/>
      <c r="C3" s="111"/>
      <c r="D3" s="111"/>
      <c r="E3" s="111"/>
      <c r="F3" s="111"/>
      <c r="G3" s="111"/>
      <c r="H3" s="111"/>
      <c r="I3" s="111"/>
      <c r="J3" s="111"/>
      <c r="K3" s="112"/>
    </row>
    <row r="4" spans="1:11">
      <c r="A4" s="63" t="s">
        <v>16</v>
      </c>
      <c r="B4" s="113"/>
      <c r="C4" s="114"/>
      <c r="D4" s="114"/>
      <c r="E4" s="114"/>
      <c r="F4" s="114"/>
      <c r="G4" s="114"/>
      <c r="H4" s="114"/>
      <c r="I4" s="114"/>
      <c r="J4" s="114"/>
      <c r="K4" s="115"/>
    </row>
    <row r="6" spans="1:11">
      <c r="B6" s="62" t="s">
        <v>193</v>
      </c>
    </row>
    <row r="7" spans="1:11">
      <c r="B7" s="107" t="str">
        <f>B$2</f>
        <v/>
      </c>
      <c r="C7" s="108" t="str">
        <f t="shared" ref="C7:K7" si="0">C$2</f>
        <v/>
      </c>
      <c r="D7" s="108" t="str">
        <f t="shared" si="0"/>
        <v/>
      </c>
      <c r="E7" s="108" t="str">
        <f t="shared" si="0"/>
        <v/>
      </c>
      <c r="F7" s="108" t="str">
        <f t="shared" si="0"/>
        <v/>
      </c>
      <c r="G7" s="108" t="str">
        <f t="shared" si="0"/>
        <v/>
      </c>
      <c r="H7" s="108" t="str">
        <f t="shared" si="0"/>
        <v/>
      </c>
      <c r="I7" s="108" t="str">
        <f t="shared" si="0"/>
        <v/>
      </c>
      <c r="J7" s="108" t="str">
        <f t="shared" si="0"/>
        <v/>
      </c>
      <c r="K7" s="109" t="str">
        <f t="shared" si="0"/>
        <v/>
      </c>
    </row>
    <row r="8" spans="1:11">
      <c r="B8" s="66" t="str">
        <f t="array" ref="B8:K1007">ajFilter(Dataset[], Dataset[~], "")</f>
        <v/>
      </c>
      <c r="C8" s="67" t="str">
        <v/>
      </c>
      <c r="D8" s="67" t="str">
        <v/>
      </c>
      <c r="E8" s="67" t="str">
        <v/>
      </c>
      <c r="F8" s="67" t="str">
        <v/>
      </c>
      <c r="G8" s="67" t="str">
        <v/>
      </c>
      <c r="H8" s="67" t="str">
        <v/>
      </c>
      <c r="I8" s="67" t="str">
        <v/>
      </c>
      <c r="J8" s="67" t="str">
        <v/>
      </c>
      <c r="K8" s="68" t="str">
        <v/>
      </c>
    </row>
    <row r="9" spans="1:11">
      <c r="B9" s="66" t="str">
        <v/>
      </c>
      <c r="C9" s="67" t="str">
        <v/>
      </c>
      <c r="D9" s="67" t="str">
        <v/>
      </c>
      <c r="E9" s="67" t="str">
        <v/>
      </c>
      <c r="F9" s="67" t="str">
        <v/>
      </c>
      <c r="G9" s="67" t="str">
        <v/>
      </c>
      <c r="H9" s="67" t="str">
        <v/>
      </c>
      <c r="I9" s="67" t="str">
        <v/>
      </c>
      <c r="J9" s="67" t="str">
        <v/>
      </c>
      <c r="K9" s="68" t="str">
        <v/>
      </c>
    </row>
    <row r="10" spans="1:11">
      <c r="B10" s="66" t="str">
        <v/>
      </c>
      <c r="C10" s="67" t="str">
        <v/>
      </c>
      <c r="D10" s="67" t="str">
        <v/>
      </c>
      <c r="E10" s="67" t="str">
        <v/>
      </c>
      <c r="F10" s="67" t="str">
        <v/>
      </c>
      <c r="G10" s="67" t="str">
        <v/>
      </c>
      <c r="H10" s="67" t="str">
        <v/>
      </c>
      <c r="I10" s="67" t="str">
        <v/>
      </c>
      <c r="J10" s="67" t="str">
        <v/>
      </c>
      <c r="K10" s="68" t="str">
        <v/>
      </c>
    </row>
    <row r="11" spans="1:11">
      <c r="B11" s="66" t="str">
        <v/>
      </c>
      <c r="C11" s="67" t="str">
        <v/>
      </c>
      <c r="D11" s="67" t="str">
        <v/>
      </c>
      <c r="E11" s="67" t="str">
        <v/>
      </c>
      <c r="F11" s="67" t="str">
        <v/>
      </c>
      <c r="G11" s="67" t="str">
        <v/>
      </c>
      <c r="H11" s="67" t="str">
        <v/>
      </c>
      <c r="I11" s="67" t="str">
        <v/>
      </c>
      <c r="J11" s="67" t="str">
        <v/>
      </c>
      <c r="K11" s="68" t="str">
        <v/>
      </c>
    </row>
    <row r="12" spans="1:11">
      <c r="B12" s="66" t="str">
        <v/>
      </c>
      <c r="C12" s="67" t="str">
        <v/>
      </c>
      <c r="D12" s="67" t="str">
        <v/>
      </c>
      <c r="E12" s="67" t="str">
        <v/>
      </c>
      <c r="F12" s="67" t="str">
        <v/>
      </c>
      <c r="G12" s="67" t="str">
        <v/>
      </c>
      <c r="H12" s="67" t="str">
        <v/>
      </c>
      <c r="I12" s="67" t="str">
        <v/>
      </c>
      <c r="J12" s="67" t="str">
        <v/>
      </c>
      <c r="K12" s="68" t="str">
        <v/>
      </c>
    </row>
    <row r="13" spans="1:11">
      <c r="B13" s="66" t="str">
        <v/>
      </c>
      <c r="C13" s="67" t="str">
        <v/>
      </c>
      <c r="D13" s="67" t="str">
        <v/>
      </c>
      <c r="E13" s="67" t="str">
        <v/>
      </c>
      <c r="F13" s="67" t="str">
        <v/>
      </c>
      <c r="G13" s="67" t="str">
        <v/>
      </c>
      <c r="H13" s="67" t="str">
        <v/>
      </c>
      <c r="I13" s="67" t="str">
        <v/>
      </c>
      <c r="J13" s="67" t="str">
        <v/>
      </c>
      <c r="K13" s="68" t="str">
        <v/>
      </c>
    </row>
    <row r="14" spans="1:11">
      <c r="B14" s="66" t="str">
        <v/>
      </c>
      <c r="C14" s="67" t="str">
        <v/>
      </c>
      <c r="D14" s="67" t="str">
        <v/>
      </c>
      <c r="E14" s="67" t="str">
        <v/>
      </c>
      <c r="F14" s="67" t="str">
        <v/>
      </c>
      <c r="G14" s="67" t="str">
        <v/>
      </c>
      <c r="H14" s="67" t="str">
        <v/>
      </c>
      <c r="I14" s="67" t="str">
        <v/>
      </c>
      <c r="J14" s="67" t="str">
        <v/>
      </c>
      <c r="K14" s="68" t="str">
        <v/>
      </c>
    </row>
    <row r="15" spans="1:11">
      <c r="B15" s="66" t="str">
        <v/>
      </c>
      <c r="C15" s="67" t="str">
        <v/>
      </c>
      <c r="D15" s="67" t="str">
        <v/>
      </c>
      <c r="E15" s="67" t="str">
        <v/>
      </c>
      <c r="F15" s="67" t="str">
        <v/>
      </c>
      <c r="G15" s="67" t="str">
        <v/>
      </c>
      <c r="H15" s="67" t="str">
        <v/>
      </c>
      <c r="I15" s="67" t="str">
        <v/>
      </c>
      <c r="J15" s="67" t="str">
        <v/>
      </c>
      <c r="K15" s="68" t="str">
        <v/>
      </c>
    </row>
    <row r="16" spans="1:11">
      <c r="B16" s="66" t="str">
        <v/>
      </c>
      <c r="C16" s="67" t="str">
        <v/>
      </c>
      <c r="D16" s="67" t="str">
        <v/>
      </c>
      <c r="E16" s="67" t="str">
        <v/>
      </c>
      <c r="F16" s="67" t="str">
        <v/>
      </c>
      <c r="G16" s="67" t="str">
        <v/>
      </c>
      <c r="H16" s="67" t="str">
        <v/>
      </c>
      <c r="I16" s="67" t="str">
        <v/>
      </c>
      <c r="J16" s="67" t="str">
        <v/>
      </c>
      <c r="K16" s="68" t="str">
        <v/>
      </c>
    </row>
    <row r="17" spans="2:11">
      <c r="B17" s="66" t="str">
        <v/>
      </c>
      <c r="C17" s="67" t="str">
        <v/>
      </c>
      <c r="D17" s="67" t="str">
        <v/>
      </c>
      <c r="E17" s="67" t="str">
        <v/>
      </c>
      <c r="F17" s="67" t="str">
        <v/>
      </c>
      <c r="G17" s="67" t="str">
        <v/>
      </c>
      <c r="H17" s="67" t="str">
        <v/>
      </c>
      <c r="I17" s="67" t="str">
        <v/>
      </c>
      <c r="J17" s="67" t="str">
        <v/>
      </c>
      <c r="K17" s="68" t="str">
        <v/>
      </c>
    </row>
    <row r="18" spans="2:11">
      <c r="B18" s="66" t="str">
        <v/>
      </c>
      <c r="C18" s="67" t="str">
        <v/>
      </c>
      <c r="D18" s="67" t="str">
        <v/>
      </c>
      <c r="E18" s="67" t="str">
        <v/>
      </c>
      <c r="F18" s="67" t="str">
        <v/>
      </c>
      <c r="G18" s="67" t="str">
        <v/>
      </c>
      <c r="H18" s="67" t="str">
        <v/>
      </c>
      <c r="I18" s="67" t="str">
        <v/>
      </c>
      <c r="J18" s="67" t="str">
        <v/>
      </c>
      <c r="K18" s="68" t="str">
        <v/>
      </c>
    </row>
    <row r="19" spans="2:11">
      <c r="B19" s="66" t="str">
        <v/>
      </c>
      <c r="C19" s="67" t="str">
        <v/>
      </c>
      <c r="D19" s="67" t="str">
        <v/>
      </c>
      <c r="E19" s="67" t="str">
        <v/>
      </c>
      <c r="F19" s="67" t="str">
        <v/>
      </c>
      <c r="G19" s="67" t="str">
        <v/>
      </c>
      <c r="H19" s="67" t="str">
        <v/>
      </c>
      <c r="I19" s="67" t="str">
        <v/>
      </c>
      <c r="J19" s="67" t="str">
        <v/>
      </c>
      <c r="K19" s="68" t="str">
        <v/>
      </c>
    </row>
    <row r="20" spans="2:11">
      <c r="B20" s="66" t="str">
        <v/>
      </c>
      <c r="C20" s="67" t="str">
        <v/>
      </c>
      <c r="D20" s="67" t="str">
        <v/>
      </c>
      <c r="E20" s="67" t="str">
        <v/>
      </c>
      <c r="F20" s="67" t="str">
        <v/>
      </c>
      <c r="G20" s="67" t="str">
        <v/>
      </c>
      <c r="H20" s="67" t="str">
        <v/>
      </c>
      <c r="I20" s="67" t="str">
        <v/>
      </c>
      <c r="J20" s="67" t="str">
        <v/>
      </c>
      <c r="K20" s="68" t="str">
        <v/>
      </c>
    </row>
    <row r="21" spans="2:11">
      <c r="B21" s="66" t="str">
        <v/>
      </c>
      <c r="C21" s="67" t="str">
        <v/>
      </c>
      <c r="D21" s="67" t="str">
        <v/>
      </c>
      <c r="E21" s="67" t="str">
        <v/>
      </c>
      <c r="F21" s="67" t="str">
        <v/>
      </c>
      <c r="G21" s="67" t="str">
        <v/>
      </c>
      <c r="H21" s="67" t="str">
        <v/>
      </c>
      <c r="I21" s="67" t="str">
        <v/>
      </c>
      <c r="J21" s="67" t="str">
        <v/>
      </c>
      <c r="K21" s="68" t="str">
        <v/>
      </c>
    </row>
    <row r="22" spans="2:11">
      <c r="B22" s="66" t="str">
        <v/>
      </c>
      <c r="C22" s="67" t="str">
        <v/>
      </c>
      <c r="D22" s="67" t="str">
        <v/>
      </c>
      <c r="E22" s="67" t="str">
        <v/>
      </c>
      <c r="F22" s="67" t="str">
        <v/>
      </c>
      <c r="G22" s="67" t="str">
        <v/>
      </c>
      <c r="H22" s="67" t="str">
        <v/>
      </c>
      <c r="I22" s="67" t="str">
        <v/>
      </c>
      <c r="J22" s="67" t="str">
        <v/>
      </c>
      <c r="K22" s="68" t="str">
        <v/>
      </c>
    </row>
    <row r="23" spans="2:11">
      <c r="B23" s="66" t="str">
        <v/>
      </c>
      <c r="C23" s="67" t="str">
        <v/>
      </c>
      <c r="D23" s="67" t="str">
        <v/>
      </c>
      <c r="E23" s="67" t="str">
        <v/>
      </c>
      <c r="F23" s="67" t="str">
        <v/>
      </c>
      <c r="G23" s="67" t="str">
        <v/>
      </c>
      <c r="H23" s="67" t="str">
        <v/>
      </c>
      <c r="I23" s="67" t="str">
        <v/>
      </c>
      <c r="J23" s="67" t="str">
        <v/>
      </c>
      <c r="K23" s="68" t="str">
        <v/>
      </c>
    </row>
    <row r="24" spans="2:11">
      <c r="B24" s="66" t="str">
        <v/>
      </c>
      <c r="C24" s="67" t="str">
        <v/>
      </c>
      <c r="D24" s="67" t="str">
        <v/>
      </c>
      <c r="E24" s="67" t="str">
        <v/>
      </c>
      <c r="F24" s="67" t="str">
        <v/>
      </c>
      <c r="G24" s="67" t="str">
        <v/>
      </c>
      <c r="H24" s="67" t="str">
        <v/>
      </c>
      <c r="I24" s="67" t="str">
        <v/>
      </c>
      <c r="J24" s="67" t="str">
        <v/>
      </c>
      <c r="K24" s="68" t="str">
        <v/>
      </c>
    </row>
    <row r="25" spans="2:11">
      <c r="B25" s="66" t="str">
        <v/>
      </c>
      <c r="C25" s="67" t="str">
        <v/>
      </c>
      <c r="D25" s="67" t="str">
        <v/>
      </c>
      <c r="E25" s="67" t="str">
        <v/>
      </c>
      <c r="F25" s="67" t="str">
        <v/>
      </c>
      <c r="G25" s="67" t="str">
        <v/>
      </c>
      <c r="H25" s="67" t="str">
        <v/>
      </c>
      <c r="I25" s="67" t="str">
        <v/>
      </c>
      <c r="J25" s="67" t="str">
        <v/>
      </c>
      <c r="K25" s="68" t="str">
        <v/>
      </c>
    </row>
    <row r="26" spans="2:11">
      <c r="B26" s="66" t="str">
        <v/>
      </c>
      <c r="C26" s="67" t="str">
        <v/>
      </c>
      <c r="D26" s="67" t="str">
        <v/>
      </c>
      <c r="E26" s="67" t="str">
        <v/>
      </c>
      <c r="F26" s="67" t="str">
        <v/>
      </c>
      <c r="G26" s="67" t="str">
        <v/>
      </c>
      <c r="H26" s="67" t="str">
        <v/>
      </c>
      <c r="I26" s="67" t="str">
        <v/>
      </c>
      <c r="J26" s="67" t="str">
        <v/>
      </c>
      <c r="K26" s="68" t="str">
        <v/>
      </c>
    </row>
    <row r="27" spans="2:11">
      <c r="B27" s="66" t="str">
        <v/>
      </c>
      <c r="C27" s="67" t="str">
        <v/>
      </c>
      <c r="D27" s="67" t="str">
        <v/>
      </c>
      <c r="E27" s="67" t="str">
        <v/>
      </c>
      <c r="F27" s="67" t="str">
        <v/>
      </c>
      <c r="G27" s="67" t="str">
        <v/>
      </c>
      <c r="H27" s="67" t="str">
        <v/>
      </c>
      <c r="I27" s="67" t="str">
        <v/>
      </c>
      <c r="J27" s="67" t="str">
        <v/>
      </c>
      <c r="K27" s="68" t="str">
        <v/>
      </c>
    </row>
    <row r="28" spans="2:11">
      <c r="B28" s="66" t="str">
        <v/>
      </c>
      <c r="C28" s="67" t="str">
        <v/>
      </c>
      <c r="D28" s="67" t="str">
        <v/>
      </c>
      <c r="E28" s="67" t="str">
        <v/>
      </c>
      <c r="F28" s="67" t="str">
        <v/>
      </c>
      <c r="G28" s="67" t="str">
        <v/>
      </c>
      <c r="H28" s="67" t="str">
        <v/>
      </c>
      <c r="I28" s="67" t="str">
        <v/>
      </c>
      <c r="J28" s="67" t="str">
        <v/>
      </c>
      <c r="K28" s="68" t="str">
        <v/>
      </c>
    </row>
    <row r="29" spans="2:11">
      <c r="B29" s="66" t="str">
        <v/>
      </c>
      <c r="C29" s="67" t="str">
        <v/>
      </c>
      <c r="D29" s="67" t="str">
        <v/>
      </c>
      <c r="E29" s="67" t="str">
        <v/>
      </c>
      <c r="F29" s="67" t="str">
        <v/>
      </c>
      <c r="G29" s="67" t="str">
        <v/>
      </c>
      <c r="H29" s="67" t="str">
        <v/>
      </c>
      <c r="I29" s="67" t="str">
        <v/>
      </c>
      <c r="J29" s="67" t="str">
        <v/>
      </c>
      <c r="K29" s="68" t="str">
        <v/>
      </c>
    </row>
    <row r="30" spans="2:11">
      <c r="B30" s="66" t="str">
        <v/>
      </c>
      <c r="C30" s="67" t="str">
        <v/>
      </c>
      <c r="D30" s="67" t="str">
        <v/>
      </c>
      <c r="E30" s="67" t="str">
        <v/>
      </c>
      <c r="F30" s="67" t="str">
        <v/>
      </c>
      <c r="G30" s="67" t="str">
        <v/>
      </c>
      <c r="H30" s="67" t="str">
        <v/>
      </c>
      <c r="I30" s="67" t="str">
        <v/>
      </c>
      <c r="J30" s="67" t="str">
        <v/>
      </c>
      <c r="K30" s="68" t="str">
        <v/>
      </c>
    </row>
    <row r="31" spans="2:11">
      <c r="B31" s="66" t="str">
        <v/>
      </c>
      <c r="C31" s="67" t="str">
        <v/>
      </c>
      <c r="D31" s="67" t="str">
        <v/>
      </c>
      <c r="E31" s="67" t="str">
        <v/>
      </c>
      <c r="F31" s="67" t="str">
        <v/>
      </c>
      <c r="G31" s="67" t="str">
        <v/>
      </c>
      <c r="H31" s="67" t="str">
        <v/>
      </c>
      <c r="I31" s="67" t="str">
        <v/>
      </c>
      <c r="J31" s="67" t="str">
        <v/>
      </c>
      <c r="K31" s="68" t="str">
        <v/>
      </c>
    </row>
    <row r="32" spans="2:11">
      <c r="B32" s="66" t="str">
        <v/>
      </c>
      <c r="C32" s="67" t="str">
        <v/>
      </c>
      <c r="D32" s="67" t="str">
        <v/>
      </c>
      <c r="E32" s="67" t="str">
        <v/>
      </c>
      <c r="F32" s="67" t="str">
        <v/>
      </c>
      <c r="G32" s="67" t="str">
        <v/>
      </c>
      <c r="H32" s="67" t="str">
        <v/>
      </c>
      <c r="I32" s="67" t="str">
        <v/>
      </c>
      <c r="J32" s="67" t="str">
        <v/>
      </c>
      <c r="K32" s="68" t="str">
        <v/>
      </c>
    </row>
    <row r="33" spans="2:11">
      <c r="B33" s="66" t="str">
        <v/>
      </c>
      <c r="C33" s="67" t="str">
        <v/>
      </c>
      <c r="D33" s="67" t="str">
        <v/>
      </c>
      <c r="E33" s="67" t="str">
        <v/>
      </c>
      <c r="F33" s="67" t="str">
        <v/>
      </c>
      <c r="G33" s="67" t="str">
        <v/>
      </c>
      <c r="H33" s="67" t="str">
        <v/>
      </c>
      <c r="I33" s="67" t="str">
        <v/>
      </c>
      <c r="J33" s="67" t="str">
        <v/>
      </c>
      <c r="K33" s="68" t="str">
        <v/>
      </c>
    </row>
    <row r="34" spans="2:11">
      <c r="B34" s="66" t="str">
        <v/>
      </c>
      <c r="C34" s="67" t="str">
        <v/>
      </c>
      <c r="D34" s="67" t="str">
        <v/>
      </c>
      <c r="E34" s="67" t="str">
        <v/>
      </c>
      <c r="F34" s="67" t="str">
        <v/>
      </c>
      <c r="G34" s="67" t="str">
        <v/>
      </c>
      <c r="H34" s="67" t="str">
        <v/>
      </c>
      <c r="I34" s="67" t="str">
        <v/>
      </c>
      <c r="J34" s="67" t="str">
        <v/>
      </c>
      <c r="K34" s="68" t="str">
        <v/>
      </c>
    </row>
    <row r="35" spans="2:11">
      <c r="B35" s="66" t="str">
        <v/>
      </c>
      <c r="C35" s="67" t="str">
        <v/>
      </c>
      <c r="D35" s="67" t="str">
        <v/>
      </c>
      <c r="E35" s="67" t="str">
        <v/>
      </c>
      <c r="F35" s="67" t="str">
        <v/>
      </c>
      <c r="G35" s="67" t="str">
        <v/>
      </c>
      <c r="H35" s="67" t="str">
        <v/>
      </c>
      <c r="I35" s="67" t="str">
        <v/>
      </c>
      <c r="J35" s="67" t="str">
        <v/>
      </c>
      <c r="K35" s="68" t="str">
        <v/>
      </c>
    </row>
    <row r="36" spans="2:11">
      <c r="B36" s="66" t="str">
        <v/>
      </c>
      <c r="C36" s="67" t="str">
        <v/>
      </c>
      <c r="D36" s="67" t="str">
        <v/>
      </c>
      <c r="E36" s="67" t="str">
        <v/>
      </c>
      <c r="F36" s="67" t="str">
        <v/>
      </c>
      <c r="G36" s="67" t="str">
        <v/>
      </c>
      <c r="H36" s="67" t="str">
        <v/>
      </c>
      <c r="I36" s="67" t="str">
        <v/>
      </c>
      <c r="J36" s="67" t="str">
        <v/>
      </c>
      <c r="K36" s="68" t="str">
        <v/>
      </c>
    </row>
    <row r="37" spans="2:11">
      <c r="B37" s="66" t="str">
        <v/>
      </c>
      <c r="C37" s="67" t="str">
        <v/>
      </c>
      <c r="D37" s="67" t="str">
        <v/>
      </c>
      <c r="E37" s="67" t="str">
        <v/>
      </c>
      <c r="F37" s="67" t="str">
        <v/>
      </c>
      <c r="G37" s="67" t="str">
        <v/>
      </c>
      <c r="H37" s="67" t="str">
        <v/>
      </c>
      <c r="I37" s="67" t="str">
        <v/>
      </c>
      <c r="J37" s="67" t="str">
        <v/>
      </c>
      <c r="K37" s="68" t="str">
        <v/>
      </c>
    </row>
    <row r="38" spans="2:11">
      <c r="B38" s="66" t="str">
        <v/>
      </c>
      <c r="C38" s="67" t="str">
        <v/>
      </c>
      <c r="D38" s="67" t="str">
        <v/>
      </c>
      <c r="E38" s="67" t="str">
        <v/>
      </c>
      <c r="F38" s="67" t="str">
        <v/>
      </c>
      <c r="G38" s="67" t="str">
        <v/>
      </c>
      <c r="H38" s="67" t="str">
        <v/>
      </c>
      <c r="I38" s="67" t="str">
        <v/>
      </c>
      <c r="J38" s="67" t="str">
        <v/>
      </c>
      <c r="K38" s="68" t="str">
        <v/>
      </c>
    </row>
    <row r="39" spans="2:11">
      <c r="B39" s="66" t="str">
        <v/>
      </c>
      <c r="C39" s="67" t="str">
        <v/>
      </c>
      <c r="D39" s="67" t="str">
        <v/>
      </c>
      <c r="E39" s="67" t="str">
        <v/>
      </c>
      <c r="F39" s="67" t="str">
        <v/>
      </c>
      <c r="G39" s="67" t="str">
        <v/>
      </c>
      <c r="H39" s="67" t="str">
        <v/>
      </c>
      <c r="I39" s="67" t="str">
        <v/>
      </c>
      <c r="J39" s="67" t="str">
        <v/>
      </c>
      <c r="K39" s="68" t="str">
        <v/>
      </c>
    </row>
    <row r="40" spans="2:11">
      <c r="B40" s="66" t="str">
        <v/>
      </c>
      <c r="C40" s="67" t="str">
        <v/>
      </c>
      <c r="D40" s="67" t="str">
        <v/>
      </c>
      <c r="E40" s="67" t="str">
        <v/>
      </c>
      <c r="F40" s="67" t="str">
        <v/>
      </c>
      <c r="G40" s="67" t="str">
        <v/>
      </c>
      <c r="H40" s="67" t="str">
        <v/>
      </c>
      <c r="I40" s="67" t="str">
        <v/>
      </c>
      <c r="J40" s="67" t="str">
        <v/>
      </c>
      <c r="K40" s="68" t="str">
        <v/>
      </c>
    </row>
    <row r="41" spans="2:11">
      <c r="B41" s="66" t="str">
        <v/>
      </c>
      <c r="C41" s="67" t="str">
        <v/>
      </c>
      <c r="D41" s="67" t="str">
        <v/>
      </c>
      <c r="E41" s="67" t="str">
        <v/>
      </c>
      <c r="F41" s="67" t="str">
        <v/>
      </c>
      <c r="G41" s="67" t="str">
        <v/>
      </c>
      <c r="H41" s="67" t="str">
        <v/>
      </c>
      <c r="I41" s="67" t="str">
        <v/>
      </c>
      <c r="J41" s="67" t="str">
        <v/>
      </c>
      <c r="K41" s="68" t="str">
        <v/>
      </c>
    </row>
    <row r="42" spans="2:11">
      <c r="B42" s="66" t="str">
        <v/>
      </c>
      <c r="C42" s="67" t="str">
        <v/>
      </c>
      <c r="D42" s="67" t="str">
        <v/>
      </c>
      <c r="E42" s="67" t="str">
        <v/>
      </c>
      <c r="F42" s="67" t="str">
        <v/>
      </c>
      <c r="G42" s="67" t="str">
        <v/>
      </c>
      <c r="H42" s="67" t="str">
        <v/>
      </c>
      <c r="I42" s="67" t="str">
        <v/>
      </c>
      <c r="J42" s="67" t="str">
        <v/>
      </c>
      <c r="K42" s="68" t="str">
        <v/>
      </c>
    </row>
    <row r="43" spans="2:11">
      <c r="B43" s="66" t="str">
        <v/>
      </c>
      <c r="C43" s="67" t="str">
        <v/>
      </c>
      <c r="D43" s="67" t="str">
        <v/>
      </c>
      <c r="E43" s="67" t="str">
        <v/>
      </c>
      <c r="F43" s="67" t="str">
        <v/>
      </c>
      <c r="G43" s="67" t="str">
        <v/>
      </c>
      <c r="H43" s="67" t="str">
        <v/>
      </c>
      <c r="I43" s="67" t="str">
        <v/>
      </c>
      <c r="J43" s="67" t="str">
        <v/>
      </c>
      <c r="K43" s="68" t="str">
        <v/>
      </c>
    </row>
    <row r="44" spans="2:11">
      <c r="B44" s="66" t="str">
        <v/>
      </c>
      <c r="C44" s="67" t="str">
        <v/>
      </c>
      <c r="D44" s="67" t="str">
        <v/>
      </c>
      <c r="E44" s="67" t="str">
        <v/>
      </c>
      <c r="F44" s="67" t="str">
        <v/>
      </c>
      <c r="G44" s="67" t="str">
        <v/>
      </c>
      <c r="H44" s="67" t="str">
        <v/>
      </c>
      <c r="I44" s="67" t="str">
        <v/>
      </c>
      <c r="J44" s="67" t="str">
        <v/>
      </c>
      <c r="K44" s="68" t="str">
        <v/>
      </c>
    </row>
    <row r="45" spans="2:11">
      <c r="B45" s="66" t="str">
        <v/>
      </c>
      <c r="C45" s="67" t="str">
        <v/>
      </c>
      <c r="D45" s="67" t="str">
        <v/>
      </c>
      <c r="E45" s="67" t="str">
        <v/>
      </c>
      <c r="F45" s="67" t="str">
        <v/>
      </c>
      <c r="G45" s="67" t="str">
        <v/>
      </c>
      <c r="H45" s="67" t="str">
        <v/>
      </c>
      <c r="I45" s="67" t="str">
        <v/>
      </c>
      <c r="J45" s="67" t="str">
        <v/>
      </c>
      <c r="K45" s="68" t="str">
        <v/>
      </c>
    </row>
    <row r="46" spans="2:11">
      <c r="B46" s="66" t="str">
        <v/>
      </c>
      <c r="C46" s="67" t="str">
        <v/>
      </c>
      <c r="D46" s="67" t="str">
        <v/>
      </c>
      <c r="E46" s="67" t="str">
        <v/>
      </c>
      <c r="F46" s="67" t="str">
        <v/>
      </c>
      <c r="G46" s="67" t="str">
        <v/>
      </c>
      <c r="H46" s="67" t="str">
        <v/>
      </c>
      <c r="I46" s="67" t="str">
        <v/>
      </c>
      <c r="J46" s="67" t="str">
        <v/>
      </c>
      <c r="K46" s="68" t="str">
        <v/>
      </c>
    </row>
    <row r="47" spans="2:11">
      <c r="B47" s="66" t="str">
        <v/>
      </c>
      <c r="C47" s="67" t="str">
        <v/>
      </c>
      <c r="D47" s="67" t="str">
        <v/>
      </c>
      <c r="E47" s="67" t="str">
        <v/>
      </c>
      <c r="F47" s="67" t="str">
        <v/>
      </c>
      <c r="G47" s="67" t="str">
        <v/>
      </c>
      <c r="H47" s="67" t="str">
        <v/>
      </c>
      <c r="I47" s="67" t="str">
        <v/>
      </c>
      <c r="J47" s="67" t="str">
        <v/>
      </c>
      <c r="K47" s="68" t="str">
        <v/>
      </c>
    </row>
    <row r="48" spans="2:11">
      <c r="B48" s="66" t="str">
        <v/>
      </c>
      <c r="C48" s="67" t="str">
        <v/>
      </c>
      <c r="D48" s="67" t="str">
        <v/>
      </c>
      <c r="E48" s="67" t="str">
        <v/>
      </c>
      <c r="F48" s="67" t="str">
        <v/>
      </c>
      <c r="G48" s="67" t="str">
        <v/>
      </c>
      <c r="H48" s="67" t="str">
        <v/>
      </c>
      <c r="I48" s="67" t="str">
        <v/>
      </c>
      <c r="J48" s="67" t="str">
        <v/>
      </c>
      <c r="K48" s="68" t="str">
        <v/>
      </c>
    </row>
    <row r="49" spans="2:11">
      <c r="B49" s="66" t="str">
        <v/>
      </c>
      <c r="C49" s="67" t="str">
        <v/>
      </c>
      <c r="D49" s="67" t="str">
        <v/>
      </c>
      <c r="E49" s="67" t="str">
        <v/>
      </c>
      <c r="F49" s="67" t="str">
        <v/>
      </c>
      <c r="G49" s="67" t="str">
        <v/>
      </c>
      <c r="H49" s="67" t="str">
        <v/>
      </c>
      <c r="I49" s="67" t="str">
        <v/>
      </c>
      <c r="J49" s="67" t="str">
        <v/>
      </c>
      <c r="K49" s="68" t="str">
        <v/>
      </c>
    </row>
    <row r="50" spans="2:11">
      <c r="B50" s="66" t="str">
        <v/>
      </c>
      <c r="C50" s="67" t="str">
        <v/>
      </c>
      <c r="D50" s="67" t="str">
        <v/>
      </c>
      <c r="E50" s="67" t="str">
        <v/>
      </c>
      <c r="F50" s="67" t="str">
        <v/>
      </c>
      <c r="G50" s="67" t="str">
        <v/>
      </c>
      <c r="H50" s="67" t="str">
        <v/>
      </c>
      <c r="I50" s="67" t="str">
        <v/>
      </c>
      <c r="J50" s="67" t="str">
        <v/>
      </c>
      <c r="K50" s="68" t="str">
        <v/>
      </c>
    </row>
    <row r="51" spans="2:11">
      <c r="B51" s="66" t="str">
        <v/>
      </c>
      <c r="C51" s="67" t="str">
        <v/>
      </c>
      <c r="D51" s="67" t="str">
        <v/>
      </c>
      <c r="E51" s="67" t="str">
        <v/>
      </c>
      <c r="F51" s="67" t="str">
        <v/>
      </c>
      <c r="G51" s="67" t="str">
        <v/>
      </c>
      <c r="H51" s="67" t="str">
        <v/>
      </c>
      <c r="I51" s="67" t="str">
        <v/>
      </c>
      <c r="J51" s="67" t="str">
        <v/>
      </c>
      <c r="K51" s="68" t="str">
        <v/>
      </c>
    </row>
    <row r="52" spans="2:11">
      <c r="B52" s="66" t="str">
        <v/>
      </c>
      <c r="C52" s="67" t="str">
        <v/>
      </c>
      <c r="D52" s="67" t="str">
        <v/>
      </c>
      <c r="E52" s="67" t="str">
        <v/>
      </c>
      <c r="F52" s="67" t="str">
        <v/>
      </c>
      <c r="G52" s="67" t="str">
        <v/>
      </c>
      <c r="H52" s="67" t="str">
        <v/>
      </c>
      <c r="I52" s="67" t="str">
        <v/>
      </c>
      <c r="J52" s="67" t="str">
        <v/>
      </c>
      <c r="K52" s="68" t="str">
        <v/>
      </c>
    </row>
    <row r="53" spans="2:11">
      <c r="B53" s="66" t="str">
        <v/>
      </c>
      <c r="C53" s="67" t="str">
        <v/>
      </c>
      <c r="D53" s="67" t="str">
        <v/>
      </c>
      <c r="E53" s="67" t="str">
        <v/>
      </c>
      <c r="F53" s="67" t="str">
        <v/>
      </c>
      <c r="G53" s="67" t="str">
        <v/>
      </c>
      <c r="H53" s="67" t="str">
        <v/>
      </c>
      <c r="I53" s="67" t="str">
        <v/>
      </c>
      <c r="J53" s="67" t="str">
        <v/>
      </c>
      <c r="K53" s="68" t="str">
        <v/>
      </c>
    </row>
    <row r="54" spans="2:11">
      <c r="B54" s="66" t="str">
        <v/>
      </c>
      <c r="C54" s="67" t="str">
        <v/>
      </c>
      <c r="D54" s="67" t="str">
        <v/>
      </c>
      <c r="E54" s="67" t="str">
        <v/>
      </c>
      <c r="F54" s="67" t="str">
        <v/>
      </c>
      <c r="G54" s="67" t="str">
        <v/>
      </c>
      <c r="H54" s="67" t="str">
        <v/>
      </c>
      <c r="I54" s="67" t="str">
        <v/>
      </c>
      <c r="J54" s="67" t="str">
        <v/>
      </c>
      <c r="K54" s="68" t="str">
        <v/>
      </c>
    </row>
    <row r="55" spans="2:11">
      <c r="B55" s="66" t="str">
        <v/>
      </c>
      <c r="C55" s="67" t="str">
        <v/>
      </c>
      <c r="D55" s="67" t="str">
        <v/>
      </c>
      <c r="E55" s="67" t="str">
        <v/>
      </c>
      <c r="F55" s="67" t="str">
        <v/>
      </c>
      <c r="G55" s="67" t="str">
        <v/>
      </c>
      <c r="H55" s="67" t="str">
        <v/>
      </c>
      <c r="I55" s="67" t="str">
        <v/>
      </c>
      <c r="J55" s="67" t="str">
        <v/>
      </c>
      <c r="K55" s="68" t="str">
        <v/>
      </c>
    </row>
    <row r="56" spans="2:11">
      <c r="B56" s="66" t="str">
        <v/>
      </c>
      <c r="C56" s="67" t="str">
        <v/>
      </c>
      <c r="D56" s="67" t="str">
        <v/>
      </c>
      <c r="E56" s="67" t="str">
        <v/>
      </c>
      <c r="F56" s="67" t="str">
        <v/>
      </c>
      <c r="G56" s="67" t="str">
        <v/>
      </c>
      <c r="H56" s="67" t="str">
        <v/>
      </c>
      <c r="I56" s="67" t="str">
        <v/>
      </c>
      <c r="J56" s="67" t="str">
        <v/>
      </c>
      <c r="K56" s="68" t="str">
        <v/>
      </c>
    </row>
    <row r="57" spans="2:11">
      <c r="B57" s="66" t="str">
        <v/>
      </c>
      <c r="C57" s="67" t="str">
        <v/>
      </c>
      <c r="D57" s="67" t="str">
        <v/>
      </c>
      <c r="E57" s="67" t="str">
        <v/>
      </c>
      <c r="F57" s="67" t="str">
        <v/>
      </c>
      <c r="G57" s="67" t="str">
        <v/>
      </c>
      <c r="H57" s="67" t="str">
        <v/>
      </c>
      <c r="I57" s="67" t="str">
        <v/>
      </c>
      <c r="J57" s="67" t="str">
        <v/>
      </c>
      <c r="K57" s="68" t="str">
        <v/>
      </c>
    </row>
    <row r="58" spans="2:11">
      <c r="B58" s="66" t="str">
        <v/>
      </c>
      <c r="C58" s="67" t="str">
        <v/>
      </c>
      <c r="D58" s="67" t="str">
        <v/>
      </c>
      <c r="E58" s="67" t="str">
        <v/>
      </c>
      <c r="F58" s="67" t="str">
        <v/>
      </c>
      <c r="G58" s="67" t="str">
        <v/>
      </c>
      <c r="H58" s="67" t="str">
        <v/>
      </c>
      <c r="I58" s="67" t="str">
        <v/>
      </c>
      <c r="J58" s="67" t="str">
        <v/>
      </c>
      <c r="K58" s="68" t="str">
        <v/>
      </c>
    </row>
    <row r="59" spans="2:11">
      <c r="B59" s="66" t="str">
        <v/>
      </c>
      <c r="C59" s="67" t="str">
        <v/>
      </c>
      <c r="D59" s="67" t="str">
        <v/>
      </c>
      <c r="E59" s="67" t="str">
        <v/>
      </c>
      <c r="F59" s="67" t="str">
        <v/>
      </c>
      <c r="G59" s="67" t="str">
        <v/>
      </c>
      <c r="H59" s="67" t="str">
        <v/>
      </c>
      <c r="I59" s="67" t="str">
        <v/>
      </c>
      <c r="J59" s="67" t="str">
        <v/>
      </c>
      <c r="K59" s="68" t="str">
        <v/>
      </c>
    </row>
    <row r="60" spans="2:11">
      <c r="B60" s="66" t="str">
        <v/>
      </c>
      <c r="C60" s="67" t="str">
        <v/>
      </c>
      <c r="D60" s="67" t="str">
        <v/>
      </c>
      <c r="E60" s="67" t="str">
        <v/>
      </c>
      <c r="F60" s="67" t="str">
        <v/>
      </c>
      <c r="G60" s="67" t="str">
        <v/>
      </c>
      <c r="H60" s="67" t="str">
        <v/>
      </c>
      <c r="I60" s="67" t="str">
        <v/>
      </c>
      <c r="J60" s="67" t="str">
        <v/>
      </c>
      <c r="K60" s="68" t="str">
        <v/>
      </c>
    </row>
    <row r="61" spans="2:11">
      <c r="B61" s="66" t="str">
        <v/>
      </c>
      <c r="C61" s="67" t="str">
        <v/>
      </c>
      <c r="D61" s="67" t="str">
        <v/>
      </c>
      <c r="E61" s="67" t="str">
        <v/>
      </c>
      <c r="F61" s="67" t="str">
        <v/>
      </c>
      <c r="G61" s="67" t="str">
        <v/>
      </c>
      <c r="H61" s="67" t="str">
        <v/>
      </c>
      <c r="I61" s="67" t="str">
        <v/>
      </c>
      <c r="J61" s="67" t="str">
        <v/>
      </c>
      <c r="K61" s="68" t="str">
        <v/>
      </c>
    </row>
    <row r="62" spans="2:11">
      <c r="B62" s="66" t="str">
        <v/>
      </c>
      <c r="C62" s="67" t="str">
        <v/>
      </c>
      <c r="D62" s="67" t="str">
        <v/>
      </c>
      <c r="E62" s="67" t="str">
        <v/>
      </c>
      <c r="F62" s="67" t="str">
        <v/>
      </c>
      <c r="G62" s="67" t="str">
        <v/>
      </c>
      <c r="H62" s="67" t="str">
        <v/>
      </c>
      <c r="I62" s="67" t="str">
        <v/>
      </c>
      <c r="J62" s="67" t="str">
        <v/>
      </c>
      <c r="K62" s="68" t="str">
        <v/>
      </c>
    </row>
    <row r="63" spans="2:11">
      <c r="B63" s="66" t="str">
        <v/>
      </c>
      <c r="C63" s="67" t="str">
        <v/>
      </c>
      <c r="D63" s="67" t="str">
        <v/>
      </c>
      <c r="E63" s="67" t="str">
        <v/>
      </c>
      <c r="F63" s="67" t="str">
        <v/>
      </c>
      <c r="G63" s="67" t="str">
        <v/>
      </c>
      <c r="H63" s="67" t="str">
        <v/>
      </c>
      <c r="I63" s="67" t="str">
        <v/>
      </c>
      <c r="J63" s="67" t="str">
        <v/>
      </c>
      <c r="K63" s="68" t="str">
        <v/>
      </c>
    </row>
    <row r="64" spans="2:11">
      <c r="B64" s="66" t="str">
        <v/>
      </c>
      <c r="C64" s="67" t="str">
        <v/>
      </c>
      <c r="D64" s="67" t="str">
        <v/>
      </c>
      <c r="E64" s="67" t="str">
        <v/>
      </c>
      <c r="F64" s="67" t="str">
        <v/>
      </c>
      <c r="G64" s="67" t="str">
        <v/>
      </c>
      <c r="H64" s="67" t="str">
        <v/>
      </c>
      <c r="I64" s="67" t="str">
        <v/>
      </c>
      <c r="J64" s="67" t="str">
        <v/>
      </c>
      <c r="K64" s="68" t="str">
        <v/>
      </c>
    </row>
    <row r="65" spans="2:11">
      <c r="B65" s="66" t="str">
        <v/>
      </c>
      <c r="C65" s="67" t="str">
        <v/>
      </c>
      <c r="D65" s="67" t="str">
        <v/>
      </c>
      <c r="E65" s="67" t="str">
        <v/>
      </c>
      <c r="F65" s="67" t="str">
        <v/>
      </c>
      <c r="G65" s="67" t="str">
        <v/>
      </c>
      <c r="H65" s="67" t="str">
        <v/>
      </c>
      <c r="I65" s="67" t="str">
        <v/>
      </c>
      <c r="J65" s="67" t="str">
        <v/>
      </c>
      <c r="K65" s="68" t="str">
        <v/>
      </c>
    </row>
    <row r="66" spans="2:11">
      <c r="B66" s="66" t="str">
        <v/>
      </c>
      <c r="C66" s="67" t="str">
        <v/>
      </c>
      <c r="D66" s="67" t="str">
        <v/>
      </c>
      <c r="E66" s="67" t="str">
        <v/>
      </c>
      <c r="F66" s="67" t="str">
        <v/>
      </c>
      <c r="G66" s="67" t="str">
        <v/>
      </c>
      <c r="H66" s="67" t="str">
        <v/>
      </c>
      <c r="I66" s="67" t="str">
        <v/>
      </c>
      <c r="J66" s="67" t="str">
        <v/>
      </c>
      <c r="K66" s="68" t="str">
        <v/>
      </c>
    </row>
    <row r="67" spans="2:11">
      <c r="B67" s="66" t="str">
        <v/>
      </c>
      <c r="C67" s="67" t="str">
        <v/>
      </c>
      <c r="D67" s="67" t="str">
        <v/>
      </c>
      <c r="E67" s="67" t="str">
        <v/>
      </c>
      <c r="F67" s="67" t="str">
        <v/>
      </c>
      <c r="G67" s="67" t="str">
        <v/>
      </c>
      <c r="H67" s="67" t="str">
        <v/>
      </c>
      <c r="I67" s="67" t="str">
        <v/>
      </c>
      <c r="J67" s="67" t="str">
        <v/>
      </c>
      <c r="K67" s="68" t="str">
        <v/>
      </c>
    </row>
    <row r="68" spans="2:11">
      <c r="B68" s="66" t="str">
        <v/>
      </c>
      <c r="C68" s="67" t="str">
        <v/>
      </c>
      <c r="D68" s="67" t="str">
        <v/>
      </c>
      <c r="E68" s="67" t="str">
        <v/>
      </c>
      <c r="F68" s="67" t="str">
        <v/>
      </c>
      <c r="G68" s="67" t="str">
        <v/>
      </c>
      <c r="H68" s="67" t="str">
        <v/>
      </c>
      <c r="I68" s="67" t="str">
        <v/>
      </c>
      <c r="J68" s="67" t="str">
        <v/>
      </c>
      <c r="K68" s="68" t="str">
        <v/>
      </c>
    </row>
    <row r="69" spans="2:11">
      <c r="B69" s="66" t="str">
        <v/>
      </c>
      <c r="C69" s="67" t="str">
        <v/>
      </c>
      <c r="D69" s="67" t="str">
        <v/>
      </c>
      <c r="E69" s="67" t="str">
        <v/>
      </c>
      <c r="F69" s="67" t="str">
        <v/>
      </c>
      <c r="G69" s="67" t="str">
        <v/>
      </c>
      <c r="H69" s="67" t="str">
        <v/>
      </c>
      <c r="I69" s="67" t="str">
        <v/>
      </c>
      <c r="J69" s="67" t="str">
        <v/>
      </c>
      <c r="K69" s="68" t="str">
        <v/>
      </c>
    </row>
    <row r="70" spans="2:11">
      <c r="B70" s="66" t="str">
        <v/>
      </c>
      <c r="C70" s="67" t="str">
        <v/>
      </c>
      <c r="D70" s="67" t="str">
        <v/>
      </c>
      <c r="E70" s="67" t="str">
        <v/>
      </c>
      <c r="F70" s="67" t="str">
        <v/>
      </c>
      <c r="G70" s="67" t="str">
        <v/>
      </c>
      <c r="H70" s="67" t="str">
        <v/>
      </c>
      <c r="I70" s="67" t="str">
        <v/>
      </c>
      <c r="J70" s="67" t="str">
        <v/>
      </c>
      <c r="K70" s="68" t="str">
        <v/>
      </c>
    </row>
    <row r="71" spans="2:11">
      <c r="B71" s="66" t="str">
        <v/>
      </c>
      <c r="C71" s="67" t="str">
        <v/>
      </c>
      <c r="D71" s="67" t="str">
        <v/>
      </c>
      <c r="E71" s="67" t="str">
        <v/>
      </c>
      <c r="F71" s="67" t="str">
        <v/>
      </c>
      <c r="G71" s="67" t="str">
        <v/>
      </c>
      <c r="H71" s="67" t="str">
        <v/>
      </c>
      <c r="I71" s="67" t="str">
        <v/>
      </c>
      <c r="J71" s="67" t="str">
        <v/>
      </c>
      <c r="K71" s="68" t="str">
        <v/>
      </c>
    </row>
    <row r="72" spans="2:11">
      <c r="B72" s="66" t="str">
        <v/>
      </c>
      <c r="C72" s="67" t="str">
        <v/>
      </c>
      <c r="D72" s="67" t="str">
        <v/>
      </c>
      <c r="E72" s="67" t="str">
        <v/>
      </c>
      <c r="F72" s="67" t="str">
        <v/>
      </c>
      <c r="G72" s="67" t="str">
        <v/>
      </c>
      <c r="H72" s="67" t="str">
        <v/>
      </c>
      <c r="I72" s="67" t="str">
        <v/>
      </c>
      <c r="J72" s="67" t="str">
        <v/>
      </c>
      <c r="K72" s="68" t="str">
        <v/>
      </c>
    </row>
    <row r="73" spans="2:11">
      <c r="B73" s="66" t="str">
        <v/>
      </c>
      <c r="C73" s="67" t="str">
        <v/>
      </c>
      <c r="D73" s="67" t="str">
        <v/>
      </c>
      <c r="E73" s="67" t="str">
        <v/>
      </c>
      <c r="F73" s="67" t="str">
        <v/>
      </c>
      <c r="G73" s="67" t="str">
        <v/>
      </c>
      <c r="H73" s="67" t="str">
        <v/>
      </c>
      <c r="I73" s="67" t="str">
        <v/>
      </c>
      <c r="J73" s="67" t="str">
        <v/>
      </c>
      <c r="K73" s="68" t="str">
        <v/>
      </c>
    </row>
    <row r="74" spans="2:11">
      <c r="B74" s="66" t="str">
        <v/>
      </c>
      <c r="C74" s="67" t="str">
        <v/>
      </c>
      <c r="D74" s="67" t="str">
        <v/>
      </c>
      <c r="E74" s="67" t="str">
        <v/>
      </c>
      <c r="F74" s="67" t="str">
        <v/>
      </c>
      <c r="G74" s="67" t="str">
        <v/>
      </c>
      <c r="H74" s="67" t="str">
        <v/>
      </c>
      <c r="I74" s="67" t="str">
        <v/>
      </c>
      <c r="J74" s="67" t="str">
        <v/>
      </c>
      <c r="K74" s="68" t="str">
        <v/>
      </c>
    </row>
    <row r="75" spans="2:11">
      <c r="B75" s="66" t="str">
        <v/>
      </c>
      <c r="C75" s="67" t="str">
        <v/>
      </c>
      <c r="D75" s="67" t="str">
        <v/>
      </c>
      <c r="E75" s="67" t="str">
        <v/>
      </c>
      <c r="F75" s="67" t="str">
        <v/>
      </c>
      <c r="G75" s="67" t="str">
        <v/>
      </c>
      <c r="H75" s="67" t="str">
        <v/>
      </c>
      <c r="I75" s="67" t="str">
        <v/>
      </c>
      <c r="J75" s="67" t="str">
        <v/>
      </c>
      <c r="K75" s="68" t="str">
        <v/>
      </c>
    </row>
    <row r="76" spans="2:11">
      <c r="B76" s="66" t="str">
        <v/>
      </c>
      <c r="C76" s="67" t="str">
        <v/>
      </c>
      <c r="D76" s="67" t="str">
        <v/>
      </c>
      <c r="E76" s="67" t="str">
        <v/>
      </c>
      <c r="F76" s="67" t="str">
        <v/>
      </c>
      <c r="G76" s="67" t="str">
        <v/>
      </c>
      <c r="H76" s="67" t="str">
        <v/>
      </c>
      <c r="I76" s="67" t="str">
        <v/>
      </c>
      <c r="J76" s="67" t="str">
        <v/>
      </c>
      <c r="K76" s="68" t="str">
        <v/>
      </c>
    </row>
    <row r="77" spans="2:11">
      <c r="B77" s="66" t="str">
        <v/>
      </c>
      <c r="C77" s="67" t="str">
        <v/>
      </c>
      <c r="D77" s="67" t="str">
        <v/>
      </c>
      <c r="E77" s="67" t="str">
        <v/>
      </c>
      <c r="F77" s="67" t="str">
        <v/>
      </c>
      <c r="G77" s="67" t="str">
        <v/>
      </c>
      <c r="H77" s="67" t="str">
        <v/>
      </c>
      <c r="I77" s="67" t="str">
        <v/>
      </c>
      <c r="J77" s="67" t="str">
        <v/>
      </c>
      <c r="K77" s="68" t="str">
        <v/>
      </c>
    </row>
    <row r="78" spans="2:11">
      <c r="B78" s="66" t="str">
        <v/>
      </c>
      <c r="C78" s="67" t="str">
        <v/>
      </c>
      <c r="D78" s="67" t="str">
        <v/>
      </c>
      <c r="E78" s="67" t="str">
        <v/>
      </c>
      <c r="F78" s="67" t="str">
        <v/>
      </c>
      <c r="G78" s="67" t="str">
        <v/>
      </c>
      <c r="H78" s="67" t="str">
        <v/>
      </c>
      <c r="I78" s="67" t="str">
        <v/>
      </c>
      <c r="J78" s="67" t="str">
        <v/>
      </c>
      <c r="K78" s="68" t="str">
        <v/>
      </c>
    </row>
    <row r="79" spans="2:11">
      <c r="B79" s="66" t="str">
        <v/>
      </c>
      <c r="C79" s="67" t="str">
        <v/>
      </c>
      <c r="D79" s="67" t="str">
        <v/>
      </c>
      <c r="E79" s="67" t="str">
        <v/>
      </c>
      <c r="F79" s="67" t="str">
        <v/>
      </c>
      <c r="G79" s="67" t="str">
        <v/>
      </c>
      <c r="H79" s="67" t="str">
        <v/>
      </c>
      <c r="I79" s="67" t="str">
        <v/>
      </c>
      <c r="J79" s="67" t="str">
        <v/>
      </c>
      <c r="K79" s="68" t="str">
        <v/>
      </c>
    </row>
    <row r="80" spans="2:11">
      <c r="B80" s="66" t="str">
        <v/>
      </c>
      <c r="C80" s="67" t="str">
        <v/>
      </c>
      <c r="D80" s="67" t="str">
        <v/>
      </c>
      <c r="E80" s="67" t="str">
        <v/>
      </c>
      <c r="F80" s="67" t="str">
        <v/>
      </c>
      <c r="G80" s="67" t="str">
        <v/>
      </c>
      <c r="H80" s="67" t="str">
        <v/>
      </c>
      <c r="I80" s="67" t="str">
        <v/>
      </c>
      <c r="J80" s="67" t="str">
        <v/>
      </c>
      <c r="K80" s="68" t="str">
        <v/>
      </c>
    </row>
    <row r="81" spans="2:11">
      <c r="B81" s="66" t="str">
        <v/>
      </c>
      <c r="C81" s="67" t="str">
        <v/>
      </c>
      <c r="D81" s="67" t="str">
        <v/>
      </c>
      <c r="E81" s="67" t="str">
        <v/>
      </c>
      <c r="F81" s="67" t="str">
        <v/>
      </c>
      <c r="G81" s="67" t="str">
        <v/>
      </c>
      <c r="H81" s="67" t="str">
        <v/>
      </c>
      <c r="I81" s="67" t="str">
        <v/>
      </c>
      <c r="J81" s="67" t="str">
        <v/>
      </c>
      <c r="K81" s="68" t="str">
        <v/>
      </c>
    </row>
    <row r="82" spans="2:11">
      <c r="B82" s="66" t="str">
        <v/>
      </c>
      <c r="C82" s="67" t="str">
        <v/>
      </c>
      <c r="D82" s="67" t="str">
        <v/>
      </c>
      <c r="E82" s="67" t="str">
        <v/>
      </c>
      <c r="F82" s="67" t="str">
        <v/>
      </c>
      <c r="G82" s="67" t="str">
        <v/>
      </c>
      <c r="H82" s="67" t="str">
        <v/>
      </c>
      <c r="I82" s="67" t="str">
        <v/>
      </c>
      <c r="J82" s="67" t="str">
        <v/>
      </c>
      <c r="K82" s="68" t="str">
        <v/>
      </c>
    </row>
    <row r="83" spans="2:11">
      <c r="B83" s="66" t="str">
        <v/>
      </c>
      <c r="C83" s="67" t="str">
        <v/>
      </c>
      <c r="D83" s="67" t="str">
        <v/>
      </c>
      <c r="E83" s="67" t="str">
        <v/>
      </c>
      <c r="F83" s="67" t="str">
        <v/>
      </c>
      <c r="G83" s="67" t="str">
        <v/>
      </c>
      <c r="H83" s="67" t="str">
        <v/>
      </c>
      <c r="I83" s="67" t="str">
        <v/>
      </c>
      <c r="J83" s="67" t="str">
        <v/>
      </c>
      <c r="K83" s="68" t="str">
        <v/>
      </c>
    </row>
    <row r="84" spans="2:11">
      <c r="B84" s="66" t="str">
        <v/>
      </c>
      <c r="C84" s="67" t="str">
        <v/>
      </c>
      <c r="D84" s="67" t="str">
        <v/>
      </c>
      <c r="E84" s="67" t="str">
        <v/>
      </c>
      <c r="F84" s="67" t="str">
        <v/>
      </c>
      <c r="G84" s="67" t="str">
        <v/>
      </c>
      <c r="H84" s="67" t="str">
        <v/>
      </c>
      <c r="I84" s="67" t="str">
        <v/>
      </c>
      <c r="J84" s="67" t="str">
        <v/>
      </c>
      <c r="K84" s="68" t="str">
        <v/>
      </c>
    </row>
    <row r="85" spans="2:11">
      <c r="B85" s="66" t="str">
        <v/>
      </c>
      <c r="C85" s="67" t="str">
        <v/>
      </c>
      <c r="D85" s="67" t="str">
        <v/>
      </c>
      <c r="E85" s="67" t="str">
        <v/>
      </c>
      <c r="F85" s="67" t="str">
        <v/>
      </c>
      <c r="G85" s="67" t="str">
        <v/>
      </c>
      <c r="H85" s="67" t="str">
        <v/>
      </c>
      <c r="I85" s="67" t="str">
        <v/>
      </c>
      <c r="J85" s="67" t="str">
        <v/>
      </c>
      <c r="K85" s="68" t="str">
        <v/>
      </c>
    </row>
    <row r="86" spans="2:11">
      <c r="B86" s="66" t="str">
        <v/>
      </c>
      <c r="C86" s="67" t="str">
        <v/>
      </c>
      <c r="D86" s="67" t="str">
        <v/>
      </c>
      <c r="E86" s="67" t="str">
        <v/>
      </c>
      <c r="F86" s="67" t="str">
        <v/>
      </c>
      <c r="G86" s="67" t="str">
        <v/>
      </c>
      <c r="H86" s="67" t="str">
        <v/>
      </c>
      <c r="I86" s="67" t="str">
        <v/>
      </c>
      <c r="J86" s="67" t="str">
        <v/>
      </c>
      <c r="K86" s="68" t="str">
        <v/>
      </c>
    </row>
    <row r="87" spans="2:11">
      <c r="B87" s="66" t="str">
        <v/>
      </c>
      <c r="C87" s="67" t="str">
        <v/>
      </c>
      <c r="D87" s="67" t="str">
        <v/>
      </c>
      <c r="E87" s="67" t="str">
        <v/>
      </c>
      <c r="F87" s="67" t="str">
        <v/>
      </c>
      <c r="G87" s="67" t="str">
        <v/>
      </c>
      <c r="H87" s="67" t="str">
        <v/>
      </c>
      <c r="I87" s="67" t="str">
        <v/>
      </c>
      <c r="J87" s="67" t="str">
        <v/>
      </c>
      <c r="K87" s="68" t="str">
        <v/>
      </c>
    </row>
    <row r="88" spans="2:11">
      <c r="B88" s="66" t="str">
        <v/>
      </c>
      <c r="C88" s="67" t="str">
        <v/>
      </c>
      <c r="D88" s="67" t="str">
        <v/>
      </c>
      <c r="E88" s="67" t="str">
        <v/>
      </c>
      <c r="F88" s="67" t="str">
        <v/>
      </c>
      <c r="G88" s="67" t="str">
        <v/>
      </c>
      <c r="H88" s="67" t="str">
        <v/>
      </c>
      <c r="I88" s="67" t="str">
        <v/>
      </c>
      <c r="J88" s="67" t="str">
        <v/>
      </c>
      <c r="K88" s="68" t="str">
        <v/>
      </c>
    </row>
    <row r="89" spans="2:11">
      <c r="B89" s="66" t="str">
        <v/>
      </c>
      <c r="C89" s="67" t="str">
        <v/>
      </c>
      <c r="D89" s="67" t="str">
        <v/>
      </c>
      <c r="E89" s="67" t="str">
        <v/>
      </c>
      <c r="F89" s="67" t="str">
        <v/>
      </c>
      <c r="G89" s="67" t="str">
        <v/>
      </c>
      <c r="H89" s="67" t="str">
        <v/>
      </c>
      <c r="I89" s="67" t="str">
        <v/>
      </c>
      <c r="J89" s="67" t="str">
        <v/>
      </c>
      <c r="K89" s="68" t="str">
        <v/>
      </c>
    </row>
    <row r="90" spans="2:11">
      <c r="B90" s="66" t="str">
        <v/>
      </c>
      <c r="C90" s="67" t="str">
        <v/>
      </c>
      <c r="D90" s="67" t="str">
        <v/>
      </c>
      <c r="E90" s="67" t="str">
        <v/>
      </c>
      <c r="F90" s="67" t="str">
        <v/>
      </c>
      <c r="G90" s="67" t="str">
        <v/>
      </c>
      <c r="H90" s="67" t="str">
        <v/>
      </c>
      <c r="I90" s="67" t="str">
        <v/>
      </c>
      <c r="J90" s="67" t="str">
        <v/>
      </c>
      <c r="K90" s="68" t="str">
        <v/>
      </c>
    </row>
    <row r="91" spans="2:11">
      <c r="B91" s="66" t="str">
        <v/>
      </c>
      <c r="C91" s="67" t="str">
        <v/>
      </c>
      <c r="D91" s="67" t="str">
        <v/>
      </c>
      <c r="E91" s="67" t="str">
        <v/>
      </c>
      <c r="F91" s="67" t="str">
        <v/>
      </c>
      <c r="G91" s="67" t="str">
        <v/>
      </c>
      <c r="H91" s="67" t="str">
        <v/>
      </c>
      <c r="I91" s="67" t="str">
        <v/>
      </c>
      <c r="J91" s="67" t="str">
        <v/>
      </c>
      <c r="K91" s="68" t="str">
        <v/>
      </c>
    </row>
    <row r="92" spans="2:11">
      <c r="B92" s="66" t="str">
        <v/>
      </c>
      <c r="C92" s="67" t="str">
        <v/>
      </c>
      <c r="D92" s="67" t="str">
        <v/>
      </c>
      <c r="E92" s="67" t="str">
        <v/>
      </c>
      <c r="F92" s="67" t="str">
        <v/>
      </c>
      <c r="G92" s="67" t="str">
        <v/>
      </c>
      <c r="H92" s="67" t="str">
        <v/>
      </c>
      <c r="I92" s="67" t="str">
        <v/>
      </c>
      <c r="J92" s="67" t="str">
        <v/>
      </c>
      <c r="K92" s="68" t="str">
        <v/>
      </c>
    </row>
    <row r="93" spans="2:11">
      <c r="B93" s="66" t="str">
        <v/>
      </c>
      <c r="C93" s="67" t="str">
        <v/>
      </c>
      <c r="D93" s="67" t="str">
        <v/>
      </c>
      <c r="E93" s="67" t="str">
        <v/>
      </c>
      <c r="F93" s="67" t="str">
        <v/>
      </c>
      <c r="G93" s="67" t="str">
        <v/>
      </c>
      <c r="H93" s="67" t="str">
        <v/>
      </c>
      <c r="I93" s="67" t="str">
        <v/>
      </c>
      <c r="J93" s="67" t="str">
        <v/>
      </c>
      <c r="K93" s="68" t="str">
        <v/>
      </c>
    </row>
    <row r="94" spans="2:11">
      <c r="B94" s="66" t="str">
        <v/>
      </c>
      <c r="C94" s="67" t="str">
        <v/>
      </c>
      <c r="D94" s="67" t="str">
        <v/>
      </c>
      <c r="E94" s="67" t="str">
        <v/>
      </c>
      <c r="F94" s="67" t="str">
        <v/>
      </c>
      <c r="G94" s="67" t="str">
        <v/>
      </c>
      <c r="H94" s="67" t="str">
        <v/>
      </c>
      <c r="I94" s="67" t="str">
        <v/>
      </c>
      <c r="J94" s="67" t="str">
        <v/>
      </c>
      <c r="K94" s="68" t="str">
        <v/>
      </c>
    </row>
    <row r="95" spans="2:11">
      <c r="B95" s="66" t="str">
        <v/>
      </c>
      <c r="C95" s="67" t="str">
        <v/>
      </c>
      <c r="D95" s="67" t="str">
        <v/>
      </c>
      <c r="E95" s="67" t="str">
        <v/>
      </c>
      <c r="F95" s="67" t="str">
        <v/>
      </c>
      <c r="G95" s="67" t="str">
        <v/>
      </c>
      <c r="H95" s="67" t="str">
        <v/>
      </c>
      <c r="I95" s="67" t="str">
        <v/>
      </c>
      <c r="J95" s="67" t="str">
        <v/>
      </c>
      <c r="K95" s="68" t="str">
        <v/>
      </c>
    </row>
    <row r="96" spans="2:11">
      <c r="B96" s="66" t="str">
        <v/>
      </c>
      <c r="C96" s="67" t="str">
        <v/>
      </c>
      <c r="D96" s="67" t="str">
        <v/>
      </c>
      <c r="E96" s="67" t="str">
        <v/>
      </c>
      <c r="F96" s="67" t="str">
        <v/>
      </c>
      <c r="G96" s="67" t="str">
        <v/>
      </c>
      <c r="H96" s="67" t="str">
        <v/>
      </c>
      <c r="I96" s="67" t="str">
        <v/>
      </c>
      <c r="J96" s="67" t="str">
        <v/>
      </c>
      <c r="K96" s="68" t="str">
        <v/>
      </c>
    </row>
    <row r="97" spans="2:11">
      <c r="B97" s="66" t="str">
        <v/>
      </c>
      <c r="C97" s="67" t="str">
        <v/>
      </c>
      <c r="D97" s="67" t="str">
        <v/>
      </c>
      <c r="E97" s="67" t="str">
        <v/>
      </c>
      <c r="F97" s="67" t="str">
        <v/>
      </c>
      <c r="G97" s="67" t="str">
        <v/>
      </c>
      <c r="H97" s="67" t="str">
        <v/>
      </c>
      <c r="I97" s="67" t="str">
        <v/>
      </c>
      <c r="J97" s="67" t="str">
        <v/>
      </c>
      <c r="K97" s="68" t="str">
        <v/>
      </c>
    </row>
    <row r="98" spans="2:11">
      <c r="B98" s="66" t="str">
        <v/>
      </c>
      <c r="C98" s="67" t="str">
        <v/>
      </c>
      <c r="D98" s="67" t="str">
        <v/>
      </c>
      <c r="E98" s="67" t="str">
        <v/>
      </c>
      <c r="F98" s="67" t="str">
        <v/>
      </c>
      <c r="G98" s="67" t="str">
        <v/>
      </c>
      <c r="H98" s="67" t="str">
        <v/>
      </c>
      <c r="I98" s="67" t="str">
        <v/>
      </c>
      <c r="J98" s="67" t="str">
        <v/>
      </c>
      <c r="K98" s="68" t="str">
        <v/>
      </c>
    </row>
    <row r="99" spans="2:11">
      <c r="B99" s="66" t="str">
        <v/>
      </c>
      <c r="C99" s="67" t="str">
        <v/>
      </c>
      <c r="D99" s="67" t="str">
        <v/>
      </c>
      <c r="E99" s="67" t="str">
        <v/>
      </c>
      <c r="F99" s="67" t="str">
        <v/>
      </c>
      <c r="G99" s="67" t="str">
        <v/>
      </c>
      <c r="H99" s="67" t="str">
        <v/>
      </c>
      <c r="I99" s="67" t="str">
        <v/>
      </c>
      <c r="J99" s="67" t="str">
        <v/>
      </c>
      <c r="K99" s="68" t="str">
        <v/>
      </c>
    </row>
    <row r="100" spans="2:11">
      <c r="B100" s="66" t="str">
        <v/>
      </c>
      <c r="C100" s="67" t="str">
        <v/>
      </c>
      <c r="D100" s="67" t="str">
        <v/>
      </c>
      <c r="E100" s="67" t="str">
        <v/>
      </c>
      <c r="F100" s="67" t="str">
        <v/>
      </c>
      <c r="G100" s="67" t="str">
        <v/>
      </c>
      <c r="H100" s="67" t="str">
        <v/>
      </c>
      <c r="I100" s="67" t="str">
        <v/>
      </c>
      <c r="J100" s="67" t="str">
        <v/>
      </c>
      <c r="K100" s="68" t="str">
        <v/>
      </c>
    </row>
    <row r="101" spans="2:11">
      <c r="B101" s="66" t="str">
        <v/>
      </c>
      <c r="C101" s="67" t="str">
        <v/>
      </c>
      <c r="D101" s="67" t="str">
        <v/>
      </c>
      <c r="E101" s="67" t="str">
        <v/>
      </c>
      <c r="F101" s="67" t="str">
        <v/>
      </c>
      <c r="G101" s="67" t="str">
        <v/>
      </c>
      <c r="H101" s="67" t="str">
        <v/>
      </c>
      <c r="I101" s="67" t="str">
        <v/>
      </c>
      <c r="J101" s="67" t="str">
        <v/>
      </c>
      <c r="K101" s="68" t="str">
        <v/>
      </c>
    </row>
    <row r="102" spans="2:11">
      <c r="B102" s="66" t="str">
        <v/>
      </c>
      <c r="C102" s="67" t="str">
        <v/>
      </c>
      <c r="D102" s="67" t="str">
        <v/>
      </c>
      <c r="E102" s="67" t="str">
        <v/>
      </c>
      <c r="F102" s="67" t="str">
        <v/>
      </c>
      <c r="G102" s="67" t="str">
        <v/>
      </c>
      <c r="H102" s="67" t="str">
        <v/>
      </c>
      <c r="I102" s="67" t="str">
        <v/>
      </c>
      <c r="J102" s="67" t="str">
        <v/>
      </c>
      <c r="K102" s="68" t="str">
        <v/>
      </c>
    </row>
    <row r="103" spans="2:11">
      <c r="B103" s="66" t="str">
        <v/>
      </c>
      <c r="C103" s="67" t="str">
        <v/>
      </c>
      <c r="D103" s="67" t="str">
        <v/>
      </c>
      <c r="E103" s="67" t="str">
        <v/>
      </c>
      <c r="F103" s="67" t="str">
        <v/>
      </c>
      <c r="G103" s="67" t="str">
        <v/>
      </c>
      <c r="H103" s="67" t="str">
        <v/>
      </c>
      <c r="I103" s="67" t="str">
        <v/>
      </c>
      <c r="J103" s="67" t="str">
        <v/>
      </c>
      <c r="K103" s="68" t="str">
        <v/>
      </c>
    </row>
    <row r="104" spans="2:11">
      <c r="B104" s="66" t="str">
        <v/>
      </c>
      <c r="C104" s="67" t="str">
        <v/>
      </c>
      <c r="D104" s="67" t="str">
        <v/>
      </c>
      <c r="E104" s="67" t="str">
        <v/>
      </c>
      <c r="F104" s="67" t="str">
        <v/>
      </c>
      <c r="G104" s="67" t="str">
        <v/>
      </c>
      <c r="H104" s="67" t="str">
        <v/>
      </c>
      <c r="I104" s="67" t="str">
        <v/>
      </c>
      <c r="J104" s="67" t="str">
        <v/>
      </c>
      <c r="K104" s="68" t="str">
        <v/>
      </c>
    </row>
    <row r="105" spans="2:11">
      <c r="B105" s="66" t="str">
        <v/>
      </c>
      <c r="C105" s="67" t="str">
        <v/>
      </c>
      <c r="D105" s="67" t="str">
        <v/>
      </c>
      <c r="E105" s="67" t="str">
        <v/>
      </c>
      <c r="F105" s="67" t="str">
        <v/>
      </c>
      <c r="G105" s="67" t="str">
        <v/>
      </c>
      <c r="H105" s="67" t="str">
        <v/>
      </c>
      <c r="I105" s="67" t="str">
        <v/>
      </c>
      <c r="J105" s="67" t="str">
        <v/>
      </c>
      <c r="K105" s="68" t="str">
        <v/>
      </c>
    </row>
    <row r="106" spans="2:11">
      <c r="B106" s="66" t="str">
        <v/>
      </c>
      <c r="C106" s="67" t="str">
        <v/>
      </c>
      <c r="D106" s="67" t="str">
        <v/>
      </c>
      <c r="E106" s="67" t="str">
        <v/>
      </c>
      <c r="F106" s="67" t="str">
        <v/>
      </c>
      <c r="G106" s="67" t="str">
        <v/>
      </c>
      <c r="H106" s="67" t="str">
        <v/>
      </c>
      <c r="I106" s="67" t="str">
        <v/>
      </c>
      <c r="J106" s="67" t="str">
        <v/>
      </c>
      <c r="K106" s="68" t="str">
        <v/>
      </c>
    </row>
    <row r="107" spans="2:11">
      <c r="B107" s="66" t="str">
        <v/>
      </c>
      <c r="C107" s="67" t="str">
        <v/>
      </c>
      <c r="D107" s="67" t="str">
        <v/>
      </c>
      <c r="E107" s="67" t="str">
        <v/>
      </c>
      <c r="F107" s="67" t="str">
        <v/>
      </c>
      <c r="G107" s="67" t="str">
        <v/>
      </c>
      <c r="H107" s="67" t="str">
        <v/>
      </c>
      <c r="I107" s="67" t="str">
        <v/>
      </c>
      <c r="J107" s="67" t="str">
        <v/>
      </c>
      <c r="K107" s="68" t="str">
        <v/>
      </c>
    </row>
    <row r="108" spans="2:11">
      <c r="B108" s="66" t="str">
        <v/>
      </c>
      <c r="C108" s="67" t="str">
        <v/>
      </c>
      <c r="D108" s="67" t="str">
        <v/>
      </c>
      <c r="E108" s="67" t="str">
        <v/>
      </c>
      <c r="F108" s="67" t="str">
        <v/>
      </c>
      <c r="G108" s="67" t="str">
        <v/>
      </c>
      <c r="H108" s="67" t="str">
        <v/>
      </c>
      <c r="I108" s="67" t="str">
        <v/>
      </c>
      <c r="J108" s="67" t="str">
        <v/>
      </c>
      <c r="K108" s="68" t="str">
        <v/>
      </c>
    </row>
    <row r="109" spans="2:11">
      <c r="B109" s="66" t="str">
        <v/>
      </c>
      <c r="C109" s="67" t="str">
        <v/>
      </c>
      <c r="D109" s="67" t="str">
        <v/>
      </c>
      <c r="E109" s="67" t="str">
        <v/>
      </c>
      <c r="F109" s="67" t="str">
        <v/>
      </c>
      <c r="G109" s="67" t="str">
        <v/>
      </c>
      <c r="H109" s="67" t="str">
        <v/>
      </c>
      <c r="I109" s="67" t="str">
        <v/>
      </c>
      <c r="J109" s="67" t="str">
        <v/>
      </c>
      <c r="K109" s="68" t="str">
        <v/>
      </c>
    </row>
    <row r="110" spans="2:11">
      <c r="B110" s="66" t="str">
        <v/>
      </c>
      <c r="C110" s="67" t="str">
        <v/>
      </c>
      <c r="D110" s="67" t="str">
        <v/>
      </c>
      <c r="E110" s="67" t="str">
        <v/>
      </c>
      <c r="F110" s="67" t="str">
        <v/>
      </c>
      <c r="G110" s="67" t="str">
        <v/>
      </c>
      <c r="H110" s="67" t="str">
        <v/>
      </c>
      <c r="I110" s="67" t="str">
        <v/>
      </c>
      <c r="J110" s="67" t="str">
        <v/>
      </c>
      <c r="K110" s="68" t="str">
        <v/>
      </c>
    </row>
    <row r="111" spans="2:11">
      <c r="B111" s="66" t="str">
        <v/>
      </c>
      <c r="C111" s="67" t="str">
        <v/>
      </c>
      <c r="D111" s="67" t="str">
        <v/>
      </c>
      <c r="E111" s="67" t="str">
        <v/>
      </c>
      <c r="F111" s="67" t="str">
        <v/>
      </c>
      <c r="G111" s="67" t="str">
        <v/>
      </c>
      <c r="H111" s="67" t="str">
        <v/>
      </c>
      <c r="I111" s="67" t="str">
        <v/>
      </c>
      <c r="J111" s="67" t="str">
        <v/>
      </c>
      <c r="K111" s="68" t="str">
        <v/>
      </c>
    </row>
    <row r="112" spans="2:11">
      <c r="B112" s="66" t="str">
        <v/>
      </c>
      <c r="C112" s="67" t="str">
        <v/>
      </c>
      <c r="D112" s="67" t="str">
        <v/>
      </c>
      <c r="E112" s="67" t="str">
        <v/>
      </c>
      <c r="F112" s="67" t="str">
        <v/>
      </c>
      <c r="G112" s="67" t="str">
        <v/>
      </c>
      <c r="H112" s="67" t="str">
        <v/>
      </c>
      <c r="I112" s="67" t="str">
        <v/>
      </c>
      <c r="J112" s="67" t="str">
        <v/>
      </c>
      <c r="K112" s="68" t="str">
        <v/>
      </c>
    </row>
    <row r="113" spans="2:11">
      <c r="B113" s="66" t="str">
        <v/>
      </c>
      <c r="C113" s="67" t="str">
        <v/>
      </c>
      <c r="D113" s="67" t="str">
        <v/>
      </c>
      <c r="E113" s="67" t="str">
        <v/>
      </c>
      <c r="F113" s="67" t="str">
        <v/>
      </c>
      <c r="G113" s="67" t="str">
        <v/>
      </c>
      <c r="H113" s="67" t="str">
        <v/>
      </c>
      <c r="I113" s="67" t="str">
        <v/>
      </c>
      <c r="J113" s="67" t="str">
        <v/>
      </c>
      <c r="K113" s="68" t="str">
        <v/>
      </c>
    </row>
    <row r="114" spans="2:11">
      <c r="B114" s="66" t="str">
        <v/>
      </c>
      <c r="C114" s="67" t="str">
        <v/>
      </c>
      <c r="D114" s="67" t="str">
        <v/>
      </c>
      <c r="E114" s="67" t="str">
        <v/>
      </c>
      <c r="F114" s="67" t="str">
        <v/>
      </c>
      <c r="G114" s="67" t="str">
        <v/>
      </c>
      <c r="H114" s="67" t="str">
        <v/>
      </c>
      <c r="I114" s="67" t="str">
        <v/>
      </c>
      <c r="J114" s="67" t="str">
        <v/>
      </c>
      <c r="K114" s="68" t="str">
        <v/>
      </c>
    </row>
    <row r="115" spans="2:11">
      <c r="B115" s="66" t="str">
        <v/>
      </c>
      <c r="C115" s="67" t="str">
        <v/>
      </c>
      <c r="D115" s="67" t="str">
        <v/>
      </c>
      <c r="E115" s="67" t="str">
        <v/>
      </c>
      <c r="F115" s="67" t="str">
        <v/>
      </c>
      <c r="G115" s="67" t="str">
        <v/>
      </c>
      <c r="H115" s="67" t="str">
        <v/>
      </c>
      <c r="I115" s="67" t="str">
        <v/>
      </c>
      <c r="J115" s="67" t="str">
        <v/>
      </c>
      <c r="K115" s="68" t="str">
        <v/>
      </c>
    </row>
    <row r="116" spans="2:11">
      <c r="B116" s="66" t="str">
        <v/>
      </c>
      <c r="C116" s="67" t="str">
        <v/>
      </c>
      <c r="D116" s="67" t="str">
        <v/>
      </c>
      <c r="E116" s="67" t="str">
        <v/>
      </c>
      <c r="F116" s="67" t="str">
        <v/>
      </c>
      <c r="G116" s="67" t="str">
        <v/>
      </c>
      <c r="H116" s="67" t="str">
        <v/>
      </c>
      <c r="I116" s="67" t="str">
        <v/>
      </c>
      <c r="J116" s="67" t="str">
        <v/>
      </c>
      <c r="K116" s="68" t="str">
        <v/>
      </c>
    </row>
    <row r="117" spans="2:11">
      <c r="B117" s="66" t="str">
        <v/>
      </c>
      <c r="C117" s="67" t="str">
        <v/>
      </c>
      <c r="D117" s="67" t="str">
        <v/>
      </c>
      <c r="E117" s="67" t="str">
        <v/>
      </c>
      <c r="F117" s="67" t="str">
        <v/>
      </c>
      <c r="G117" s="67" t="str">
        <v/>
      </c>
      <c r="H117" s="67" t="str">
        <v/>
      </c>
      <c r="I117" s="67" t="str">
        <v/>
      </c>
      <c r="J117" s="67" t="str">
        <v/>
      </c>
      <c r="K117" s="68" t="str">
        <v/>
      </c>
    </row>
    <row r="118" spans="2:11">
      <c r="B118" s="66" t="str">
        <v/>
      </c>
      <c r="C118" s="67" t="str">
        <v/>
      </c>
      <c r="D118" s="67" t="str">
        <v/>
      </c>
      <c r="E118" s="67" t="str">
        <v/>
      </c>
      <c r="F118" s="67" t="str">
        <v/>
      </c>
      <c r="G118" s="67" t="str">
        <v/>
      </c>
      <c r="H118" s="67" t="str">
        <v/>
      </c>
      <c r="I118" s="67" t="str">
        <v/>
      </c>
      <c r="J118" s="67" t="str">
        <v/>
      </c>
      <c r="K118" s="68" t="str">
        <v/>
      </c>
    </row>
    <row r="119" spans="2:11">
      <c r="B119" s="66" t="str">
        <v/>
      </c>
      <c r="C119" s="67" t="str">
        <v/>
      </c>
      <c r="D119" s="67" t="str">
        <v/>
      </c>
      <c r="E119" s="67" t="str">
        <v/>
      </c>
      <c r="F119" s="67" t="str">
        <v/>
      </c>
      <c r="G119" s="67" t="str">
        <v/>
      </c>
      <c r="H119" s="67" t="str">
        <v/>
      </c>
      <c r="I119" s="67" t="str">
        <v/>
      </c>
      <c r="J119" s="67" t="str">
        <v/>
      </c>
      <c r="K119" s="68" t="str">
        <v/>
      </c>
    </row>
    <row r="120" spans="2:11">
      <c r="B120" s="66" t="str">
        <v/>
      </c>
      <c r="C120" s="67" t="str">
        <v/>
      </c>
      <c r="D120" s="67" t="str">
        <v/>
      </c>
      <c r="E120" s="67" t="str">
        <v/>
      </c>
      <c r="F120" s="67" t="str">
        <v/>
      </c>
      <c r="G120" s="67" t="str">
        <v/>
      </c>
      <c r="H120" s="67" t="str">
        <v/>
      </c>
      <c r="I120" s="67" t="str">
        <v/>
      </c>
      <c r="J120" s="67" t="str">
        <v/>
      </c>
      <c r="K120" s="68" t="str">
        <v/>
      </c>
    </row>
    <row r="121" spans="2:11">
      <c r="B121" s="66" t="str">
        <v/>
      </c>
      <c r="C121" s="67" t="str">
        <v/>
      </c>
      <c r="D121" s="67" t="str">
        <v/>
      </c>
      <c r="E121" s="67" t="str">
        <v/>
      </c>
      <c r="F121" s="67" t="str">
        <v/>
      </c>
      <c r="G121" s="67" t="str">
        <v/>
      </c>
      <c r="H121" s="67" t="str">
        <v/>
      </c>
      <c r="I121" s="67" t="str">
        <v/>
      </c>
      <c r="J121" s="67" t="str">
        <v/>
      </c>
      <c r="K121" s="68" t="str">
        <v/>
      </c>
    </row>
    <row r="122" spans="2:11">
      <c r="B122" s="66" t="str">
        <v/>
      </c>
      <c r="C122" s="67" t="str">
        <v/>
      </c>
      <c r="D122" s="67" t="str">
        <v/>
      </c>
      <c r="E122" s="67" t="str">
        <v/>
      </c>
      <c r="F122" s="67" t="str">
        <v/>
      </c>
      <c r="G122" s="67" t="str">
        <v/>
      </c>
      <c r="H122" s="67" t="str">
        <v/>
      </c>
      <c r="I122" s="67" t="str">
        <v/>
      </c>
      <c r="J122" s="67" t="str">
        <v/>
      </c>
      <c r="K122" s="68" t="str">
        <v/>
      </c>
    </row>
    <row r="123" spans="2:11">
      <c r="B123" s="66" t="str">
        <v/>
      </c>
      <c r="C123" s="67" t="str">
        <v/>
      </c>
      <c r="D123" s="67" t="str">
        <v/>
      </c>
      <c r="E123" s="67" t="str">
        <v/>
      </c>
      <c r="F123" s="67" t="str">
        <v/>
      </c>
      <c r="G123" s="67" t="str">
        <v/>
      </c>
      <c r="H123" s="67" t="str">
        <v/>
      </c>
      <c r="I123" s="67" t="str">
        <v/>
      </c>
      <c r="J123" s="67" t="str">
        <v/>
      </c>
      <c r="K123" s="68" t="str">
        <v/>
      </c>
    </row>
    <row r="124" spans="2:11">
      <c r="B124" s="66" t="str">
        <v/>
      </c>
      <c r="C124" s="67" t="str">
        <v/>
      </c>
      <c r="D124" s="67" t="str">
        <v/>
      </c>
      <c r="E124" s="67" t="str">
        <v/>
      </c>
      <c r="F124" s="67" t="str">
        <v/>
      </c>
      <c r="G124" s="67" t="str">
        <v/>
      </c>
      <c r="H124" s="67" t="str">
        <v/>
      </c>
      <c r="I124" s="67" t="str">
        <v/>
      </c>
      <c r="J124" s="67" t="str">
        <v/>
      </c>
      <c r="K124" s="68" t="str">
        <v/>
      </c>
    </row>
    <row r="125" spans="2:11">
      <c r="B125" s="66" t="str">
        <v/>
      </c>
      <c r="C125" s="67" t="str">
        <v/>
      </c>
      <c r="D125" s="67" t="str">
        <v/>
      </c>
      <c r="E125" s="67" t="str">
        <v/>
      </c>
      <c r="F125" s="67" t="str">
        <v/>
      </c>
      <c r="G125" s="67" t="str">
        <v/>
      </c>
      <c r="H125" s="67" t="str">
        <v/>
      </c>
      <c r="I125" s="67" t="str">
        <v/>
      </c>
      <c r="J125" s="67" t="str">
        <v/>
      </c>
      <c r="K125" s="68" t="str">
        <v/>
      </c>
    </row>
    <row r="126" spans="2:11">
      <c r="B126" s="66" t="str">
        <v/>
      </c>
      <c r="C126" s="67" t="str">
        <v/>
      </c>
      <c r="D126" s="67" t="str">
        <v/>
      </c>
      <c r="E126" s="67" t="str">
        <v/>
      </c>
      <c r="F126" s="67" t="str">
        <v/>
      </c>
      <c r="G126" s="67" t="str">
        <v/>
      </c>
      <c r="H126" s="67" t="str">
        <v/>
      </c>
      <c r="I126" s="67" t="str">
        <v/>
      </c>
      <c r="J126" s="67" t="str">
        <v/>
      </c>
      <c r="K126" s="68" t="str">
        <v/>
      </c>
    </row>
    <row r="127" spans="2:11">
      <c r="B127" s="66" t="str">
        <v/>
      </c>
      <c r="C127" s="67" t="str">
        <v/>
      </c>
      <c r="D127" s="67" t="str">
        <v/>
      </c>
      <c r="E127" s="67" t="str">
        <v/>
      </c>
      <c r="F127" s="67" t="str">
        <v/>
      </c>
      <c r="G127" s="67" t="str">
        <v/>
      </c>
      <c r="H127" s="67" t="str">
        <v/>
      </c>
      <c r="I127" s="67" t="str">
        <v/>
      </c>
      <c r="J127" s="67" t="str">
        <v/>
      </c>
      <c r="K127" s="68" t="str">
        <v/>
      </c>
    </row>
    <row r="128" spans="2:11">
      <c r="B128" s="66" t="str">
        <v/>
      </c>
      <c r="C128" s="67" t="str">
        <v/>
      </c>
      <c r="D128" s="67" t="str">
        <v/>
      </c>
      <c r="E128" s="67" t="str">
        <v/>
      </c>
      <c r="F128" s="67" t="str">
        <v/>
      </c>
      <c r="G128" s="67" t="str">
        <v/>
      </c>
      <c r="H128" s="67" t="str">
        <v/>
      </c>
      <c r="I128" s="67" t="str">
        <v/>
      </c>
      <c r="J128" s="67" t="str">
        <v/>
      </c>
      <c r="K128" s="68" t="str">
        <v/>
      </c>
    </row>
    <row r="129" spans="2:11">
      <c r="B129" s="66" t="str">
        <v/>
      </c>
      <c r="C129" s="67" t="str">
        <v/>
      </c>
      <c r="D129" s="67" t="str">
        <v/>
      </c>
      <c r="E129" s="67" t="str">
        <v/>
      </c>
      <c r="F129" s="67" t="str">
        <v/>
      </c>
      <c r="G129" s="67" t="str">
        <v/>
      </c>
      <c r="H129" s="67" t="str">
        <v/>
      </c>
      <c r="I129" s="67" t="str">
        <v/>
      </c>
      <c r="J129" s="67" t="str">
        <v/>
      </c>
      <c r="K129" s="68" t="str">
        <v/>
      </c>
    </row>
    <row r="130" spans="2:11">
      <c r="B130" s="66" t="str">
        <v/>
      </c>
      <c r="C130" s="67" t="str">
        <v/>
      </c>
      <c r="D130" s="67" t="str">
        <v/>
      </c>
      <c r="E130" s="67" t="str">
        <v/>
      </c>
      <c r="F130" s="67" t="str">
        <v/>
      </c>
      <c r="G130" s="67" t="str">
        <v/>
      </c>
      <c r="H130" s="67" t="str">
        <v/>
      </c>
      <c r="I130" s="67" t="str">
        <v/>
      </c>
      <c r="J130" s="67" t="str">
        <v/>
      </c>
      <c r="K130" s="68" t="str">
        <v/>
      </c>
    </row>
    <row r="131" spans="2:11">
      <c r="B131" s="66" t="str">
        <v/>
      </c>
      <c r="C131" s="67" t="str">
        <v/>
      </c>
      <c r="D131" s="67" t="str">
        <v/>
      </c>
      <c r="E131" s="67" t="str">
        <v/>
      </c>
      <c r="F131" s="67" t="str">
        <v/>
      </c>
      <c r="G131" s="67" t="str">
        <v/>
      </c>
      <c r="H131" s="67" t="str">
        <v/>
      </c>
      <c r="I131" s="67" t="str">
        <v/>
      </c>
      <c r="J131" s="67" t="str">
        <v/>
      </c>
      <c r="K131" s="68" t="str">
        <v/>
      </c>
    </row>
    <row r="132" spans="2:11">
      <c r="B132" s="66" t="str">
        <v/>
      </c>
      <c r="C132" s="67" t="str">
        <v/>
      </c>
      <c r="D132" s="67" t="str">
        <v/>
      </c>
      <c r="E132" s="67" t="str">
        <v/>
      </c>
      <c r="F132" s="67" t="str">
        <v/>
      </c>
      <c r="G132" s="67" t="str">
        <v/>
      </c>
      <c r="H132" s="67" t="str">
        <v/>
      </c>
      <c r="I132" s="67" t="str">
        <v/>
      </c>
      <c r="J132" s="67" t="str">
        <v/>
      </c>
      <c r="K132" s="68" t="str">
        <v/>
      </c>
    </row>
    <row r="133" spans="2:11">
      <c r="B133" s="66" t="str">
        <v/>
      </c>
      <c r="C133" s="67" t="str">
        <v/>
      </c>
      <c r="D133" s="67" t="str">
        <v/>
      </c>
      <c r="E133" s="67" t="str">
        <v/>
      </c>
      <c r="F133" s="67" t="str">
        <v/>
      </c>
      <c r="G133" s="67" t="str">
        <v/>
      </c>
      <c r="H133" s="67" t="str">
        <v/>
      </c>
      <c r="I133" s="67" t="str">
        <v/>
      </c>
      <c r="J133" s="67" t="str">
        <v/>
      </c>
      <c r="K133" s="68" t="str">
        <v/>
      </c>
    </row>
    <row r="134" spans="2:11">
      <c r="B134" s="66" t="str">
        <v/>
      </c>
      <c r="C134" s="67" t="str">
        <v/>
      </c>
      <c r="D134" s="67" t="str">
        <v/>
      </c>
      <c r="E134" s="67" t="str">
        <v/>
      </c>
      <c r="F134" s="67" t="str">
        <v/>
      </c>
      <c r="G134" s="67" t="str">
        <v/>
      </c>
      <c r="H134" s="67" t="str">
        <v/>
      </c>
      <c r="I134" s="67" t="str">
        <v/>
      </c>
      <c r="J134" s="67" t="str">
        <v/>
      </c>
      <c r="K134" s="68" t="str">
        <v/>
      </c>
    </row>
    <row r="135" spans="2:11">
      <c r="B135" s="66" t="str">
        <v/>
      </c>
      <c r="C135" s="67" t="str">
        <v/>
      </c>
      <c r="D135" s="67" t="str">
        <v/>
      </c>
      <c r="E135" s="67" t="str">
        <v/>
      </c>
      <c r="F135" s="67" t="str">
        <v/>
      </c>
      <c r="G135" s="67" t="str">
        <v/>
      </c>
      <c r="H135" s="67" t="str">
        <v/>
      </c>
      <c r="I135" s="67" t="str">
        <v/>
      </c>
      <c r="J135" s="67" t="str">
        <v/>
      </c>
      <c r="K135" s="68" t="str">
        <v/>
      </c>
    </row>
    <row r="136" spans="2:11">
      <c r="B136" s="66" t="str">
        <v/>
      </c>
      <c r="C136" s="67" t="str">
        <v/>
      </c>
      <c r="D136" s="67" t="str">
        <v/>
      </c>
      <c r="E136" s="67" t="str">
        <v/>
      </c>
      <c r="F136" s="67" t="str">
        <v/>
      </c>
      <c r="G136" s="67" t="str">
        <v/>
      </c>
      <c r="H136" s="67" t="str">
        <v/>
      </c>
      <c r="I136" s="67" t="str">
        <v/>
      </c>
      <c r="J136" s="67" t="str">
        <v/>
      </c>
      <c r="K136" s="68" t="str">
        <v/>
      </c>
    </row>
    <row r="137" spans="2:11">
      <c r="B137" s="66" t="str">
        <v/>
      </c>
      <c r="C137" s="67" t="str">
        <v/>
      </c>
      <c r="D137" s="67" t="str">
        <v/>
      </c>
      <c r="E137" s="67" t="str">
        <v/>
      </c>
      <c r="F137" s="67" t="str">
        <v/>
      </c>
      <c r="G137" s="67" t="str">
        <v/>
      </c>
      <c r="H137" s="67" t="str">
        <v/>
      </c>
      <c r="I137" s="67" t="str">
        <v/>
      </c>
      <c r="J137" s="67" t="str">
        <v/>
      </c>
      <c r="K137" s="68" t="str">
        <v/>
      </c>
    </row>
    <row r="138" spans="2:11">
      <c r="B138" s="66" t="str">
        <v/>
      </c>
      <c r="C138" s="67" t="str">
        <v/>
      </c>
      <c r="D138" s="67" t="str">
        <v/>
      </c>
      <c r="E138" s="67" t="str">
        <v/>
      </c>
      <c r="F138" s="67" t="str">
        <v/>
      </c>
      <c r="G138" s="67" t="str">
        <v/>
      </c>
      <c r="H138" s="67" t="str">
        <v/>
      </c>
      <c r="I138" s="67" t="str">
        <v/>
      </c>
      <c r="J138" s="67" t="str">
        <v/>
      </c>
      <c r="K138" s="68" t="str">
        <v/>
      </c>
    </row>
    <row r="139" spans="2:11">
      <c r="B139" s="66" t="str">
        <v/>
      </c>
      <c r="C139" s="67" t="str">
        <v/>
      </c>
      <c r="D139" s="67" t="str">
        <v/>
      </c>
      <c r="E139" s="67" t="str">
        <v/>
      </c>
      <c r="F139" s="67" t="str">
        <v/>
      </c>
      <c r="G139" s="67" t="str">
        <v/>
      </c>
      <c r="H139" s="67" t="str">
        <v/>
      </c>
      <c r="I139" s="67" t="str">
        <v/>
      </c>
      <c r="J139" s="67" t="str">
        <v/>
      </c>
      <c r="K139" s="68" t="str">
        <v/>
      </c>
    </row>
    <row r="140" spans="2:11">
      <c r="B140" s="66" t="str">
        <v/>
      </c>
      <c r="C140" s="67" t="str">
        <v/>
      </c>
      <c r="D140" s="67" t="str">
        <v/>
      </c>
      <c r="E140" s="67" t="str">
        <v/>
      </c>
      <c r="F140" s="67" t="str">
        <v/>
      </c>
      <c r="G140" s="67" t="str">
        <v/>
      </c>
      <c r="H140" s="67" t="str">
        <v/>
      </c>
      <c r="I140" s="67" t="str">
        <v/>
      </c>
      <c r="J140" s="67" t="str">
        <v/>
      </c>
      <c r="K140" s="68" t="str">
        <v/>
      </c>
    </row>
    <row r="141" spans="2:11">
      <c r="B141" s="66" t="str">
        <v/>
      </c>
      <c r="C141" s="67" t="str">
        <v/>
      </c>
      <c r="D141" s="67" t="str">
        <v/>
      </c>
      <c r="E141" s="67" t="str">
        <v/>
      </c>
      <c r="F141" s="67" t="str">
        <v/>
      </c>
      <c r="G141" s="67" t="str">
        <v/>
      </c>
      <c r="H141" s="67" t="str">
        <v/>
      </c>
      <c r="I141" s="67" t="str">
        <v/>
      </c>
      <c r="J141" s="67" t="str">
        <v/>
      </c>
      <c r="K141" s="68" t="str">
        <v/>
      </c>
    </row>
    <row r="142" spans="2:11">
      <c r="B142" s="66" t="str">
        <v/>
      </c>
      <c r="C142" s="67" t="str">
        <v/>
      </c>
      <c r="D142" s="67" t="str">
        <v/>
      </c>
      <c r="E142" s="67" t="str">
        <v/>
      </c>
      <c r="F142" s="67" t="str">
        <v/>
      </c>
      <c r="G142" s="67" t="str">
        <v/>
      </c>
      <c r="H142" s="67" t="str">
        <v/>
      </c>
      <c r="I142" s="67" t="str">
        <v/>
      </c>
      <c r="J142" s="67" t="str">
        <v/>
      </c>
      <c r="K142" s="68" t="str">
        <v/>
      </c>
    </row>
    <row r="143" spans="2:11">
      <c r="B143" s="66" t="str">
        <v/>
      </c>
      <c r="C143" s="67" t="str">
        <v/>
      </c>
      <c r="D143" s="67" t="str">
        <v/>
      </c>
      <c r="E143" s="67" t="str">
        <v/>
      </c>
      <c r="F143" s="67" t="str">
        <v/>
      </c>
      <c r="G143" s="67" t="str">
        <v/>
      </c>
      <c r="H143" s="67" t="str">
        <v/>
      </c>
      <c r="I143" s="67" t="str">
        <v/>
      </c>
      <c r="J143" s="67" t="str">
        <v/>
      </c>
      <c r="K143" s="68" t="str">
        <v/>
      </c>
    </row>
    <row r="144" spans="2:11">
      <c r="B144" s="66" t="str">
        <v/>
      </c>
      <c r="C144" s="67" t="str">
        <v/>
      </c>
      <c r="D144" s="67" t="str">
        <v/>
      </c>
      <c r="E144" s="67" t="str">
        <v/>
      </c>
      <c r="F144" s="67" t="str">
        <v/>
      </c>
      <c r="G144" s="67" t="str">
        <v/>
      </c>
      <c r="H144" s="67" t="str">
        <v/>
      </c>
      <c r="I144" s="67" t="str">
        <v/>
      </c>
      <c r="J144" s="67" t="str">
        <v/>
      </c>
      <c r="K144" s="68" t="str">
        <v/>
      </c>
    </row>
    <row r="145" spans="2:11">
      <c r="B145" s="66" t="str">
        <v/>
      </c>
      <c r="C145" s="67" t="str">
        <v/>
      </c>
      <c r="D145" s="67" t="str">
        <v/>
      </c>
      <c r="E145" s="67" t="str">
        <v/>
      </c>
      <c r="F145" s="67" t="str">
        <v/>
      </c>
      <c r="G145" s="67" t="str">
        <v/>
      </c>
      <c r="H145" s="67" t="str">
        <v/>
      </c>
      <c r="I145" s="67" t="str">
        <v/>
      </c>
      <c r="J145" s="67" t="str">
        <v/>
      </c>
      <c r="K145" s="68" t="str">
        <v/>
      </c>
    </row>
    <row r="146" spans="2:11">
      <c r="B146" s="66" t="str">
        <v/>
      </c>
      <c r="C146" s="67" t="str">
        <v/>
      </c>
      <c r="D146" s="67" t="str">
        <v/>
      </c>
      <c r="E146" s="67" t="str">
        <v/>
      </c>
      <c r="F146" s="67" t="str">
        <v/>
      </c>
      <c r="G146" s="67" t="str">
        <v/>
      </c>
      <c r="H146" s="67" t="str">
        <v/>
      </c>
      <c r="I146" s="67" t="str">
        <v/>
      </c>
      <c r="J146" s="67" t="str">
        <v/>
      </c>
      <c r="K146" s="68" t="str">
        <v/>
      </c>
    </row>
    <row r="147" spans="2:11">
      <c r="B147" s="66" t="str">
        <v/>
      </c>
      <c r="C147" s="67" t="str">
        <v/>
      </c>
      <c r="D147" s="67" t="str">
        <v/>
      </c>
      <c r="E147" s="67" t="str">
        <v/>
      </c>
      <c r="F147" s="67" t="str">
        <v/>
      </c>
      <c r="G147" s="67" t="str">
        <v/>
      </c>
      <c r="H147" s="67" t="str">
        <v/>
      </c>
      <c r="I147" s="67" t="str">
        <v/>
      </c>
      <c r="J147" s="67" t="str">
        <v/>
      </c>
      <c r="K147" s="68" t="str">
        <v/>
      </c>
    </row>
    <row r="148" spans="2:11">
      <c r="B148" s="66" t="str">
        <v/>
      </c>
      <c r="C148" s="67" t="str">
        <v/>
      </c>
      <c r="D148" s="67" t="str">
        <v/>
      </c>
      <c r="E148" s="67" t="str">
        <v/>
      </c>
      <c r="F148" s="67" t="str">
        <v/>
      </c>
      <c r="G148" s="67" t="str">
        <v/>
      </c>
      <c r="H148" s="67" t="str">
        <v/>
      </c>
      <c r="I148" s="67" t="str">
        <v/>
      </c>
      <c r="J148" s="67" t="str">
        <v/>
      </c>
      <c r="K148" s="68" t="str">
        <v/>
      </c>
    </row>
    <row r="149" spans="2:11">
      <c r="B149" s="66" t="str">
        <v/>
      </c>
      <c r="C149" s="67" t="str">
        <v/>
      </c>
      <c r="D149" s="67" t="str">
        <v/>
      </c>
      <c r="E149" s="67" t="str">
        <v/>
      </c>
      <c r="F149" s="67" t="str">
        <v/>
      </c>
      <c r="G149" s="67" t="str">
        <v/>
      </c>
      <c r="H149" s="67" t="str">
        <v/>
      </c>
      <c r="I149" s="67" t="str">
        <v/>
      </c>
      <c r="J149" s="67" t="str">
        <v/>
      </c>
      <c r="K149" s="68" t="str">
        <v/>
      </c>
    </row>
    <row r="150" spans="2:11">
      <c r="B150" s="66" t="str">
        <v/>
      </c>
      <c r="C150" s="67" t="str">
        <v/>
      </c>
      <c r="D150" s="67" t="str">
        <v/>
      </c>
      <c r="E150" s="67" t="str">
        <v/>
      </c>
      <c r="F150" s="67" t="str">
        <v/>
      </c>
      <c r="G150" s="67" t="str">
        <v/>
      </c>
      <c r="H150" s="67" t="str">
        <v/>
      </c>
      <c r="I150" s="67" t="str">
        <v/>
      </c>
      <c r="J150" s="67" t="str">
        <v/>
      </c>
      <c r="K150" s="68" t="str">
        <v/>
      </c>
    </row>
    <row r="151" spans="2:11">
      <c r="B151" s="66" t="str">
        <v/>
      </c>
      <c r="C151" s="67" t="str">
        <v/>
      </c>
      <c r="D151" s="67" t="str">
        <v/>
      </c>
      <c r="E151" s="67" t="str">
        <v/>
      </c>
      <c r="F151" s="67" t="str">
        <v/>
      </c>
      <c r="G151" s="67" t="str">
        <v/>
      </c>
      <c r="H151" s="67" t="str">
        <v/>
      </c>
      <c r="I151" s="67" t="str">
        <v/>
      </c>
      <c r="J151" s="67" t="str">
        <v/>
      </c>
      <c r="K151" s="68" t="str">
        <v/>
      </c>
    </row>
    <row r="152" spans="2:11">
      <c r="B152" s="66" t="str">
        <v/>
      </c>
      <c r="C152" s="67" t="str">
        <v/>
      </c>
      <c r="D152" s="67" t="str">
        <v/>
      </c>
      <c r="E152" s="67" t="str">
        <v/>
      </c>
      <c r="F152" s="67" t="str">
        <v/>
      </c>
      <c r="G152" s="67" t="str">
        <v/>
      </c>
      <c r="H152" s="67" t="str">
        <v/>
      </c>
      <c r="I152" s="67" t="str">
        <v/>
      </c>
      <c r="J152" s="67" t="str">
        <v/>
      </c>
      <c r="K152" s="68" t="str">
        <v/>
      </c>
    </row>
    <row r="153" spans="2:11">
      <c r="B153" s="66" t="str">
        <v/>
      </c>
      <c r="C153" s="67" t="str">
        <v/>
      </c>
      <c r="D153" s="67" t="str">
        <v/>
      </c>
      <c r="E153" s="67" t="str">
        <v/>
      </c>
      <c r="F153" s="67" t="str">
        <v/>
      </c>
      <c r="G153" s="67" t="str">
        <v/>
      </c>
      <c r="H153" s="67" t="str">
        <v/>
      </c>
      <c r="I153" s="67" t="str">
        <v/>
      </c>
      <c r="J153" s="67" t="str">
        <v/>
      </c>
      <c r="K153" s="68" t="str">
        <v/>
      </c>
    </row>
    <row r="154" spans="2:11">
      <c r="B154" s="66" t="str">
        <v/>
      </c>
      <c r="C154" s="67" t="str">
        <v/>
      </c>
      <c r="D154" s="67" t="str">
        <v/>
      </c>
      <c r="E154" s="67" t="str">
        <v/>
      </c>
      <c r="F154" s="67" t="str">
        <v/>
      </c>
      <c r="G154" s="67" t="str">
        <v/>
      </c>
      <c r="H154" s="67" t="str">
        <v/>
      </c>
      <c r="I154" s="67" t="str">
        <v/>
      </c>
      <c r="J154" s="67" t="str">
        <v/>
      </c>
      <c r="K154" s="68" t="str">
        <v/>
      </c>
    </row>
    <row r="155" spans="2:11">
      <c r="B155" s="66" t="str">
        <v/>
      </c>
      <c r="C155" s="67" t="str">
        <v/>
      </c>
      <c r="D155" s="67" t="str">
        <v/>
      </c>
      <c r="E155" s="67" t="str">
        <v/>
      </c>
      <c r="F155" s="67" t="str">
        <v/>
      </c>
      <c r="G155" s="67" t="str">
        <v/>
      </c>
      <c r="H155" s="67" t="str">
        <v/>
      </c>
      <c r="I155" s="67" t="str">
        <v/>
      </c>
      <c r="J155" s="67" t="str">
        <v/>
      </c>
      <c r="K155" s="68" t="str">
        <v/>
      </c>
    </row>
    <row r="156" spans="2:11">
      <c r="B156" s="66" t="str">
        <v/>
      </c>
      <c r="C156" s="67" t="str">
        <v/>
      </c>
      <c r="D156" s="67" t="str">
        <v/>
      </c>
      <c r="E156" s="67" t="str">
        <v/>
      </c>
      <c r="F156" s="67" t="str">
        <v/>
      </c>
      <c r="G156" s="67" t="str">
        <v/>
      </c>
      <c r="H156" s="67" t="str">
        <v/>
      </c>
      <c r="I156" s="67" t="str">
        <v/>
      </c>
      <c r="J156" s="67" t="str">
        <v/>
      </c>
      <c r="K156" s="68" t="str">
        <v/>
      </c>
    </row>
    <row r="157" spans="2:11">
      <c r="B157" s="66" t="str">
        <v/>
      </c>
      <c r="C157" s="67" t="str">
        <v/>
      </c>
      <c r="D157" s="67" t="str">
        <v/>
      </c>
      <c r="E157" s="67" t="str">
        <v/>
      </c>
      <c r="F157" s="67" t="str">
        <v/>
      </c>
      <c r="G157" s="67" t="str">
        <v/>
      </c>
      <c r="H157" s="67" t="str">
        <v/>
      </c>
      <c r="I157" s="67" t="str">
        <v/>
      </c>
      <c r="J157" s="67" t="str">
        <v/>
      </c>
      <c r="K157" s="68" t="str">
        <v/>
      </c>
    </row>
    <row r="158" spans="2:11">
      <c r="B158" s="66" t="str">
        <v/>
      </c>
      <c r="C158" s="67" t="str">
        <v/>
      </c>
      <c r="D158" s="67" t="str">
        <v/>
      </c>
      <c r="E158" s="67" t="str">
        <v/>
      </c>
      <c r="F158" s="67" t="str">
        <v/>
      </c>
      <c r="G158" s="67" t="str">
        <v/>
      </c>
      <c r="H158" s="67" t="str">
        <v/>
      </c>
      <c r="I158" s="67" t="str">
        <v/>
      </c>
      <c r="J158" s="67" t="str">
        <v/>
      </c>
      <c r="K158" s="68" t="str">
        <v/>
      </c>
    </row>
    <row r="159" spans="2:11">
      <c r="B159" s="66" t="str">
        <v/>
      </c>
      <c r="C159" s="67" t="str">
        <v/>
      </c>
      <c r="D159" s="67" t="str">
        <v/>
      </c>
      <c r="E159" s="67" t="str">
        <v/>
      </c>
      <c r="F159" s="67" t="str">
        <v/>
      </c>
      <c r="G159" s="67" t="str">
        <v/>
      </c>
      <c r="H159" s="67" t="str">
        <v/>
      </c>
      <c r="I159" s="67" t="str">
        <v/>
      </c>
      <c r="J159" s="67" t="str">
        <v/>
      </c>
      <c r="K159" s="68" t="str">
        <v/>
      </c>
    </row>
    <row r="160" spans="2:11">
      <c r="B160" s="66" t="str">
        <v/>
      </c>
      <c r="C160" s="67" t="str">
        <v/>
      </c>
      <c r="D160" s="67" t="str">
        <v/>
      </c>
      <c r="E160" s="67" t="str">
        <v/>
      </c>
      <c r="F160" s="67" t="str">
        <v/>
      </c>
      <c r="G160" s="67" t="str">
        <v/>
      </c>
      <c r="H160" s="67" t="str">
        <v/>
      </c>
      <c r="I160" s="67" t="str">
        <v/>
      </c>
      <c r="J160" s="67" t="str">
        <v/>
      </c>
      <c r="K160" s="68" t="str">
        <v/>
      </c>
    </row>
    <row r="161" spans="2:11">
      <c r="B161" s="66" t="str">
        <v/>
      </c>
      <c r="C161" s="67" t="str">
        <v/>
      </c>
      <c r="D161" s="67" t="str">
        <v/>
      </c>
      <c r="E161" s="67" t="str">
        <v/>
      </c>
      <c r="F161" s="67" t="str">
        <v/>
      </c>
      <c r="G161" s="67" t="str">
        <v/>
      </c>
      <c r="H161" s="67" t="str">
        <v/>
      </c>
      <c r="I161" s="67" t="str">
        <v/>
      </c>
      <c r="J161" s="67" t="str">
        <v/>
      </c>
      <c r="K161" s="68" t="str">
        <v/>
      </c>
    </row>
    <row r="162" spans="2:11">
      <c r="B162" s="66" t="str">
        <v/>
      </c>
      <c r="C162" s="67" t="str">
        <v/>
      </c>
      <c r="D162" s="67" t="str">
        <v/>
      </c>
      <c r="E162" s="67" t="str">
        <v/>
      </c>
      <c r="F162" s="67" t="str">
        <v/>
      </c>
      <c r="G162" s="67" t="str">
        <v/>
      </c>
      <c r="H162" s="67" t="str">
        <v/>
      </c>
      <c r="I162" s="67" t="str">
        <v/>
      </c>
      <c r="J162" s="67" t="str">
        <v/>
      </c>
      <c r="K162" s="68" t="str">
        <v/>
      </c>
    </row>
    <row r="163" spans="2:11">
      <c r="B163" s="66" t="str">
        <v/>
      </c>
      <c r="C163" s="67" t="str">
        <v/>
      </c>
      <c r="D163" s="67" t="str">
        <v/>
      </c>
      <c r="E163" s="67" t="str">
        <v/>
      </c>
      <c r="F163" s="67" t="str">
        <v/>
      </c>
      <c r="G163" s="67" t="str">
        <v/>
      </c>
      <c r="H163" s="67" t="str">
        <v/>
      </c>
      <c r="I163" s="67" t="str">
        <v/>
      </c>
      <c r="J163" s="67" t="str">
        <v/>
      </c>
      <c r="K163" s="68" t="str">
        <v/>
      </c>
    </row>
    <row r="164" spans="2:11">
      <c r="B164" s="66" t="str">
        <v/>
      </c>
      <c r="C164" s="67" t="str">
        <v/>
      </c>
      <c r="D164" s="67" t="str">
        <v/>
      </c>
      <c r="E164" s="67" t="str">
        <v/>
      </c>
      <c r="F164" s="67" t="str">
        <v/>
      </c>
      <c r="G164" s="67" t="str">
        <v/>
      </c>
      <c r="H164" s="67" t="str">
        <v/>
      </c>
      <c r="I164" s="67" t="str">
        <v/>
      </c>
      <c r="J164" s="67" t="str">
        <v/>
      </c>
      <c r="K164" s="68" t="str">
        <v/>
      </c>
    </row>
    <row r="165" spans="2:11">
      <c r="B165" s="66" t="str">
        <v/>
      </c>
      <c r="C165" s="67" t="str">
        <v/>
      </c>
      <c r="D165" s="67" t="str">
        <v/>
      </c>
      <c r="E165" s="67" t="str">
        <v/>
      </c>
      <c r="F165" s="67" t="str">
        <v/>
      </c>
      <c r="G165" s="67" t="str">
        <v/>
      </c>
      <c r="H165" s="67" t="str">
        <v/>
      </c>
      <c r="I165" s="67" t="str">
        <v/>
      </c>
      <c r="J165" s="67" t="str">
        <v/>
      </c>
      <c r="K165" s="68" t="str">
        <v/>
      </c>
    </row>
    <row r="166" spans="2:11">
      <c r="B166" s="66" t="str">
        <v/>
      </c>
      <c r="C166" s="67" t="str">
        <v/>
      </c>
      <c r="D166" s="67" t="str">
        <v/>
      </c>
      <c r="E166" s="67" t="str">
        <v/>
      </c>
      <c r="F166" s="67" t="str">
        <v/>
      </c>
      <c r="G166" s="67" t="str">
        <v/>
      </c>
      <c r="H166" s="67" t="str">
        <v/>
      </c>
      <c r="I166" s="67" t="str">
        <v/>
      </c>
      <c r="J166" s="67" t="str">
        <v/>
      </c>
      <c r="K166" s="68" t="str">
        <v/>
      </c>
    </row>
    <row r="167" spans="2:11">
      <c r="B167" s="66" t="str">
        <v/>
      </c>
      <c r="C167" s="67" t="str">
        <v/>
      </c>
      <c r="D167" s="67" t="str">
        <v/>
      </c>
      <c r="E167" s="67" t="str">
        <v/>
      </c>
      <c r="F167" s="67" t="str">
        <v/>
      </c>
      <c r="G167" s="67" t="str">
        <v/>
      </c>
      <c r="H167" s="67" t="str">
        <v/>
      </c>
      <c r="I167" s="67" t="str">
        <v/>
      </c>
      <c r="J167" s="67" t="str">
        <v/>
      </c>
      <c r="K167" s="68" t="str">
        <v/>
      </c>
    </row>
    <row r="168" spans="2:11">
      <c r="B168" s="66" t="str">
        <v/>
      </c>
      <c r="C168" s="67" t="str">
        <v/>
      </c>
      <c r="D168" s="67" t="str">
        <v/>
      </c>
      <c r="E168" s="67" t="str">
        <v/>
      </c>
      <c r="F168" s="67" t="str">
        <v/>
      </c>
      <c r="G168" s="67" t="str">
        <v/>
      </c>
      <c r="H168" s="67" t="str">
        <v/>
      </c>
      <c r="I168" s="67" t="str">
        <v/>
      </c>
      <c r="J168" s="67" t="str">
        <v/>
      </c>
      <c r="K168" s="68" t="str">
        <v/>
      </c>
    </row>
    <row r="169" spans="2:11">
      <c r="B169" s="66" t="str">
        <v/>
      </c>
      <c r="C169" s="67" t="str">
        <v/>
      </c>
      <c r="D169" s="67" t="str">
        <v/>
      </c>
      <c r="E169" s="67" t="str">
        <v/>
      </c>
      <c r="F169" s="67" t="str">
        <v/>
      </c>
      <c r="G169" s="67" t="str">
        <v/>
      </c>
      <c r="H169" s="67" t="str">
        <v/>
      </c>
      <c r="I169" s="67" t="str">
        <v/>
      </c>
      <c r="J169" s="67" t="str">
        <v/>
      </c>
      <c r="K169" s="68" t="str">
        <v/>
      </c>
    </row>
    <row r="170" spans="2:11">
      <c r="B170" s="66" t="str">
        <v/>
      </c>
      <c r="C170" s="67" t="str">
        <v/>
      </c>
      <c r="D170" s="67" t="str">
        <v/>
      </c>
      <c r="E170" s="67" t="str">
        <v/>
      </c>
      <c r="F170" s="67" t="str">
        <v/>
      </c>
      <c r="G170" s="67" t="str">
        <v/>
      </c>
      <c r="H170" s="67" t="str">
        <v/>
      </c>
      <c r="I170" s="67" t="str">
        <v/>
      </c>
      <c r="J170" s="67" t="str">
        <v/>
      </c>
      <c r="K170" s="68" t="str">
        <v/>
      </c>
    </row>
    <row r="171" spans="2:11">
      <c r="B171" s="66" t="str">
        <v/>
      </c>
      <c r="C171" s="67" t="str">
        <v/>
      </c>
      <c r="D171" s="67" t="str">
        <v/>
      </c>
      <c r="E171" s="67" t="str">
        <v/>
      </c>
      <c r="F171" s="67" t="str">
        <v/>
      </c>
      <c r="G171" s="67" t="str">
        <v/>
      </c>
      <c r="H171" s="67" t="str">
        <v/>
      </c>
      <c r="I171" s="67" t="str">
        <v/>
      </c>
      <c r="J171" s="67" t="str">
        <v/>
      </c>
      <c r="K171" s="68" t="str">
        <v/>
      </c>
    </row>
    <row r="172" spans="2:11">
      <c r="B172" s="66" t="str">
        <v/>
      </c>
      <c r="C172" s="67" t="str">
        <v/>
      </c>
      <c r="D172" s="67" t="str">
        <v/>
      </c>
      <c r="E172" s="67" t="str">
        <v/>
      </c>
      <c r="F172" s="67" t="str">
        <v/>
      </c>
      <c r="G172" s="67" t="str">
        <v/>
      </c>
      <c r="H172" s="67" t="str">
        <v/>
      </c>
      <c r="I172" s="67" t="str">
        <v/>
      </c>
      <c r="J172" s="67" t="str">
        <v/>
      </c>
      <c r="K172" s="68" t="str">
        <v/>
      </c>
    </row>
    <row r="173" spans="2:11">
      <c r="B173" s="66" t="str">
        <v/>
      </c>
      <c r="C173" s="67" t="str">
        <v/>
      </c>
      <c r="D173" s="67" t="str">
        <v/>
      </c>
      <c r="E173" s="67" t="str">
        <v/>
      </c>
      <c r="F173" s="67" t="str">
        <v/>
      </c>
      <c r="G173" s="67" t="str">
        <v/>
      </c>
      <c r="H173" s="67" t="str">
        <v/>
      </c>
      <c r="I173" s="67" t="str">
        <v/>
      </c>
      <c r="J173" s="67" t="str">
        <v/>
      </c>
      <c r="K173" s="68" t="str">
        <v/>
      </c>
    </row>
    <row r="174" spans="2:11">
      <c r="B174" s="66" t="str">
        <v/>
      </c>
      <c r="C174" s="67" t="str">
        <v/>
      </c>
      <c r="D174" s="67" t="str">
        <v/>
      </c>
      <c r="E174" s="67" t="str">
        <v/>
      </c>
      <c r="F174" s="67" t="str">
        <v/>
      </c>
      <c r="G174" s="67" t="str">
        <v/>
      </c>
      <c r="H174" s="67" t="str">
        <v/>
      </c>
      <c r="I174" s="67" t="str">
        <v/>
      </c>
      <c r="J174" s="67" t="str">
        <v/>
      </c>
      <c r="K174" s="68" t="str">
        <v/>
      </c>
    </row>
    <row r="175" spans="2:11">
      <c r="B175" s="66" t="str">
        <v/>
      </c>
      <c r="C175" s="67" t="str">
        <v/>
      </c>
      <c r="D175" s="67" t="str">
        <v/>
      </c>
      <c r="E175" s="67" t="str">
        <v/>
      </c>
      <c r="F175" s="67" t="str">
        <v/>
      </c>
      <c r="G175" s="67" t="str">
        <v/>
      </c>
      <c r="H175" s="67" t="str">
        <v/>
      </c>
      <c r="I175" s="67" t="str">
        <v/>
      </c>
      <c r="J175" s="67" t="str">
        <v/>
      </c>
      <c r="K175" s="68" t="str">
        <v/>
      </c>
    </row>
    <row r="176" spans="2:11">
      <c r="B176" s="66" t="str">
        <v/>
      </c>
      <c r="C176" s="67" t="str">
        <v/>
      </c>
      <c r="D176" s="67" t="str">
        <v/>
      </c>
      <c r="E176" s="67" t="str">
        <v/>
      </c>
      <c r="F176" s="67" t="str">
        <v/>
      </c>
      <c r="G176" s="67" t="str">
        <v/>
      </c>
      <c r="H176" s="67" t="str">
        <v/>
      </c>
      <c r="I176" s="67" t="str">
        <v/>
      </c>
      <c r="J176" s="67" t="str">
        <v/>
      </c>
      <c r="K176" s="68" t="str">
        <v/>
      </c>
    </row>
    <row r="177" spans="2:11">
      <c r="B177" s="66" t="str">
        <v/>
      </c>
      <c r="C177" s="67" t="str">
        <v/>
      </c>
      <c r="D177" s="67" t="str">
        <v/>
      </c>
      <c r="E177" s="67" t="str">
        <v/>
      </c>
      <c r="F177" s="67" t="str">
        <v/>
      </c>
      <c r="G177" s="67" t="str">
        <v/>
      </c>
      <c r="H177" s="67" t="str">
        <v/>
      </c>
      <c r="I177" s="67" t="str">
        <v/>
      </c>
      <c r="J177" s="67" t="str">
        <v/>
      </c>
      <c r="K177" s="68" t="str">
        <v/>
      </c>
    </row>
    <row r="178" spans="2:11">
      <c r="B178" s="66" t="str">
        <v/>
      </c>
      <c r="C178" s="67" t="str">
        <v/>
      </c>
      <c r="D178" s="67" t="str">
        <v/>
      </c>
      <c r="E178" s="67" t="str">
        <v/>
      </c>
      <c r="F178" s="67" t="str">
        <v/>
      </c>
      <c r="G178" s="67" t="str">
        <v/>
      </c>
      <c r="H178" s="67" t="str">
        <v/>
      </c>
      <c r="I178" s="67" t="str">
        <v/>
      </c>
      <c r="J178" s="67" t="str">
        <v/>
      </c>
      <c r="K178" s="68" t="str">
        <v/>
      </c>
    </row>
    <row r="179" spans="2:11">
      <c r="B179" s="66" t="str">
        <v/>
      </c>
      <c r="C179" s="67" t="str">
        <v/>
      </c>
      <c r="D179" s="67" t="str">
        <v/>
      </c>
      <c r="E179" s="67" t="str">
        <v/>
      </c>
      <c r="F179" s="67" t="str">
        <v/>
      </c>
      <c r="G179" s="67" t="str">
        <v/>
      </c>
      <c r="H179" s="67" t="str">
        <v/>
      </c>
      <c r="I179" s="67" t="str">
        <v/>
      </c>
      <c r="J179" s="67" t="str">
        <v/>
      </c>
      <c r="K179" s="68" t="str">
        <v/>
      </c>
    </row>
    <row r="180" spans="2:11">
      <c r="B180" s="66" t="str">
        <v/>
      </c>
      <c r="C180" s="67" t="str">
        <v/>
      </c>
      <c r="D180" s="67" t="str">
        <v/>
      </c>
      <c r="E180" s="67" t="str">
        <v/>
      </c>
      <c r="F180" s="67" t="str">
        <v/>
      </c>
      <c r="G180" s="67" t="str">
        <v/>
      </c>
      <c r="H180" s="67" t="str">
        <v/>
      </c>
      <c r="I180" s="67" t="str">
        <v/>
      </c>
      <c r="J180" s="67" t="str">
        <v/>
      </c>
      <c r="K180" s="68" t="str">
        <v/>
      </c>
    </row>
    <row r="181" spans="2:11">
      <c r="B181" s="66" t="str">
        <v/>
      </c>
      <c r="C181" s="67" t="str">
        <v/>
      </c>
      <c r="D181" s="67" t="str">
        <v/>
      </c>
      <c r="E181" s="67" t="str">
        <v/>
      </c>
      <c r="F181" s="67" t="str">
        <v/>
      </c>
      <c r="G181" s="67" t="str">
        <v/>
      </c>
      <c r="H181" s="67" t="str">
        <v/>
      </c>
      <c r="I181" s="67" t="str">
        <v/>
      </c>
      <c r="J181" s="67" t="str">
        <v/>
      </c>
      <c r="K181" s="68" t="str">
        <v/>
      </c>
    </row>
    <row r="182" spans="2:11">
      <c r="B182" s="66" t="str">
        <v/>
      </c>
      <c r="C182" s="67" t="str">
        <v/>
      </c>
      <c r="D182" s="67" t="str">
        <v/>
      </c>
      <c r="E182" s="67" t="str">
        <v/>
      </c>
      <c r="F182" s="67" t="str">
        <v/>
      </c>
      <c r="G182" s="67" t="str">
        <v/>
      </c>
      <c r="H182" s="67" t="str">
        <v/>
      </c>
      <c r="I182" s="67" t="str">
        <v/>
      </c>
      <c r="J182" s="67" t="str">
        <v/>
      </c>
      <c r="K182" s="68" t="str">
        <v/>
      </c>
    </row>
    <row r="183" spans="2:11">
      <c r="B183" s="66" t="str">
        <v/>
      </c>
      <c r="C183" s="67" t="str">
        <v/>
      </c>
      <c r="D183" s="67" t="str">
        <v/>
      </c>
      <c r="E183" s="67" t="str">
        <v/>
      </c>
      <c r="F183" s="67" t="str">
        <v/>
      </c>
      <c r="G183" s="67" t="str">
        <v/>
      </c>
      <c r="H183" s="67" t="str">
        <v/>
      </c>
      <c r="I183" s="67" t="str">
        <v/>
      </c>
      <c r="J183" s="67" t="str">
        <v/>
      </c>
      <c r="K183" s="68" t="str">
        <v/>
      </c>
    </row>
    <row r="184" spans="2:11">
      <c r="B184" s="66" t="str">
        <v/>
      </c>
      <c r="C184" s="67" t="str">
        <v/>
      </c>
      <c r="D184" s="67" t="str">
        <v/>
      </c>
      <c r="E184" s="67" t="str">
        <v/>
      </c>
      <c r="F184" s="67" t="str">
        <v/>
      </c>
      <c r="G184" s="67" t="str">
        <v/>
      </c>
      <c r="H184" s="67" t="str">
        <v/>
      </c>
      <c r="I184" s="67" t="str">
        <v/>
      </c>
      <c r="J184" s="67" t="str">
        <v/>
      </c>
      <c r="K184" s="68" t="str">
        <v/>
      </c>
    </row>
    <row r="185" spans="2:11">
      <c r="B185" s="66" t="str">
        <v/>
      </c>
      <c r="C185" s="67" t="str">
        <v/>
      </c>
      <c r="D185" s="67" t="str">
        <v/>
      </c>
      <c r="E185" s="67" t="str">
        <v/>
      </c>
      <c r="F185" s="67" t="str">
        <v/>
      </c>
      <c r="G185" s="67" t="str">
        <v/>
      </c>
      <c r="H185" s="67" t="str">
        <v/>
      </c>
      <c r="I185" s="67" t="str">
        <v/>
      </c>
      <c r="J185" s="67" t="str">
        <v/>
      </c>
      <c r="K185" s="68" t="str">
        <v/>
      </c>
    </row>
    <row r="186" spans="2:11">
      <c r="B186" s="66" t="str">
        <v/>
      </c>
      <c r="C186" s="67" t="str">
        <v/>
      </c>
      <c r="D186" s="67" t="str">
        <v/>
      </c>
      <c r="E186" s="67" t="str">
        <v/>
      </c>
      <c r="F186" s="67" t="str">
        <v/>
      </c>
      <c r="G186" s="67" t="str">
        <v/>
      </c>
      <c r="H186" s="67" t="str">
        <v/>
      </c>
      <c r="I186" s="67" t="str">
        <v/>
      </c>
      <c r="J186" s="67" t="str">
        <v/>
      </c>
      <c r="K186" s="68" t="str">
        <v/>
      </c>
    </row>
    <row r="187" spans="2:11">
      <c r="B187" s="66" t="str">
        <v/>
      </c>
      <c r="C187" s="67" t="str">
        <v/>
      </c>
      <c r="D187" s="67" t="str">
        <v/>
      </c>
      <c r="E187" s="67" t="str">
        <v/>
      </c>
      <c r="F187" s="67" t="str">
        <v/>
      </c>
      <c r="G187" s="67" t="str">
        <v/>
      </c>
      <c r="H187" s="67" t="str">
        <v/>
      </c>
      <c r="I187" s="67" t="str">
        <v/>
      </c>
      <c r="J187" s="67" t="str">
        <v/>
      </c>
      <c r="K187" s="68" t="str">
        <v/>
      </c>
    </row>
    <row r="188" spans="2:11">
      <c r="B188" s="66" t="str">
        <v/>
      </c>
      <c r="C188" s="67" t="str">
        <v/>
      </c>
      <c r="D188" s="67" t="str">
        <v/>
      </c>
      <c r="E188" s="67" t="str">
        <v/>
      </c>
      <c r="F188" s="67" t="str">
        <v/>
      </c>
      <c r="G188" s="67" t="str">
        <v/>
      </c>
      <c r="H188" s="67" t="str">
        <v/>
      </c>
      <c r="I188" s="67" t="str">
        <v/>
      </c>
      <c r="J188" s="67" t="str">
        <v/>
      </c>
      <c r="K188" s="68" t="str">
        <v/>
      </c>
    </row>
    <row r="189" spans="2:11">
      <c r="B189" s="66" t="str">
        <v/>
      </c>
      <c r="C189" s="67" t="str">
        <v/>
      </c>
      <c r="D189" s="67" t="str">
        <v/>
      </c>
      <c r="E189" s="67" t="str">
        <v/>
      </c>
      <c r="F189" s="67" t="str">
        <v/>
      </c>
      <c r="G189" s="67" t="str">
        <v/>
      </c>
      <c r="H189" s="67" t="str">
        <v/>
      </c>
      <c r="I189" s="67" t="str">
        <v/>
      </c>
      <c r="J189" s="67" t="str">
        <v/>
      </c>
      <c r="K189" s="68" t="str">
        <v/>
      </c>
    </row>
    <row r="190" spans="2:11">
      <c r="B190" s="66" t="str">
        <v/>
      </c>
      <c r="C190" s="67" t="str">
        <v/>
      </c>
      <c r="D190" s="67" t="str">
        <v/>
      </c>
      <c r="E190" s="67" t="str">
        <v/>
      </c>
      <c r="F190" s="67" t="str">
        <v/>
      </c>
      <c r="G190" s="67" t="str">
        <v/>
      </c>
      <c r="H190" s="67" t="str">
        <v/>
      </c>
      <c r="I190" s="67" t="str">
        <v/>
      </c>
      <c r="J190" s="67" t="str">
        <v/>
      </c>
      <c r="K190" s="68" t="str">
        <v/>
      </c>
    </row>
    <row r="191" spans="2:11">
      <c r="B191" s="66" t="str">
        <v/>
      </c>
      <c r="C191" s="67" t="str">
        <v/>
      </c>
      <c r="D191" s="67" t="str">
        <v/>
      </c>
      <c r="E191" s="67" t="str">
        <v/>
      </c>
      <c r="F191" s="67" t="str">
        <v/>
      </c>
      <c r="G191" s="67" t="str">
        <v/>
      </c>
      <c r="H191" s="67" t="str">
        <v/>
      </c>
      <c r="I191" s="67" t="str">
        <v/>
      </c>
      <c r="J191" s="67" t="str">
        <v/>
      </c>
      <c r="K191" s="68" t="str">
        <v/>
      </c>
    </row>
    <row r="192" spans="2:11">
      <c r="B192" s="66" t="str">
        <v/>
      </c>
      <c r="C192" s="67" t="str">
        <v/>
      </c>
      <c r="D192" s="67" t="str">
        <v/>
      </c>
      <c r="E192" s="67" t="str">
        <v/>
      </c>
      <c r="F192" s="67" t="str">
        <v/>
      </c>
      <c r="G192" s="67" t="str">
        <v/>
      </c>
      <c r="H192" s="67" t="str">
        <v/>
      </c>
      <c r="I192" s="67" t="str">
        <v/>
      </c>
      <c r="J192" s="67" t="str">
        <v/>
      </c>
      <c r="K192" s="68" t="str">
        <v/>
      </c>
    </row>
    <row r="193" spans="2:11">
      <c r="B193" s="66" t="str">
        <v/>
      </c>
      <c r="C193" s="67" t="str">
        <v/>
      </c>
      <c r="D193" s="67" t="str">
        <v/>
      </c>
      <c r="E193" s="67" t="str">
        <v/>
      </c>
      <c r="F193" s="67" t="str">
        <v/>
      </c>
      <c r="G193" s="67" t="str">
        <v/>
      </c>
      <c r="H193" s="67" t="str">
        <v/>
      </c>
      <c r="I193" s="67" t="str">
        <v/>
      </c>
      <c r="J193" s="67" t="str">
        <v/>
      </c>
      <c r="K193" s="68" t="str">
        <v/>
      </c>
    </row>
    <row r="194" spans="2:11">
      <c r="B194" s="66" t="str">
        <v/>
      </c>
      <c r="C194" s="67" t="str">
        <v/>
      </c>
      <c r="D194" s="67" t="str">
        <v/>
      </c>
      <c r="E194" s="67" t="str">
        <v/>
      </c>
      <c r="F194" s="67" t="str">
        <v/>
      </c>
      <c r="G194" s="67" t="str">
        <v/>
      </c>
      <c r="H194" s="67" t="str">
        <v/>
      </c>
      <c r="I194" s="67" t="str">
        <v/>
      </c>
      <c r="J194" s="67" t="str">
        <v/>
      </c>
      <c r="K194" s="68" t="str">
        <v/>
      </c>
    </row>
    <row r="195" spans="2:11">
      <c r="B195" s="66" t="str">
        <v/>
      </c>
      <c r="C195" s="67" t="str">
        <v/>
      </c>
      <c r="D195" s="67" t="str">
        <v/>
      </c>
      <c r="E195" s="67" t="str">
        <v/>
      </c>
      <c r="F195" s="67" t="str">
        <v/>
      </c>
      <c r="G195" s="67" t="str">
        <v/>
      </c>
      <c r="H195" s="67" t="str">
        <v/>
      </c>
      <c r="I195" s="67" t="str">
        <v/>
      </c>
      <c r="J195" s="67" t="str">
        <v/>
      </c>
      <c r="K195" s="68" t="str">
        <v/>
      </c>
    </row>
    <row r="196" spans="2:11">
      <c r="B196" s="66" t="str">
        <v/>
      </c>
      <c r="C196" s="67" t="str">
        <v/>
      </c>
      <c r="D196" s="67" t="str">
        <v/>
      </c>
      <c r="E196" s="67" t="str">
        <v/>
      </c>
      <c r="F196" s="67" t="str">
        <v/>
      </c>
      <c r="G196" s="67" t="str">
        <v/>
      </c>
      <c r="H196" s="67" t="str">
        <v/>
      </c>
      <c r="I196" s="67" t="str">
        <v/>
      </c>
      <c r="J196" s="67" t="str">
        <v/>
      </c>
      <c r="K196" s="68" t="str">
        <v/>
      </c>
    </row>
    <row r="197" spans="2:11">
      <c r="B197" s="66" t="str">
        <v/>
      </c>
      <c r="C197" s="67" t="str">
        <v/>
      </c>
      <c r="D197" s="67" t="str">
        <v/>
      </c>
      <c r="E197" s="67" t="str">
        <v/>
      </c>
      <c r="F197" s="67" t="str">
        <v/>
      </c>
      <c r="G197" s="67" t="str">
        <v/>
      </c>
      <c r="H197" s="67" t="str">
        <v/>
      </c>
      <c r="I197" s="67" t="str">
        <v/>
      </c>
      <c r="J197" s="67" t="str">
        <v/>
      </c>
      <c r="K197" s="68" t="str">
        <v/>
      </c>
    </row>
    <row r="198" spans="2:11">
      <c r="B198" s="66" t="str">
        <v/>
      </c>
      <c r="C198" s="67" t="str">
        <v/>
      </c>
      <c r="D198" s="67" t="str">
        <v/>
      </c>
      <c r="E198" s="67" t="str">
        <v/>
      </c>
      <c r="F198" s="67" t="str">
        <v/>
      </c>
      <c r="G198" s="67" t="str">
        <v/>
      </c>
      <c r="H198" s="67" t="str">
        <v/>
      </c>
      <c r="I198" s="67" t="str">
        <v/>
      </c>
      <c r="J198" s="67" t="str">
        <v/>
      </c>
      <c r="K198" s="68" t="str">
        <v/>
      </c>
    </row>
    <row r="199" spans="2:11">
      <c r="B199" s="66" t="str">
        <v/>
      </c>
      <c r="C199" s="67" t="str">
        <v/>
      </c>
      <c r="D199" s="67" t="str">
        <v/>
      </c>
      <c r="E199" s="67" t="str">
        <v/>
      </c>
      <c r="F199" s="67" t="str">
        <v/>
      </c>
      <c r="G199" s="67" t="str">
        <v/>
      </c>
      <c r="H199" s="67" t="str">
        <v/>
      </c>
      <c r="I199" s="67" t="str">
        <v/>
      </c>
      <c r="J199" s="67" t="str">
        <v/>
      </c>
      <c r="K199" s="68" t="str">
        <v/>
      </c>
    </row>
    <row r="200" spans="2:11">
      <c r="B200" s="66" t="str">
        <v/>
      </c>
      <c r="C200" s="67" t="str">
        <v/>
      </c>
      <c r="D200" s="67" t="str">
        <v/>
      </c>
      <c r="E200" s="67" t="str">
        <v/>
      </c>
      <c r="F200" s="67" t="str">
        <v/>
      </c>
      <c r="G200" s="67" t="str">
        <v/>
      </c>
      <c r="H200" s="67" t="str">
        <v/>
      </c>
      <c r="I200" s="67" t="str">
        <v/>
      </c>
      <c r="J200" s="67" t="str">
        <v/>
      </c>
      <c r="K200" s="68" t="str">
        <v/>
      </c>
    </row>
    <row r="201" spans="2:11">
      <c r="B201" s="66" t="str">
        <v/>
      </c>
      <c r="C201" s="67" t="str">
        <v/>
      </c>
      <c r="D201" s="67" t="str">
        <v/>
      </c>
      <c r="E201" s="67" t="str">
        <v/>
      </c>
      <c r="F201" s="67" t="str">
        <v/>
      </c>
      <c r="G201" s="67" t="str">
        <v/>
      </c>
      <c r="H201" s="67" t="str">
        <v/>
      </c>
      <c r="I201" s="67" t="str">
        <v/>
      </c>
      <c r="J201" s="67" t="str">
        <v/>
      </c>
      <c r="K201" s="68" t="str">
        <v/>
      </c>
    </row>
    <row r="202" spans="2:11">
      <c r="B202" s="66" t="str">
        <v/>
      </c>
      <c r="C202" s="67" t="str">
        <v/>
      </c>
      <c r="D202" s="67" t="str">
        <v/>
      </c>
      <c r="E202" s="67" t="str">
        <v/>
      </c>
      <c r="F202" s="67" t="str">
        <v/>
      </c>
      <c r="G202" s="67" t="str">
        <v/>
      </c>
      <c r="H202" s="67" t="str">
        <v/>
      </c>
      <c r="I202" s="67" t="str">
        <v/>
      </c>
      <c r="J202" s="67" t="str">
        <v/>
      </c>
      <c r="K202" s="68" t="str">
        <v/>
      </c>
    </row>
    <row r="203" spans="2:11">
      <c r="B203" s="66" t="str">
        <v/>
      </c>
      <c r="C203" s="67" t="str">
        <v/>
      </c>
      <c r="D203" s="67" t="str">
        <v/>
      </c>
      <c r="E203" s="67" t="str">
        <v/>
      </c>
      <c r="F203" s="67" t="str">
        <v/>
      </c>
      <c r="G203" s="67" t="str">
        <v/>
      </c>
      <c r="H203" s="67" t="str">
        <v/>
      </c>
      <c r="I203" s="67" t="str">
        <v/>
      </c>
      <c r="J203" s="67" t="str">
        <v/>
      </c>
      <c r="K203" s="68" t="str">
        <v/>
      </c>
    </row>
    <row r="204" spans="2:11">
      <c r="B204" s="66" t="str">
        <v/>
      </c>
      <c r="C204" s="67" t="str">
        <v/>
      </c>
      <c r="D204" s="67" t="str">
        <v/>
      </c>
      <c r="E204" s="67" t="str">
        <v/>
      </c>
      <c r="F204" s="67" t="str">
        <v/>
      </c>
      <c r="G204" s="67" t="str">
        <v/>
      </c>
      <c r="H204" s="67" t="str">
        <v/>
      </c>
      <c r="I204" s="67" t="str">
        <v/>
      </c>
      <c r="J204" s="67" t="str">
        <v/>
      </c>
      <c r="K204" s="68" t="str">
        <v/>
      </c>
    </row>
    <row r="205" spans="2:11">
      <c r="B205" s="66" t="str">
        <v/>
      </c>
      <c r="C205" s="67" t="str">
        <v/>
      </c>
      <c r="D205" s="67" t="str">
        <v/>
      </c>
      <c r="E205" s="67" t="str">
        <v/>
      </c>
      <c r="F205" s="67" t="str">
        <v/>
      </c>
      <c r="G205" s="67" t="str">
        <v/>
      </c>
      <c r="H205" s="67" t="str">
        <v/>
      </c>
      <c r="I205" s="67" t="str">
        <v/>
      </c>
      <c r="J205" s="67" t="str">
        <v/>
      </c>
      <c r="K205" s="68" t="str">
        <v/>
      </c>
    </row>
    <row r="206" spans="2:11">
      <c r="B206" s="66" t="str">
        <v/>
      </c>
      <c r="C206" s="67" t="str">
        <v/>
      </c>
      <c r="D206" s="67" t="str">
        <v/>
      </c>
      <c r="E206" s="67" t="str">
        <v/>
      </c>
      <c r="F206" s="67" t="str">
        <v/>
      </c>
      <c r="G206" s="67" t="str">
        <v/>
      </c>
      <c r="H206" s="67" t="str">
        <v/>
      </c>
      <c r="I206" s="67" t="str">
        <v/>
      </c>
      <c r="J206" s="67" t="str">
        <v/>
      </c>
      <c r="K206" s="68" t="str">
        <v/>
      </c>
    </row>
    <row r="207" spans="2:11">
      <c r="B207" s="66" t="str">
        <v/>
      </c>
      <c r="C207" s="67" t="str">
        <v/>
      </c>
      <c r="D207" s="67" t="str">
        <v/>
      </c>
      <c r="E207" s="67" t="str">
        <v/>
      </c>
      <c r="F207" s="67" t="str">
        <v/>
      </c>
      <c r="G207" s="67" t="str">
        <v/>
      </c>
      <c r="H207" s="67" t="str">
        <v/>
      </c>
      <c r="I207" s="67" t="str">
        <v/>
      </c>
      <c r="J207" s="67" t="str">
        <v/>
      </c>
      <c r="K207" s="68" t="str">
        <v/>
      </c>
    </row>
    <row r="208" spans="2:11">
      <c r="B208" s="66" t="str">
        <v/>
      </c>
      <c r="C208" s="67" t="str">
        <v/>
      </c>
      <c r="D208" s="67" t="str">
        <v/>
      </c>
      <c r="E208" s="67" t="str">
        <v/>
      </c>
      <c r="F208" s="67" t="str">
        <v/>
      </c>
      <c r="G208" s="67" t="str">
        <v/>
      </c>
      <c r="H208" s="67" t="str">
        <v/>
      </c>
      <c r="I208" s="67" t="str">
        <v/>
      </c>
      <c r="J208" s="67" t="str">
        <v/>
      </c>
      <c r="K208" s="68" t="str">
        <v/>
      </c>
    </row>
    <row r="209" spans="2:11">
      <c r="B209" s="66" t="str">
        <v/>
      </c>
      <c r="C209" s="67" t="str">
        <v/>
      </c>
      <c r="D209" s="67" t="str">
        <v/>
      </c>
      <c r="E209" s="67" t="str">
        <v/>
      </c>
      <c r="F209" s="67" t="str">
        <v/>
      </c>
      <c r="G209" s="67" t="str">
        <v/>
      </c>
      <c r="H209" s="67" t="str">
        <v/>
      </c>
      <c r="I209" s="67" t="str">
        <v/>
      </c>
      <c r="J209" s="67" t="str">
        <v/>
      </c>
      <c r="K209" s="68" t="str">
        <v/>
      </c>
    </row>
    <row r="210" spans="2:11">
      <c r="B210" s="66" t="str">
        <v/>
      </c>
      <c r="C210" s="67" t="str">
        <v/>
      </c>
      <c r="D210" s="67" t="str">
        <v/>
      </c>
      <c r="E210" s="67" t="str">
        <v/>
      </c>
      <c r="F210" s="67" t="str">
        <v/>
      </c>
      <c r="G210" s="67" t="str">
        <v/>
      </c>
      <c r="H210" s="67" t="str">
        <v/>
      </c>
      <c r="I210" s="67" t="str">
        <v/>
      </c>
      <c r="J210" s="67" t="str">
        <v/>
      </c>
      <c r="K210" s="68" t="str">
        <v/>
      </c>
    </row>
    <row r="211" spans="2:11">
      <c r="B211" s="66" t="str">
        <v/>
      </c>
      <c r="C211" s="67" t="str">
        <v/>
      </c>
      <c r="D211" s="67" t="str">
        <v/>
      </c>
      <c r="E211" s="67" t="str">
        <v/>
      </c>
      <c r="F211" s="67" t="str">
        <v/>
      </c>
      <c r="G211" s="67" t="str">
        <v/>
      </c>
      <c r="H211" s="67" t="str">
        <v/>
      </c>
      <c r="I211" s="67" t="str">
        <v/>
      </c>
      <c r="J211" s="67" t="str">
        <v/>
      </c>
      <c r="K211" s="68" t="str">
        <v/>
      </c>
    </row>
    <row r="212" spans="2:11">
      <c r="B212" s="66" t="str">
        <v/>
      </c>
      <c r="C212" s="67" t="str">
        <v/>
      </c>
      <c r="D212" s="67" t="str">
        <v/>
      </c>
      <c r="E212" s="67" t="str">
        <v/>
      </c>
      <c r="F212" s="67" t="str">
        <v/>
      </c>
      <c r="G212" s="67" t="str">
        <v/>
      </c>
      <c r="H212" s="67" t="str">
        <v/>
      </c>
      <c r="I212" s="67" t="str">
        <v/>
      </c>
      <c r="J212" s="67" t="str">
        <v/>
      </c>
      <c r="K212" s="68" t="str">
        <v/>
      </c>
    </row>
    <row r="213" spans="2:11">
      <c r="B213" s="66" t="str">
        <v/>
      </c>
      <c r="C213" s="67" t="str">
        <v/>
      </c>
      <c r="D213" s="67" t="str">
        <v/>
      </c>
      <c r="E213" s="67" t="str">
        <v/>
      </c>
      <c r="F213" s="67" t="str">
        <v/>
      </c>
      <c r="G213" s="67" t="str">
        <v/>
      </c>
      <c r="H213" s="67" t="str">
        <v/>
      </c>
      <c r="I213" s="67" t="str">
        <v/>
      </c>
      <c r="J213" s="67" t="str">
        <v/>
      </c>
      <c r="K213" s="68" t="str">
        <v/>
      </c>
    </row>
    <row r="214" spans="2:11">
      <c r="B214" s="66" t="str">
        <v/>
      </c>
      <c r="C214" s="67" t="str">
        <v/>
      </c>
      <c r="D214" s="67" t="str">
        <v/>
      </c>
      <c r="E214" s="67" t="str">
        <v/>
      </c>
      <c r="F214" s="67" t="str">
        <v/>
      </c>
      <c r="G214" s="67" t="str">
        <v/>
      </c>
      <c r="H214" s="67" t="str">
        <v/>
      </c>
      <c r="I214" s="67" t="str">
        <v/>
      </c>
      <c r="J214" s="67" t="str">
        <v/>
      </c>
      <c r="K214" s="68" t="str">
        <v/>
      </c>
    </row>
    <row r="215" spans="2:11">
      <c r="B215" s="66" t="str">
        <v/>
      </c>
      <c r="C215" s="67" t="str">
        <v/>
      </c>
      <c r="D215" s="67" t="str">
        <v/>
      </c>
      <c r="E215" s="67" t="str">
        <v/>
      </c>
      <c r="F215" s="67" t="str">
        <v/>
      </c>
      <c r="G215" s="67" t="str">
        <v/>
      </c>
      <c r="H215" s="67" t="str">
        <v/>
      </c>
      <c r="I215" s="67" t="str">
        <v/>
      </c>
      <c r="J215" s="67" t="str">
        <v/>
      </c>
      <c r="K215" s="68" t="str">
        <v/>
      </c>
    </row>
    <row r="216" spans="2:11">
      <c r="B216" s="66" t="str">
        <v/>
      </c>
      <c r="C216" s="67" t="str">
        <v/>
      </c>
      <c r="D216" s="67" t="str">
        <v/>
      </c>
      <c r="E216" s="67" t="str">
        <v/>
      </c>
      <c r="F216" s="67" t="str">
        <v/>
      </c>
      <c r="G216" s="67" t="str">
        <v/>
      </c>
      <c r="H216" s="67" t="str">
        <v/>
      </c>
      <c r="I216" s="67" t="str">
        <v/>
      </c>
      <c r="J216" s="67" t="str">
        <v/>
      </c>
      <c r="K216" s="68" t="str">
        <v/>
      </c>
    </row>
    <row r="217" spans="2:11">
      <c r="B217" s="66" t="str">
        <v/>
      </c>
      <c r="C217" s="67" t="str">
        <v/>
      </c>
      <c r="D217" s="67" t="str">
        <v/>
      </c>
      <c r="E217" s="67" t="str">
        <v/>
      </c>
      <c r="F217" s="67" t="str">
        <v/>
      </c>
      <c r="G217" s="67" t="str">
        <v/>
      </c>
      <c r="H217" s="67" t="str">
        <v/>
      </c>
      <c r="I217" s="67" t="str">
        <v/>
      </c>
      <c r="J217" s="67" t="str">
        <v/>
      </c>
      <c r="K217" s="68" t="str">
        <v/>
      </c>
    </row>
    <row r="218" spans="2:11">
      <c r="B218" s="66" t="str">
        <v/>
      </c>
      <c r="C218" s="67" t="str">
        <v/>
      </c>
      <c r="D218" s="67" t="str">
        <v/>
      </c>
      <c r="E218" s="67" t="str">
        <v/>
      </c>
      <c r="F218" s="67" t="str">
        <v/>
      </c>
      <c r="G218" s="67" t="str">
        <v/>
      </c>
      <c r="H218" s="67" t="str">
        <v/>
      </c>
      <c r="I218" s="67" t="str">
        <v/>
      </c>
      <c r="J218" s="67" t="str">
        <v/>
      </c>
      <c r="K218" s="68" t="str">
        <v/>
      </c>
    </row>
    <row r="219" spans="2:11">
      <c r="B219" s="66" t="str">
        <v/>
      </c>
      <c r="C219" s="67" t="str">
        <v/>
      </c>
      <c r="D219" s="67" t="str">
        <v/>
      </c>
      <c r="E219" s="67" t="str">
        <v/>
      </c>
      <c r="F219" s="67" t="str">
        <v/>
      </c>
      <c r="G219" s="67" t="str">
        <v/>
      </c>
      <c r="H219" s="67" t="str">
        <v/>
      </c>
      <c r="I219" s="67" t="str">
        <v/>
      </c>
      <c r="J219" s="67" t="str">
        <v/>
      </c>
      <c r="K219" s="68" t="str">
        <v/>
      </c>
    </row>
    <row r="220" spans="2:11">
      <c r="B220" s="66" t="str">
        <v/>
      </c>
      <c r="C220" s="67" t="str">
        <v/>
      </c>
      <c r="D220" s="67" t="str">
        <v/>
      </c>
      <c r="E220" s="67" t="str">
        <v/>
      </c>
      <c r="F220" s="67" t="str">
        <v/>
      </c>
      <c r="G220" s="67" t="str">
        <v/>
      </c>
      <c r="H220" s="67" t="str">
        <v/>
      </c>
      <c r="I220" s="67" t="str">
        <v/>
      </c>
      <c r="J220" s="67" t="str">
        <v/>
      </c>
      <c r="K220" s="68" t="str">
        <v/>
      </c>
    </row>
    <row r="221" spans="2:11">
      <c r="B221" s="66" t="str">
        <v/>
      </c>
      <c r="C221" s="67" t="str">
        <v/>
      </c>
      <c r="D221" s="67" t="str">
        <v/>
      </c>
      <c r="E221" s="67" t="str">
        <v/>
      </c>
      <c r="F221" s="67" t="str">
        <v/>
      </c>
      <c r="G221" s="67" t="str">
        <v/>
      </c>
      <c r="H221" s="67" t="str">
        <v/>
      </c>
      <c r="I221" s="67" t="str">
        <v/>
      </c>
      <c r="J221" s="67" t="str">
        <v/>
      </c>
      <c r="K221" s="68" t="str">
        <v/>
      </c>
    </row>
    <row r="222" spans="2:11">
      <c r="B222" s="66" t="str">
        <v/>
      </c>
      <c r="C222" s="67" t="str">
        <v/>
      </c>
      <c r="D222" s="67" t="str">
        <v/>
      </c>
      <c r="E222" s="67" t="str">
        <v/>
      </c>
      <c r="F222" s="67" t="str">
        <v/>
      </c>
      <c r="G222" s="67" t="str">
        <v/>
      </c>
      <c r="H222" s="67" t="str">
        <v/>
      </c>
      <c r="I222" s="67" t="str">
        <v/>
      </c>
      <c r="J222" s="67" t="str">
        <v/>
      </c>
      <c r="K222" s="68" t="str">
        <v/>
      </c>
    </row>
    <row r="223" spans="2:11">
      <c r="B223" s="66" t="str">
        <v/>
      </c>
      <c r="C223" s="67" t="str">
        <v/>
      </c>
      <c r="D223" s="67" t="str">
        <v/>
      </c>
      <c r="E223" s="67" t="str">
        <v/>
      </c>
      <c r="F223" s="67" t="str">
        <v/>
      </c>
      <c r="G223" s="67" t="str">
        <v/>
      </c>
      <c r="H223" s="67" t="str">
        <v/>
      </c>
      <c r="I223" s="67" t="str">
        <v/>
      </c>
      <c r="J223" s="67" t="str">
        <v/>
      </c>
      <c r="K223" s="68" t="str">
        <v/>
      </c>
    </row>
    <row r="224" spans="2:11">
      <c r="B224" s="66" t="str">
        <v/>
      </c>
      <c r="C224" s="67" t="str">
        <v/>
      </c>
      <c r="D224" s="67" t="str">
        <v/>
      </c>
      <c r="E224" s="67" t="str">
        <v/>
      </c>
      <c r="F224" s="67" t="str">
        <v/>
      </c>
      <c r="G224" s="67" t="str">
        <v/>
      </c>
      <c r="H224" s="67" t="str">
        <v/>
      </c>
      <c r="I224" s="67" t="str">
        <v/>
      </c>
      <c r="J224" s="67" t="str">
        <v/>
      </c>
      <c r="K224" s="68" t="str">
        <v/>
      </c>
    </row>
    <row r="225" spans="2:11">
      <c r="B225" s="66" t="str">
        <v/>
      </c>
      <c r="C225" s="67" t="str">
        <v/>
      </c>
      <c r="D225" s="67" t="str">
        <v/>
      </c>
      <c r="E225" s="67" t="str">
        <v/>
      </c>
      <c r="F225" s="67" t="str">
        <v/>
      </c>
      <c r="G225" s="67" t="str">
        <v/>
      </c>
      <c r="H225" s="67" t="str">
        <v/>
      </c>
      <c r="I225" s="67" t="str">
        <v/>
      </c>
      <c r="J225" s="67" t="str">
        <v/>
      </c>
      <c r="K225" s="68" t="str">
        <v/>
      </c>
    </row>
    <row r="226" spans="2:11">
      <c r="B226" s="66" t="str">
        <v/>
      </c>
      <c r="C226" s="67" t="str">
        <v/>
      </c>
      <c r="D226" s="67" t="str">
        <v/>
      </c>
      <c r="E226" s="67" t="str">
        <v/>
      </c>
      <c r="F226" s="67" t="str">
        <v/>
      </c>
      <c r="G226" s="67" t="str">
        <v/>
      </c>
      <c r="H226" s="67" t="str">
        <v/>
      </c>
      <c r="I226" s="67" t="str">
        <v/>
      </c>
      <c r="J226" s="67" t="str">
        <v/>
      </c>
      <c r="K226" s="68" t="str">
        <v/>
      </c>
    </row>
    <row r="227" spans="2:11">
      <c r="B227" s="66" t="str">
        <v/>
      </c>
      <c r="C227" s="67" t="str">
        <v/>
      </c>
      <c r="D227" s="67" t="str">
        <v/>
      </c>
      <c r="E227" s="67" t="str">
        <v/>
      </c>
      <c r="F227" s="67" t="str">
        <v/>
      </c>
      <c r="G227" s="67" t="str">
        <v/>
      </c>
      <c r="H227" s="67" t="str">
        <v/>
      </c>
      <c r="I227" s="67" t="str">
        <v/>
      </c>
      <c r="J227" s="67" t="str">
        <v/>
      </c>
      <c r="K227" s="68" t="str">
        <v/>
      </c>
    </row>
    <row r="228" spans="2:11">
      <c r="B228" s="66" t="str">
        <v/>
      </c>
      <c r="C228" s="67" t="str">
        <v/>
      </c>
      <c r="D228" s="67" t="str">
        <v/>
      </c>
      <c r="E228" s="67" t="str">
        <v/>
      </c>
      <c r="F228" s="67" t="str">
        <v/>
      </c>
      <c r="G228" s="67" t="str">
        <v/>
      </c>
      <c r="H228" s="67" t="str">
        <v/>
      </c>
      <c r="I228" s="67" t="str">
        <v/>
      </c>
      <c r="J228" s="67" t="str">
        <v/>
      </c>
      <c r="K228" s="68" t="str">
        <v/>
      </c>
    </row>
    <row r="229" spans="2:11">
      <c r="B229" s="66" t="str">
        <v/>
      </c>
      <c r="C229" s="67" t="str">
        <v/>
      </c>
      <c r="D229" s="67" t="str">
        <v/>
      </c>
      <c r="E229" s="67" t="str">
        <v/>
      </c>
      <c r="F229" s="67" t="str">
        <v/>
      </c>
      <c r="G229" s="67" t="str">
        <v/>
      </c>
      <c r="H229" s="67" t="str">
        <v/>
      </c>
      <c r="I229" s="67" t="str">
        <v/>
      </c>
      <c r="J229" s="67" t="str">
        <v/>
      </c>
      <c r="K229" s="68" t="str">
        <v/>
      </c>
    </row>
    <row r="230" spans="2:11">
      <c r="B230" s="66" t="str">
        <v/>
      </c>
      <c r="C230" s="67" t="str">
        <v/>
      </c>
      <c r="D230" s="67" t="str">
        <v/>
      </c>
      <c r="E230" s="67" t="str">
        <v/>
      </c>
      <c r="F230" s="67" t="str">
        <v/>
      </c>
      <c r="G230" s="67" t="str">
        <v/>
      </c>
      <c r="H230" s="67" t="str">
        <v/>
      </c>
      <c r="I230" s="67" t="str">
        <v/>
      </c>
      <c r="J230" s="67" t="str">
        <v/>
      </c>
      <c r="K230" s="68" t="str">
        <v/>
      </c>
    </row>
    <row r="231" spans="2:11">
      <c r="B231" s="66" t="str">
        <v/>
      </c>
      <c r="C231" s="67" t="str">
        <v/>
      </c>
      <c r="D231" s="67" t="str">
        <v/>
      </c>
      <c r="E231" s="67" t="str">
        <v/>
      </c>
      <c r="F231" s="67" t="str">
        <v/>
      </c>
      <c r="G231" s="67" t="str">
        <v/>
      </c>
      <c r="H231" s="67" t="str">
        <v/>
      </c>
      <c r="I231" s="67" t="str">
        <v/>
      </c>
      <c r="J231" s="67" t="str">
        <v/>
      </c>
      <c r="K231" s="68" t="str">
        <v/>
      </c>
    </row>
    <row r="232" spans="2:11">
      <c r="B232" s="66" t="str">
        <v/>
      </c>
      <c r="C232" s="67" t="str">
        <v/>
      </c>
      <c r="D232" s="67" t="str">
        <v/>
      </c>
      <c r="E232" s="67" t="str">
        <v/>
      </c>
      <c r="F232" s="67" t="str">
        <v/>
      </c>
      <c r="G232" s="67" t="str">
        <v/>
      </c>
      <c r="H232" s="67" t="str">
        <v/>
      </c>
      <c r="I232" s="67" t="str">
        <v/>
      </c>
      <c r="J232" s="67" t="str">
        <v/>
      </c>
      <c r="K232" s="68" t="str">
        <v/>
      </c>
    </row>
    <row r="233" spans="2:11">
      <c r="B233" s="66" t="str">
        <v/>
      </c>
      <c r="C233" s="67" t="str">
        <v/>
      </c>
      <c r="D233" s="67" t="str">
        <v/>
      </c>
      <c r="E233" s="67" t="str">
        <v/>
      </c>
      <c r="F233" s="67" t="str">
        <v/>
      </c>
      <c r="G233" s="67" t="str">
        <v/>
      </c>
      <c r="H233" s="67" t="str">
        <v/>
      </c>
      <c r="I233" s="67" t="str">
        <v/>
      </c>
      <c r="J233" s="67" t="str">
        <v/>
      </c>
      <c r="K233" s="68" t="str">
        <v/>
      </c>
    </row>
    <row r="234" spans="2:11">
      <c r="B234" s="66" t="str">
        <v/>
      </c>
      <c r="C234" s="67" t="str">
        <v/>
      </c>
      <c r="D234" s="67" t="str">
        <v/>
      </c>
      <c r="E234" s="67" t="str">
        <v/>
      </c>
      <c r="F234" s="67" t="str">
        <v/>
      </c>
      <c r="G234" s="67" t="str">
        <v/>
      </c>
      <c r="H234" s="67" t="str">
        <v/>
      </c>
      <c r="I234" s="67" t="str">
        <v/>
      </c>
      <c r="J234" s="67" t="str">
        <v/>
      </c>
      <c r="K234" s="68" t="str">
        <v/>
      </c>
    </row>
    <row r="235" spans="2:11">
      <c r="B235" s="66" t="str">
        <v/>
      </c>
      <c r="C235" s="67" t="str">
        <v/>
      </c>
      <c r="D235" s="67" t="str">
        <v/>
      </c>
      <c r="E235" s="67" t="str">
        <v/>
      </c>
      <c r="F235" s="67" t="str">
        <v/>
      </c>
      <c r="G235" s="67" t="str">
        <v/>
      </c>
      <c r="H235" s="67" t="str">
        <v/>
      </c>
      <c r="I235" s="67" t="str">
        <v/>
      </c>
      <c r="J235" s="67" t="str">
        <v/>
      </c>
      <c r="K235" s="68" t="str">
        <v/>
      </c>
    </row>
    <row r="236" spans="2:11">
      <c r="B236" s="66" t="str">
        <v/>
      </c>
      <c r="C236" s="67" t="str">
        <v/>
      </c>
      <c r="D236" s="67" t="str">
        <v/>
      </c>
      <c r="E236" s="67" t="str">
        <v/>
      </c>
      <c r="F236" s="67" t="str">
        <v/>
      </c>
      <c r="G236" s="67" t="str">
        <v/>
      </c>
      <c r="H236" s="67" t="str">
        <v/>
      </c>
      <c r="I236" s="67" t="str">
        <v/>
      </c>
      <c r="J236" s="67" t="str">
        <v/>
      </c>
      <c r="K236" s="68" t="str">
        <v/>
      </c>
    </row>
    <row r="237" spans="2:11">
      <c r="B237" s="66" t="str">
        <v/>
      </c>
      <c r="C237" s="67" t="str">
        <v/>
      </c>
      <c r="D237" s="67" t="str">
        <v/>
      </c>
      <c r="E237" s="67" t="str">
        <v/>
      </c>
      <c r="F237" s="67" t="str">
        <v/>
      </c>
      <c r="G237" s="67" t="str">
        <v/>
      </c>
      <c r="H237" s="67" t="str">
        <v/>
      </c>
      <c r="I237" s="67" t="str">
        <v/>
      </c>
      <c r="J237" s="67" t="str">
        <v/>
      </c>
      <c r="K237" s="68" t="str">
        <v/>
      </c>
    </row>
    <row r="238" spans="2:11">
      <c r="B238" s="66" t="str">
        <v/>
      </c>
      <c r="C238" s="67" t="str">
        <v/>
      </c>
      <c r="D238" s="67" t="str">
        <v/>
      </c>
      <c r="E238" s="67" t="str">
        <v/>
      </c>
      <c r="F238" s="67" t="str">
        <v/>
      </c>
      <c r="G238" s="67" t="str">
        <v/>
      </c>
      <c r="H238" s="67" t="str">
        <v/>
      </c>
      <c r="I238" s="67" t="str">
        <v/>
      </c>
      <c r="J238" s="67" t="str">
        <v/>
      </c>
      <c r="K238" s="68" t="str">
        <v/>
      </c>
    </row>
    <row r="239" spans="2:11">
      <c r="B239" s="66" t="str">
        <v/>
      </c>
      <c r="C239" s="67" t="str">
        <v/>
      </c>
      <c r="D239" s="67" t="str">
        <v/>
      </c>
      <c r="E239" s="67" t="str">
        <v/>
      </c>
      <c r="F239" s="67" t="str">
        <v/>
      </c>
      <c r="G239" s="67" t="str">
        <v/>
      </c>
      <c r="H239" s="67" t="str">
        <v/>
      </c>
      <c r="I239" s="67" t="str">
        <v/>
      </c>
      <c r="J239" s="67" t="str">
        <v/>
      </c>
      <c r="K239" s="68" t="str">
        <v/>
      </c>
    </row>
    <row r="240" spans="2:11">
      <c r="B240" s="66" t="str">
        <v/>
      </c>
      <c r="C240" s="67" t="str">
        <v/>
      </c>
      <c r="D240" s="67" t="str">
        <v/>
      </c>
      <c r="E240" s="67" t="str">
        <v/>
      </c>
      <c r="F240" s="67" t="str">
        <v/>
      </c>
      <c r="G240" s="67" t="str">
        <v/>
      </c>
      <c r="H240" s="67" t="str">
        <v/>
      </c>
      <c r="I240" s="67" t="str">
        <v/>
      </c>
      <c r="J240" s="67" t="str">
        <v/>
      </c>
      <c r="K240" s="68" t="str">
        <v/>
      </c>
    </row>
    <row r="241" spans="2:11">
      <c r="B241" s="66" t="str">
        <v/>
      </c>
      <c r="C241" s="67" t="str">
        <v/>
      </c>
      <c r="D241" s="67" t="str">
        <v/>
      </c>
      <c r="E241" s="67" t="str">
        <v/>
      </c>
      <c r="F241" s="67" t="str">
        <v/>
      </c>
      <c r="G241" s="67" t="str">
        <v/>
      </c>
      <c r="H241" s="67" t="str">
        <v/>
      </c>
      <c r="I241" s="67" t="str">
        <v/>
      </c>
      <c r="J241" s="67" t="str">
        <v/>
      </c>
      <c r="K241" s="68" t="str">
        <v/>
      </c>
    </row>
    <row r="242" spans="2:11">
      <c r="B242" s="66" t="str">
        <v/>
      </c>
      <c r="C242" s="67" t="str">
        <v/>
      </c>
      <c r="D242" s="67" t="str">
        <v/>
      </c>
      <c r="E242" s="67" t="str">
        <v/>
      </c>
      <c r="F242" s="67" t="str">
        <v/>
      </c>
      <c r="G242" s="67" t="str">
        <v/>
      </c>
      <c r="H242" s="67" t="str">
        <v/>
      </c>
      <c r="I242" s="67" t="str">
        <v/>
      </c>
      <c r="J242" s="67" t="str">
        <v/>
      </c>
      <c r="K242" s="68" t="str">
        <v/>
      </c>
    </row>
    <row r="243" spans="2:11">
      <c r="B243" s="66" t="str">
        <v/>
      </c>
      <c r="C243" s="67" t="str">
        <v/>
      </c>
      <c r="D243" s="67" t="str">
        <v/>
      </c>
      <c r="E243" s="67" t="str">
        <v/>
      </c>
      <c r="F243" s="67" t="str">
        <v/>
      </c>
      <c r="G243" s="67" t="str">
        <v/>
      </c>
      <c r="H243" s="67" t="str">
        <v/>
      </c>
      <c r="I243" s="67" t="str">
        <v/>
      </c>
      <c r="J243" s="67" t="str">
        <v/>
      </c>
      <c r="K243" s="68" t="str">
        <v/>
      </c>
    </row>
    <row r="244" spans="2:11">
      <c r="B244" s="66" t="str">
        <v/>
      </c>
      <c r="C244" s="67" t="str">
        <v/>
      </c>
      <c r="D244" s="67" t="str">
        <v/>
      </c>
      <c r="E244" s="67" t="str">
        <v/>
      </c>
      <c r="F244" s="67" t="str">
        <v/>
      </c>
      <c r="G244" s="67" t="str">
        <v/>
      </c>
      <c r="H244" s="67" t="str">
        <v/>
      </c>
      <c r="I244" s="67" t="str">
        <v/>
      </c>
      <c r="J244" s="67" t="str">
        <v/>
      </c>
      <c r="K244" s="68" t="str">
        <v/>
      </c>
    </row>
    <row r="245" spans="2:11">
      <c r="B245" s="66" t="str">
        <v/>
      </c>
      <c r="C245" s="67" t="str">
        <v/>
      </c>
      <c r="D245" s="67" t="str">
        <v/>
      </c>
      <c r="E245" s="67" t="str">
        <v/>
      </c>
      <c r="F245" s="67" t="str">
        <v/>
      </c>
      <c r="G245" s="67" t="str">
        <v/>
      </c>
      <c r="H245" s="67" t="str">
        <v/>
      </c>
      <c r="I245" s="67" t="str">
        <v/>
      </c>
      <c r="J245" s="67" t="str">
        <v/>
      </c>
      <c r="K245" s="68" t="str">
        <v/>
      </c>
    </row>
    <row r="246" spans="2:11">
      <c r="B246" s="66" t="str">
        <v/>
      </c>
      <c r="C246" s="67" t="str">
        <v/>
      </c>
      <c r="D246" s="67" t="str">
        <v/>
      </c>
      <c r="E246" s="67" t="str">
        <v/>
      </c>
      <c r="F246" s="67" t="str">
        <v/>
      </c>
      <c r="G246" s="67" t="str">
        <v/>
      </c>
      <c r="H246" s="67" t="str">
        <v/>
      </c>
      <c r="I246" s="67" t="str">
        <v/>
      </c>
      <c r="J246" s="67" t="str">
        <v/>
      </c>
      <c r="K246" s="68" t="str">
        <v/>
      </c>
    </row>
    <row r="247" spans="2:11">
      <c r="B247" s="66" t="str">
        <v/>
      </c>
      <c r="C247" s="67" t="str">
        <v/>
      </c>
      <c r="D247" s="67" t="str">
        <v/>
      </c>
      <c r="E247" s="67" t="str">
        <v/>
      </c>
      <c r="F247" s="67" t="str">
        <v/>
      </c>
      <c r="G247" s="67" t="str">
        <v/>
      </c>
      <c r="H247" s="67" t="str">
        <v/>
      </c>
      <c r="I247" s="67" t="str">
        <v/>
      </c>
      <c r="J247" s="67" t="str">
        <v/>
      </c>
      <c r="K247" s="68" t="str">
        <v/>
      </c>
    </row>
    <row r="248" spans="2:11">
      <c r="B248" s="66" t="str">
        <v/>
      </c>
      <c r="C248" s="67" t="str">
        <v/>
      </c>
      <c r="D248" s="67" t="str">
        <v/>
      </c>
      <c r="E248" s="67" t="str">
        <v/>
      </c>
      <c r="F248" s="67" t="str">
        <v/>
      </c>
      <c r="G248" s="67" t="str">
        <v/>
      </c>
      <c r="H248" s="67" t="str">
        <v/>
      </c>
      <c r="I248" s="67" t="str">
        <v/>
      </c>
      <c r="J248" s="67" t="str">
        <v/>
      </c>
      <c r="K248" s="68" t="str">
        <v/>
      </c>
    </row>
    <row r="249" spans="2:11">
      <c r="B249" s="66" t="str">
        <v/>
      </c>
      <c r="C249" s="67" t="str">
        <v/>
      </c>
      <c r="D249" s="67" t="str">
        <v/>
      </c>
      <c r="E249" s="67" t="str">
        <v/>
      </c>
      <c r="F249" s="67" t="str">
        <v/>
      </c>
      <c r="G249" s="67" t="str">
        <v/>
      </c>
      <c r="H249" s="67" t="str">
        <v/>
      </c>
      <c r="I249" s="67" t="str">
        <v/>
      </c>
      <c r="J249" s="67" t="str">
        <v/>
      </c>
      <c r="K249" s="68" t="str">
        <v/>
      </c>
    </row>
    <row r="250" spans="2:11">
      <c r="B250" s="66" t="str">
        <v/>
      </c>
      <c r="C250" s="67" t="str">
        <v/>
      </c>
      <c r="D250" s="67" t="str">
        <v/>
      </c>
      <c r="E250" s="67" t="str">
        <v/>
      </c>
      <c r="F250" s="67" t="str">
        <v/>
      </c>
      <c r="G250" s="67" t="str">
        <v/>
      </c>
      <c r="H250" s="67" t="str">
        <v/>
      </c>
      <c r="I250" s="67" t="str">
        <v/>
      </c>
      <c r="J250" s="67" t="str">
        <v/>
      </c>
      <c r="K250" s="68" t="str">
        <v/>
      </c>
    </row>
    <row r="251" spans="2:11">
      <c r="B251" s="66" t="str">
        <v/>
      </c>
      <c r="C251" s="67" t="str">
        <v/>
      </c>
      <c r="D251" s="67" t="str">
        <v/>
      </c>
      <c r="E251" s="67" t="str">
        <v/>
      </c>
      <c r="F251" s="67" t="str">
        <v/>
      </c>
      <c r="G251" s="67" t="str">
        <v/>
      </c>
      <c r="H251" s="67" t="str">
        <v/>
      </c>
      <c r="I251" s="67" t="str">
        <v/>
      </c>
      <c r="J251" s="67" t="str">
        <v/>
      </c>
      <c r="K251" s="68" t="str">
        <v/>
      </c>
    </row>
    <row r="252" spans="2:11">
      <c r="B252" s="66" t="str">
        <v/>
      </c>
      <c r="C252" s="67" t="str">
        <v/>
      </c>
      <c r="D252" s="67" t="str">
        <v/>
      </c>
      <c r="E252" s="67" t="str">
        <v/>
      </c>
      <c r="F252" s="67" t="str">
        <v/>
      </c>
      <c r="G252" s="67" t="str">
        <v/>
      </c>
      <c r="H252" s="67" t="str">
        <v/>
      </c>
      <c r="I252" s="67" t="str">
        <v/>
      </c>
      <c r="J252" s="67" t="str">
        <v/>
      </c>
      <c r="K252" s="68" t="str">
        <v/>
      </c>
    </row>
    <row r="253" spans="2:11">
      <c r="B253" s="66" t="str">
        <v/>
      </c>
      <c r="C253" s="67" t="str">
        <v/>
      </c>
      <c r="D253" s="67" t="str">
        <v/>
      </c>
      <c r="E253" s="67" t="str">
        <v/>
      </c>
      <c r="F253" s="67" t="str">
        <v/>
      </c>
      <c r="G253" s="67" t="str">
        <v/>
      </c>
      <c r="H253" s="67" t="str">
        <v/>
      </c>
      <c r="I253" s="67" t="str">
        <v/>
      </c>
      <c r="J253" s="67" t="str">
        <v/>
      </c>
      <c r="K253" s="68" t="str">
        <v/>
      </c>
    </row>
    <row r="254" spans="2:11">
      <c r="B254" s="66" t="str">
        <v/>
      </c>
      <c r="C254" s="67" t="str">
        <v/>
      </c>
      <c r="D254" s="67" t="str">
        <v/>
      </c>
      <c r="E254" s="67" t="str">
        <v/>
      </c>
      <c r="F254" s="67" t="str">
        <v/>
      </c>
      <c r="G254" s="67" t="str">
        <v/>
      </c>
      <c r="H254" s="67" t="str">
        <v/>
      </c>
      <c r="I254" s="67" t="str">
        <v/>
      </c>
      <c r="J254" s="67" t="str">
        <v/>
      </c>
      <c r="K254" s="68" t="str">
        <v/>
      </c>
    </row>
    <row r="255" spans="2:11">
      <c r="B255" s="66" t="str">
        <v/>
      </c>
      <c r="C255" s="67" t="str">
        <v/>
      </c>
      <c r="D255" s="67" t="str">
        <v/>
      </c>
      <c r="E255" s="67" t="str">
        <v/>
      </c>
      <c r="F255" s="67" t="str">
        <v/>
      </c>
      <c r="G255" s="67" t="str">
        <v/>
      </c>
      <c r="H255" s="67" t="str">
        <v/>
      </c>
      <c r="I255" s="67" t="str">
        <v/>
      </c>
      <c r="J255" s="67" t="str">
        <v/>
      </c>
      <c r="K255" s="68" t="str">
        <v/>
      </c>
    </row>
    <row r="256" spans="2:11">
      <c r="B256" s="66" t="str">
        <v/>
      </c>
      <c r="C256" s="67" t="str">
        <v/>
      </c>
      <c r="D256" s="67" t="str">
        <v/>
      </c>
      <c r="E256" s="67" t="str">
        <v/>
      </c>
      <c r="F256" s="67" t="str">
        <v/>
      </c>
      <c r="G256" s="67" t="str">
        <v/>
      </c>
      <c r="H256" s="67" t="str">
        <v/>
      </c>
      <c r="I256" s="67" t="str">
        <v/>
      </c>
      <c r="J256" s="67" t="str">
        <v/>
      </c>
      <c r="K256" s="68" t="str">
        <v/>
      </c>
    </row>
    <row r="257" spans="2:11">
      <c r="B257" s="66" t="str">
        <v/>
      </c>
      <c r="C257" s="67" t="str">
        <v/>
      </c>
      <c r="D257" s="67" t="str">
        <v/>
      </c>
      <c r="E257" s="67" t="str">
        <v/>
      </c>
      <c r="F257" s="67" t="str">
        <v/>
      </c>
      <c r="G257" s="67" t="str">
        <v/>
      </c>
      <c r="H257" s="67" t="str">
        <v/>
      </c>
      <c r="I257" s="67" t="str">
        <v/>
      </c>
      <c r="J257" s="67" t="str">
        <v/>
      </c>
      <c r="K257" s="68" t="str">
        <v/>
      </c>
    </row>
    <row r="258" spans="2:11">
      <c r="B258" s="66" t="str">
        <v/>
      </c>
      <c r="C258" s="67" t="str">
        <v/>
      </c>
      <c r="D258" s="67" t="str">
        <v/>
      </c>
      <c r="E258" s="67" t="str">
        <v/>
      </c>
      <c r="F258" s="67" t="str">
        <v/>
      </c>
      <c r="G258" s="67" t="str">
        <v/>
      </c>
      <c r="H258" s="67" t="str">
        <v/>
      </c>
      <c r="I258" s="67" t="str">
        <v/>
      </c>
      <c r="J258" s="67" t="str">
        <v/>
      </c>
      <c r="K258" s="68" t="str">
        <v/>
      </c>
    </row>
    <row r="259" spans="2:11">
      <c r="B259" s="66" t="str">
        <v/>
      </c>
      <c r="C259" s="67" t="str">
        <v/>
      </c>
      <c r="D259" s="67" t="str">
        <v/>
      </c>
      <c r="E259" s="67" t="str">
        <v/>
      </c>
      <c r="F259" s="67" t="str">
        <v/>
      </c>
      <c r="G259" s="67" t="str">
        <v/>
      </c>
      <c r="H259" s="67" t="str">
        <v/>
      </c>
      <c r="I259" s="67" t="str">
        <v/>
      </c>
      <c r="J259" s="67" t="str">
        <v/>
      </c>
      <c r="K259" s="68" t="str">
        <v/>
      </c>
    </row>
    <row r="260" spans="2:11">
      <c r="B260" s="66" t="str">
        <v/>
      </c>
      <c r="C260" s="67" t="str">
        <v/>
      </c>
      <c r="D260" s="67" t="str">
        <v/>
      </c>
      <c r="E260" s="67" t="str">
        <v/>
      </c>
      <c r="F260" s="67" t="str">
        <v/>
      </c>
      <c r="G260" s="67" t="str">
        <v/>
      </c>
      <c r="H260" s="67" t="str">
        <v/>
      </c>
      <c r="I260" s="67" t="str">
        <v/>
      </c>
      <c r="J260" s="67" t="str">
        <v/>
      </c>
      <c r="K260" s="68" t="str">
        <v/>
      </c>
    </row>
    <row r="261" spans="2:11">
      <c r="B261" s="66" t="str">
        <v/>
      </c>
      <c r="C261" s="67" t="str">
        <v/>
      </c>
      <c r="D261" s="67" t="str">
        <v/>
      </c>
      <c r="E261" s="67" t="str">
        <v/>
      </c>
      <c r="F261" s="67" t="str">
        <v/>
      </c>
      <c r="G261" s="67" t="str">
        <v/>
      </c>
      <c r="H261" s="67" t="str">
        <v/>
      </c>
      <c r="I261" s="67" t="str">
        <v/>
      </c>
      <c r="J261" s="67" t="str">
        <v/>
      </c>
      <c r="K261" s="68" t="str">
        <v/>
      </c>
    </row>
    <row r="262" spans="2:11">
      <c r="B262" s="66" t="str">
        <v/>
      </c>
      <c r="C262" s="67" t="str">
        <v/>
      </c>
      <c r="D262" s="67" t="str">
        <v/>
      </c>
      <c r="E262" s="67" t="str">
        <v/>
      </c>
      <c r="F262" s="67" t="str">
        <v/>
      </c>
      <c r="G262" s="67" t="str">
        <v/>
      </c>
      <c r="H262" s="67" t="str">
        <v/>
      </c>
      <c r="I262" s="67" t="str">
        <v/>
      </c>
      <c r="J262" s="67" t="str">
        <v/>
      </c>
      <c r="K262" s="68" t="str">
        <v/>
      </c>
    </row>
    <row r="263" spans="2:11">
      <c r="B263" s="66" t="str">
        <v/>
      </c>
      <c r="C263" s="67" t="str">
        <v/>
      </c>
      <c r="D263" s="67" t="str">
        <v/>
      </c>
      <c r="E263" s="67" t="str">
        <v/>
      </c>
      <c r="F263" s="67" t="str">
        <v/>
      </c>
      <c r="G263" s="67" t="str">
        <v/>
      </c>
      <c r="H263" s="67" t="str">
        <v/>
      </c>
      <c r="I263" s="67" t="str">
        <v/>
      </c>
      <c r="J263" s="67" t="str">
        <v/>
      </c>
      <c r="K263" s="68" t="str">
        <v/>
      </c>
    </row>
    <row r="264" spans="2:11">
      <c r="B264" s="66" t="str">
        <v/>
      </c>
      <c r="C264" s="67" t="str">
        <v/>
      </c>
      <c r="D264" s="67" t="str">
        <v/>
      </c>
      <c r="E264" s="67" t="str">
        <v/>
      </c>
      <c r="F264" s="67" t="str">
        <v/>
      </c>
      <c r="G264" s="67" t="str">
        <v/>
      </c>
      <c r="H264" s="67" t="str">
        <v/>
      </c>
      <c r="I264" s="67" t="str">
        <v/>
      </c>
      <c r="J264" s="67" t="str">
        <v/>
      </c>
      <c r="K264" s="68" t="str">
        <v/>
      </c>
    </row>
    <row r="265" spans="2:11">
      <c r="B265" s="66" t="str">
        <v/>
      </c>
      <c r="C265" s="67" t="str">
        <v/>
      </c>
      <c r="D265" s="67" t="str">
        <v/>
      </c>
      <c r="E265" s="67" t="str">
        <v/>
      </c>
      <c r="F265" s="67" t="str">
        <v/>
      </c>
      <c r="G265" s="67" t="str">
        <v/>
      </c>
      <c r="H265" s="67" t="str">
        <v/>
      </c>
      <c r="I265" s="67" t="str">
        <v/>
      </c>
      <c r="J265" s="67" t="str">
        <v/>
      </c>
      <c r="K265" s="68" t="str">
        <v/>
      </c>
    </row>
    <row r="266" spans="2:11">
      <c r="B266" s="66" t="str">
        <v/>
      </c>
      <c r="C266" s="67" t="str">
        <v/>
      </c>
      <c r="D266" s="67" t="str">
        <v/>
      </c>
      <c r="E266" s="67" t="str">
        <v/>
      </c>
      <c r="F266" s="67" t="str">
        <v/>
      </c>
      <c r="G266" s="67" t="str">
        <v/>
      </c>
      <c r="H266" s="67" t="str">
        <v/>
      </c>
      <c r="I266" s="67" t="str">
        <v/>
      </c>
      <c r="J266" s="67" t="str">
        <v/>
      </c>
      <c r="K266" s="68" t="str">
        <v/>
      </c>
    </row>
    <row r="267" spans="2:11">
      <c r="B267" s="66" t="str">
        <v/>
      </c>
      <c r="C267" s="67" t="str">
        <v/>
      </c>
      <c r="D267" s="67" t="str">
        <v/>
      </c>
      <c r="E267" s="67" t="str">
        <v/>
      </c>
      <c r="F267" s="67" t="str">
        <v/>
      </c>
      <c r="G267" s="67" t="str">
        <v/>
      </c>
      <c r="H267" s="67" t="str">
        <v/>
      </c>
      <c r="I267" s="67" t="str">
        <v/>
      </c>
      <c r="J267" s="67" t="str">
        <v/>
      </c>
      <c r="K267" s="68" t="str">
        <v/>
      </c>
    </row>
    <row r="268" spans="2:11">
      <c r="B268" s="66" t="str">
        <v/>
      </c>
      <c r="C268" s="67" t="str">
        <v/>
      </c>
      <c r="D268" s="67" t="str">
        <v/>
      </c>
      <c r="E268" s="67" t="str">
        <v/>
      </c>
      <c r="F268" s="67" t="str">
        <v/>
      </c>
      <c r="G268" s="67" t="str">
        <v/>
      </c>
      <c r="H268" s="67" t="str">
        <v/>
      </c>
      <c r="I268" s="67" t="str">
        <v/>
      </c>
      <c r="J268" s="67" t="str">
        <v/>
      </c>
      <c r="K268" s="68" t="str">
        <v/>
      </c>
    </row>
    <row r="269" spans="2:11">
      <c r="B269" s="66" t="str">
        <v/>
      </c>
      <c r="C269" s="67" t="str">
        <v/>
      </c>
      <c r="D269" s="67" t="str">
        <v/>
      </c>
      <c r="E269" s="67" t="str">
        <v/>
      </c>
      <c r="F269" s="67" t="str">
        <v/>
      </c>
      <c r="G269" s="67" t="str">
        <v/>
      </c>
      <c r="H269" s="67" t="str">
        <v/>
      </c>
      <c r="I269" s="67" t="str">
        <v/>
      </c>
      <c r="J269" s="67" t="str">
        <v/>
      </c>
      <c r="K269" s="68" t="str">
        <v/>
      </c>
    </row>
    <row r="270" spans="2:11">
      <c r="B270" s="66" t="str">
        <v/>
      </c>
      <c r="C270" s="67" t="str">
        <v/>
      </c>
      <c r="D270" s="67" t="str">
        <v/>
      </c>
      <c r="E270" s="67" t="str">
        <v/>
      </c>
      <c r="F270" s="67" t="str">
        <v/>
      </c>
      <c r="G270" s="67" t="str">
        <v/>
      </c>
      <c r="H270" s="67" t="str">
        <v/>
      </c>
      <c r="I270" s="67" t="str">
        <v/>
      </c>
      <c r="J270" s="67" t="str">
        <v/>
      </c>
      <c r="K270" s="68" t="str">
        <v/>
      </c>
    </row>
    <row r="271" spans="2:11">
      <c r="B271" s="66" t="str">
        <v/>
      </c>
      <c r="C271" s="67" t="str">
        <v/>
      </c>
      <c r="D271" s="67" t="str">
        <v/>
      </c>
      <c r="E271" s="67" t="str">
        <v/>
      </c>
      <c r="F271" s="67" t="str">
        <v/>
      </c>
      <c r="G271" s="67" t="str">
        <v/>
      </c>
      <c r="H271" s="67" t="str">
        <v/>
      </c>
      <c r="I271" s="67" t="str">
        <v/>
      </c>
      <c r="J271" s="67" t="str">
        <v/>
      </c>
      <c r="K271" s="68" t="str">
        <v/>
      </c>
    </row>
    <row r="272" spans="2:11">
      <c r="B272" s="66" t="str">
        <v/>
      </c>
      <c r="C272" s="67" t="str">
        <v/>
      </c>
      <c r="D272" s="67" t="str">
        <v/>
      </c>
      <c r="E272" s="67" t="str">
        <v/>
      </c>
      <c r="F272" s="67" t="str">
        <v/>
      </c>
      <c r="G272" s="67" t="str">
        <v/>
      </c>
      <c r="H272" s="67" t="str">
        <v/>
      </c>
      <c r="I272" s="67" t="str">
        <v/>
      </c>
      <c r="J272" s="67" t="str">
        <v/>
      </c>
      <c r="K272" s="68" t="str">
        <v/>
      </c>
    </row>
    <row r="273" spans="2:11">
      <c r="B273" s="66" t="str">
        <v/>
      </c>
      <c r="C273" s="67" t="str">
        <v/>
      </c>
      <c r="D273" s="67" t="str">
        <v/>
      </c>
      <c r="E273" s="67" t="str">
        <v/>
      </c>
      <c r="F273" s="67" t="str">
        <v/>
      </c>
      <c r="G273" s="67" t="str">
        <v/>
      </c>
      <c r="H273" s="67" t="str">
        <v/>
      </c>
      <c r="I273" s="67" t="str">
        <v/>
      </c>
      <c r="J273" s="67" t="str">
        <v/>
      </c>
      <c r="K273" s="68" t="str">
        <v/>
      </c>
    </row>
    <row r="274" spans="2:11">
      <c r="B274" s="66" t="str">
        <v/>
      </c>
      <c r="C274" s="67" t="str">
        <v/>
      </c>
      <c r="D274" s="67" t="str">
        <v/>
      </c>
      <c r="E274" s="67" t="str">
        <v/>
      </c>
      <c r="F274" s="67" t="str">
        <v/>
      </c>
      <c r="G274" s="67" t="str">
        <v/>
      </c>
      <c r="H274" s="67" t="str">
        <v/>
      </c>
      <c r="I274" s="67" t="str">
        <v/>
      </c>
      <c r="J274" s="67" t="str">
        <v/>
      </c>
      <c r="K274" s="68" t="str">
        <v/>
      </c>
    </row>
    <row r="275" spans="2:11">
      <c r="B275" s="66" t="str">
        <v/>
      </c>
      <c r="C275" s="67" t="str">
        <v/>
      </c>
      <c r="D275" s="67" t="str">
        <v/>
      </c>
      <c r="E275" s="67" t="str">
        <v/>
      </c>
      <c r="F275" s="67" t="str">
        <v/>
      </c>
      <c r="G275" s="67" t="str">
        <v/>
      </c>
      <c r="H275" s="67" t="str">
        <v/>
      </c>
      <c r="I275" s="67" t="str">
        <v/>
      </c>
      <c r="J275" s="67" t="str">
        <v/>
      </c>
      <c r="K275" s="68" t="str">
        <v/>
      </c>
    </row>
    <row r="276" spans="2:11">
      <c r="B276" s="66" t="str">
        <v/>
      </c>
      <c r="C276" s="67" t="str">
        <v/>
      </c>
      <c r="D276" s="67" t="str">
        <v/>
      </c>
      <c r="E276" s="67" t="str">
        <v/>
      </c>
      <c r="F276" s="67" t="str">
        <v/>
      </c>
      <c r="G276" s="67" t="str">
        <v/>
      </c>
      <c r="H276" s="67" t="str">
        <v/>
      </c>
      <c r="I276" s="67" t="str">
        <v/>
      </c>
      <c r="J276" s="67" t="str">
        <v/>
      </c>
      <c r="K276" s="68" t="str">
        <v/>
      </c>
    </row>
    <row r="277" spans="2:11">
      <c r="B277" s="66" t="str">
        <v/>
      </c>
      <c r="C277" s="67" t="str">
        <v/>
      </c>
      <c r="D277" s="67" t="str">
        <v/>
      </c>
      <c r="E277" s="67" t="str">
        <v/>
      </c>
      <c r="F277" s="67" t="str">
        <v/>
      </c>
      <c r="G277" s="67" t="str">
        <v/>
      </c>
      <c r="H277" s="67" t="str">
        <v/>
      </c>
      <c r="I277" s="67" t="str">
        <v/>
      </c>
      <c r="J277" s="67" t="str">
        <v/>
      </c>
      <c r="K277" s="68" t="str">
        <v/>
      </c>
    </row>
    <row r="278" spans="2:11">
      <c r="B278" s="66" t="str">
        <v/>
      </c>
      <c r="C278" s="67" t="str">
        <v/>
      </c>
      <c r="D278" s="67" t="str">
        <v/>
      </c>
      <c r="E278" s="67" t="str">
        <v/>
      </c>
      <c r="F278" s="67" t="str">
        <v/>
      </c>
      <c r="G278" s="67" t="str">
        <v/>
      </c>
      <c r="H278" s="67" t="str">
        <v/>
      </c>
      <c r="I278" s="67" t="str">
        <v/>
      </c>
      <c r="J278" s="67" t="str">
        <v/>
      </c>
      <c r="K278" s="68" t="str">
        <v/>
      </c>
    </row>
    <row r="279" spans="2:11">
      <c r="B279" s="66" t="str">
        <v/>
      </c>
      <c r="C279" s="67" t="str">
        <v/>
      </c>
      <c r="D279" s="67" t="str">
        <v/>
      </c>
      <c r="E279" s="67" t="str">
        <v/>
      </c>
      <c r="F279" s="67" t="str">
        <v/>
      </c>
      <c r="G279" s="67" t="str">
        <v/>
      </c>
      <c r="H279" s="67" t="str">
        <v/>
      </c>
      <c r="I279" s="67" t="str">
        <v/>
      </c>
      <c r="J279" s="67" t="str">
        <v/>
      </c>
      <c r="K279" s="68" t="str">
        <v/>
      </c>
    </row>
    <row r="280" spans="2:11">
      <c r="B280" s="66" t="str">
        <v/>
      </c>
      <c r="C280" s="67" t="str">
        <v/>
      </c>
      <c r="D280" s="67" t="str">
        <v/>
      </c>
      <c r="E280" s="67" t="str">
        <v/>
      </c>
      <c r="F280" s="67" t="str">
        <v/>
      </c>
      <c r="G280" s="67" t="str">
        <v/>
      </c>
      <c r="H280" s="67" t="str">
        <v/>
      </c>
      <c r="I280" s="67" t="str">
        <v/>
      </c>
      <c r="J280" s="67" t="str">
        <v/>
      </c>
      <c r="K280" s="68" t="str">
        <v/>
      </c>
    </row>
    <row r="281" spans="2:11">
      <c r="B281" s="66" t="str">
        <v/>
      </c>
      <c r="C281" s="67" t="str">
        <v/>
      </c>
      <c r="D281" s="67" t="str">
        <v/>
      </c>
      <c r="E281" s="67" t="str">
        <v/>
      </c>
      <c r="F281" s="67" t="str">
        <v/>
      </c>
      <c r="G281" s="67" t="str">
        <v/>
      </c>
      <c r="H281" s="67" t="str">
        <v/>
      </c>
      <c r="I281" s="67" t="str">
        <v/>
      </c>
      <c r="J281" s="67" t="str">
        <v/>
      </c>
      <c r="K281" s="68" t="str">
        <v/>
      </c>
    </row>
    <row r="282" spans="2:11">
      <c r="B282" s="66" t="str">
        <v/>
      </c>
      <c r="C282" s="67" t="str">
        <v/>
      </c>
      <c r="D282" s="67" t="str">
        <v/>
      </c>
      <c r="E282" s="67" t="str">
        <v/>
      </c>
      <c r="F282" s="67" t="str">
        <v/>
      </c>
      <c r="G282" s="67" t="str">
        <v/>
      </c>
      <c r="H282" s="67" t="str">
        <v/>
      </c>
      <c r="I282" s="67" t="str">
        <v/>
      </c>
      <c r="J282" s="67" t="str">
        <v/>
      </c>
      <c r="K282" s="68" t="str">
        <v/>
      </c>
    </row>
    <row r="283" spans="2:11">
      <c r="B283" s="66" t="str">
        <v/>
      </c>
      <c r="C283" s="67" t="str">
        <v/>
      </c>
      <c r="D283" s="67" t="str">
        <v/>
      </c>
      <c r="E283" s="67" t="str">
        <v/>
      </c>
      <c r="F283" s="67" t="str">
        <v/>
      </c>
      <c r="G283" s="67" t="str">
        <v/>
      </c>
      <c r="H283" s="67" t="str">
        <v/>
      </c>
      <c r="I283" s="67" t="str">
        <v/>
      </c>
      <c r="J283" s="67" t="str">
        <v/>
      </c>
      <c r="K283" s="68" t="str">
        <v/>
      </c>
    </row>
    <row r="284" spans="2:11">
      <c r="B284" s="66" t="str">
        <v/>
      </c>
      <c r="C284" s="67" t="str">
        <v/>
      </c>
      <c r="D284" s="67" t="str">
        <v/>
      </c>
      <c r="E284" s="67" t="str">
        <v/>
      </c>
      <c r="F284" s="67" t="str">
        <v/>
      </c>
      <c r="G284" s="67" t="str">
        <v/>
      </c>
      <c r="H284" s="67" t="str">
        <v/>
      </c>
      <c r="I284" s="67" t="str">
        <v/>
      </c>
      <c r="J284" s="67" t="str">
        <v/>
      </c>
      <c r="K284" s="68" t="str">
        <v/>
      </c>
    </row>
    <row r="285" spans="2:11">
      <c r="B285" s="66" t="str">
        <v/>
      </c>
      <c r="C285" s="67" t="str">
        <v/>
      </c>
      <c r="D285" s="67" t="str">
        <v/>
      </c>
      <c r="E285" s="67" t="str">
        <v/>
      </c>
      <c r="F285" s="67" t="str">
        <v/>
      </c>
      <c r="G285" s="67" t="str">
        <v/>
      </c>
      <c r="H285" s="67" t="str">
        <v/>
      </c>
      <c r="I285" s="67" t="str">
        <v/>
      </c>
      <c r="J285" s="67" t="str">
        <v/>
      </c>
      <c r="K285" s="68" t="str">
        <v/>
      </c>
    </row>
    <row r="286" spans="2:11">
      <c r="B286" s="66" t="str">
        <v/>
      </c>
      <c r="C286" s="67" t="str">
        <v/>
      </c>
      <c r="D286" s="67" t="str">
        <v/>
      </c>
      <c r="E286" s="67" t="str">
        <v/>
      </c>
      <c r="F286" s="67" t="str">
        <v/>
      </c>
      <c r="G286" s="67" t="str">
        <v/>
      </c>
      <c r="H286" s="67" t="str">
        <v/>
      </c>
      <c r="I286" s="67" t="str">
        <v/>
      </c>
      <c r="J286" s="67" t="str">
        <v/>
      </c>
      <c r="K286" s="68" t="str">
        <v/>
      </c>
    </row>
    <row r="287" spans="2:11">
      <c r="B287" s="66" t="str">
        <v/>
      </c>
      <c r="C287" s="67" t="str">
        <v/>
      </c>
      <c r="D287" s="67" t="str">
        <v/>
      </c>
      <c r="E287" s="67" t="str">
        <v/>
      </c>
      <c r="F287" s="67" t="str">
        <v/>
      </c>
      <c r="G287" s="67" t="str">
        <v/>
      </c>
      <c r="H287" s="67" t="str">
        <v/>
      </c>
      <c r="I287" s="67" t="str">
        <v/>
      </c>
      <c r="J287" s="67" t="str">
        <v/>
      </c>
      <c r="K287" s="68" t="str">
        <v/>
      </c>
    </row>
    <row r="288" spans="2:11">
      <c r="B288" s="66" t="str">
        <v/>
      </c>
      <c r="C288" s="67" t="str">
        <v/>
      </c>
      <c r="D288" s="67" t="str">
        <v/>
      </c>
      <c r="E288" s="67" t="str">
        <v/>
      </c>
      <c r="F288" s="67" t="str">
        <v/>
      </c>
      <c r="G288" s="67" t="str">
        <v/>
      </c>
      <c r="H288" s="67" t="str">
        <v/>
      </c>
      <c r="I288" s="67" t="str">
        <v/>
      </c>
      <c r="J288" s="67" t="str">
        <v/>
      </c>
      <c r="K288" s="68" t="str">
        <v/>
      </c>
    </row>
    <row r="289" spans="2:11">
      <c r="B289" s="66" t="str">
        <v/>
      </c>
      <c r="C289" s="67" t="str">
        <v/>
      </c>
      <c r="D289" s="67" t="str">
        <v/>
      </c>
      <c r="E289" s="67" t="str">
        <v/>
      </c>
      <c r="F289" s="67" t="str">
        <v/>
      </c>
      <c r="G289" s="67" t="str">
        <v/>
      </c>
      <c r="H289" s="67" t="str">
        <v/>
      </c>
      <c r="I289" s="67" t="str">
        <v/>
      </c>
      <c r="J289" s="67" t="str">
        <v/>
      </c>
      <c r="K289" s="68" t="str">
        <v/>
      </c>
    </row>
    <row r="290" spans="2:11">
      <c r="B290" s="66" t="str">
        <v/>
      </c>
      <c r="C290" s="67" t="str">
        <v/>
      </c>
      <c r="D290" s="67" t="str">
        <v/>
      </c>
      <c r="E290" s="67" t="str">
        <v/>
      </c>
      <c r="F290" s="67" t="str">
        <v/>
      </c>
      <c r="G290" s="67" t="str">
        <v/>
      </c>
      <c r="H290" s="67" t="str">
        <v/>
      </c>
      <c r="I290" s="67" t="str">
        <v/>
      </c>
      <c r="J290" s="67" t="str">
        <v/>
      </c>
      <c r="K290" s="68" t="str">
        <v/>
      </c>
    </row>
    <row r="291" spans="2:11">
      <c r="B291" s="66" t="str">
        <v/>
      </c>
      <c r="C291" s="67" t="str">
        <v/>
      </c>
      <c r="D291" s="67" t="str">
        <v/>
      </c>
      <c r="E291" s="67" t="str">
        <v/>
      </c>
      <c r="F291" s="67" t="str">
        <v/>
      </c>
      <c r="G291" s="67" t="str">
        <v/>
      </c>
      <c r="H291" s="67" t="str">
        <v/>
      </c>
      <c r="I291" s="67" t="str">
        <v/>
      </c>
      <c r="J291" s="67" t="str">
        <v/>
      </c>
      <c r="K291" s="68" t="str">
        <v/>
      </c>
    </row>
    <row r="292" spans="2:11">
      <c r="B292" s="66" t="str">
        <v/>
      </c>
      <c r="C292" s="67" t="str">
        <v/>
      </c>
      <c r="D292" s="67" t="str">
        <v/>
      </c>
      <c r="E292" s="67" t="str">
        <v/>
      </c>
      <c r="F292" s="67" t="str">
        <v/>
      </c>
      <c r="G292" s="67" t="str">
        <v/>
      </c>
      <c r="H292" s="67" t="str">
        <v/>
      </c>
      <c r="I292" s="67" t="str">
        <v/>
      </c>
      <c r="J292" s="67" t="str">
        <v/>
      </c>
      <c r="K292" s="68" t="str">
        <v/>
      </c>
    </row>
    <row r="293" spans="2:11">
      <c r="B293" s="66" t="str">
        <v/>
      </c>
      <c r="C293" s="67" t="str">
        <v/>
      </c>
      <c r="D293" s="67" t="str">
        <v/>
      </c>
      <c r="E293" s="67" t="str">
        <v/>
      </c>
      <c r="F293" s="67" t="str">
        <v/>
      </c>
      <c r="G293" s="67" t="str">
        <v/>
      </c>
      <c r="H293" s="67" t="str">
        <v/>
      </c>
      <c r="I293" s="67" t="str">
        <v/>
      </c>
      <c r="J293" s="67" t="str">
        <v/>
      </c>
      <c r="K293" s="68" t="str">
        <v/>
      </c>
    </row>
    <row r="294" spans="2:11">
      <c r="B294" s="66" t="str">
        <v/>
      </c>
      <c r="C294" s="67" t="str">
        <v/>
      </c>
      <c r="D294" s="67" t="str">
        <v/>
      </c>
      <c r="E294" s="67" t="str">
        <v/>
      </c>
      <c r="F294" s="67" t="str">
        <v/>
      </c>
      <c r="G294" s="67" t="str">
        <v/>
      </c>
      <c r="H294" s="67" t="str">
        <v/>
      </c>
      <c r="I294" s="67" t="str">
        <v/>
      </c>
      <c r="J294" s="67" t="str">
        <v/>
      </c>
      <c r="K294" s="68" t="str">
        <v/>
      </c>
    </row>
    <row r="295" spans="2:11">
      <c r="B295" s="66" t="str">
        <v/>
      </c>
      <c r="C295" s="67" t="str">
        <v/>
      </c>
      <c r="D295" s="67" t="str">
        <v/>
      </c>
      <c r="E295" s="67" t="str">
        <v/>
      </c>
      <c r="F295" s="67" t="str">
        <v/>
      </c>
      <c r="G295" s="67" t="str">
        <v/>
      </c>
      <c r="H295" s="67" t="str">
        <v/>
      </c>
      <c r="I295" s="67" t="str">
        <v/>
      </c>
      <c r="J295" s="67" t="str">
        <v/>
      </c>
      <c r="K295" s="68" t="str">
        <v/>
      </c>
    </row>
    <row r="296" spans="2:11">
      <c r="B296" s="66" t="str">
        <v/>
      </c>
      <c r="C296" s="67" t="str">
        <v/>
      </c>
      <c r="D296" s="67" t="str">
        <v/>
      </c>
      <c r="E296" s="67" t="str">
        <v/>
      </c>
      <c r="F296" s="67" t="str">
        <v/>
      </c>
      <c r="G296" s="67" t="str">
        <v/>
      </c>
      <c r="H296" s="67" t="str">
        <v/>
      </c>
      <c r="I296" s="67" t="str">
        <v/>
      </c>
      <c r="J296" s="67" t="str">
        <v/>
      </c>
      <c r="K296" s="68" t="str">
        <v/>
      </c>
    </row>
    <row r="297" spans="2:11">
      <c r="B297" s="66" t="str">
        <v/>
      </c>
      <c r="C297" s="67" t="str">
        <v/>
      </c>
      <c r="D297" s="67" t="str">
        <v/>
      </c>
      <c r="E297" s="67" t="str">
        <v/>
      </c>
      <c r="F297" s="67" t="str">
        <v/>
      </c>
      <c r="G297" s="67" t="str">
        <v/>
      </c>
      <c r="H297" s="67" t="str">
        <v/>
      </c>
      <c r="I297" s="67" t="str">
        <v/>
      </c>
      <c r="J297" s="67" t="str">
        <v/>
      </c>
      <c r="K297" s="68" t="str">
        <v/>
      </c>
    </row>
    <row r="298" spans="2:11">
      <c r="B298" s="66" t="str">
        <v/>
      </c>
      <c r="C298" s="67" t="str">
        <v/>
      </c>
      <c r="D298" s="67" t="str">
        <v/>
      </c>
      <c r="E298" s="67" t="str">
        <v/>
      </c>
      <c r="F298" s="67" t="str">
        <v/>
      </c>
      <c r="G298" s="67" t="str">
        <v/>
      </c>
      <c r="H298" s="67" t="str">
        <v/>
      </c>
      <c r="I298" s="67" t="str">
        <v/>
      </c>
      <c r="J298" s="67" t="str">
        <v/>
      </c>
      <c r="K298" s="68" t="str">
        <v/>
      </c>
    </row>
    <row r="299" spans="2:11">
      <c r="B299" s="66" t="str">
        <v/>
      </c>
      <c r="C299" s="67" t="str">
        <v/>
      </c>
      <c r="D299" s="67" t="str">
        <v/>
      </c>
      <c r="E299" s="67" t="str">
        <v/>
      </c>
      <c r="F299" s="67" t="str">
        <v/>
      </c>
      <c r="G299" s="67" t="str">
        <v/>
      </c>
      <c r="H299" s="67" t="str">
        <v/>
      </c>
      <c r="I299" s="67" t="str">
        <v/>
      </c>
      <c r="J299" s="67" t="str">
        <v/>
      </c>
      <c r="K299" s="68" t="str">
        <v/>
      </c>
    </row>
    <row r="300" spans="2:11">
      <c r="B300" s="66" t="str">
        <v/>
      </c>
      <c r="C300" s="67" t="str">
        <v/>
      </c>
      <c r="D300" s="67" t="str">
        <v/>
      </c>
      <c r="E300" s="67" t="str">
        <v/>
      </c>
      <c r="F300" s="67" t="str">
        <v/>
      </c>
      <c r="G300" s="67" t="str">
        <v/>
      </c>
      <c r="H300" s="67" t="str">
        <v/>
      </c>
      <c r="I300" s="67" t="str">
        <v/>
      </c>
      <c r="J300" s="67" t="str">
        <v/>
      </c>
      <c r="K300" s="68" t="str">
        <v/>
      </c>
    </row>
    <row r="301" spans="2:11">
      <c r="B301" s="66" t="str">
        <v/>
      </c>
      <c r="C301" s="67" t="str">
        <v/>
      </c>
      <c r="D301" s="67" t="str">
        <v/>
      </c>
      <c r="E301" s="67" t="str">
        <v/>
      </c>
      <c r="F301" s="67" t="str">
        <v/>
      </c>
      <c r="G301" s="67" t="str">
        <v/>
      </c>
      <c r="H301" s="67" t="str">
        <v/>
      </c>
      <c r="I301" s="67" t="str">
        <v/>
      </c>
      <c r="J301" s="67" t="str">
        <v/>
      </c>
      <c r="K301" s="68" t="str">
        <v/>
      </c>
    </row>
    <row r="302" spans="2:11">
      <c r="B302" s="66" t="str">
        <v/>
      </c>
      <c r="C302" s="67" t="str">
        <v/>
      </c>
      <c r="D302" s="67" t="str">
        <v/>
      </c>
      <c r="E302" s="67" t="str">
        <v/>
      </c>
      <c r="F302" s="67" t="str">
        <v/>
      </c>
      <c r="G302" s="67" t="str">
        <v/>
      </c>
      <c r="H302" s="67" t="str">
        <v/>
      </c>
      <c r="I302" s="67" t="str">
        <v/>
      </c>
      <c r="J302" s="67" t="str">
        <v/>
      </c>
      <c r="K302" s="68" t="str">
        <v/>
      </c>
    </row>
    <row r="303" spans="2:11">
      <c r="B303" s="66" t="str">
        <v/>
      </c>
      <c r="C303" s="67" t="str">
        <v/>
      </c>
      <c r="D303" s="67" t="str">
        <v/>
      </c>
      <c r="E303" s="67" t="str">
        <v/>
      </c>
      <c r="F303" s="67" t="str">
        <v/>
      </c>
      <c r="G303" s="67" t="str">
        <v/>
      </c>
      <c r="H303" s="67" t="str">
        <v/>
      </c>
      <c r="I303" s="67" t="str">
        <v/>
      </c>
      <c r="J303" s="67" t="str">
        <v/>
      </c>
      <c r="K303" s="68" t="str">
        <v/>
      </c>
    </row>
    <row r="304" spans="2:11">
      <c r="B304" s="66" t="str">
        <v/>
      </c>
      <c r="C304" s="67" t="str">
        <v/>
      </c>
      <c r="D304" s="67" t="str">
        <v/>
      </c>
      <c r="E304" s="67" t="str">
        <v/>
      </c>
      <c r="F304" s="67" t="str">
        <v/>
      </c>
      <c r="G304" s="67" t="str">
        <v/>
      </c>
      <c r="H304" s="67" t="str">
        <v/>
      </c>
      <c r="I304" s="67" t="str">
        <v/>
      </c>
      <c r="J304" s="67" t="str">
        <v/>
      </c>
      <c r="K304" s="68" t="str">
        <v/>
      </c>
    </row>
    <row r="305" spans="2:11">
      <c r="B305" s="66" t="str">
        <v/>
      </c>
      <c r="C305" s="67" t="str">
        <v/>
      </c>
      <c r="D305" s="67" t="str">
        <v/>
      </c>
      <c r="E305" s="67" t="str">
        <v/>
      </c>
      <c r="F305" s="67" t="str">
        <v/>
      </c>
      <c r="G305" s="67" t="str">
        <v/>
      </c>
      <c r="H305" s="67" t="str">
        <v/>
      </c>
      <c r="I305" s="67" t="str">
        <v/>
      </c>
      <c r="J305" s="67" t="str">
        <v/>
      </c>
      <c r="K305" s="68" t="str">
        <v/>
      </c>
    </row>
    <row r="306" spans="2:11">
      <c r="B306" s="66" t="str">
        <v/>
      </c>
      <c r="C306" s="67" t="str">
        <v/>
      </c>
      <c r="D306" s="67" t="str">
        <v/>
      </c>
      <c r="E306" s="67" t="str">
        <v/>
      </c>
      <c r="F306" s="67" t="str">
        <v/>
      </c>
      <c r="G306" s="67" t="str">
        <v/>
      </c>
      <c r="H306" s="67" t="str">
        <v/>
      </c>
      <c r="I306" s="67" t="str">
        <v/>
      </c>
      <c r="J306" s="67" t="str">
        <v/>
      </c>
      <c r="K306" s="68" t="str">
        <v/>
      </c>
    </row>
    <row r="307" spans="2:11">
      <c r="B307" s="66" t="str">
        <v/>
      </c>
      <c r="C307" s="67" t="str">
        <v/>
      </c>
      <c r="D307" s="67" t="str">
        <v/>
      </c>
      <c r="E307" s="67" t="str">
        <v/>
      </c>
      <c r="F307" s="67" t="str">
        <v/>
      </c>
      <c r="G307" s="67" t="str">
        <v/>
      </c>
      <c r="H307" s="67" t="str">
        <v/>
      </c>
      <c r="I307" s="67" t="str">
        <v/>
      </c>
      <c r="J307" s="67" t="str">
        <v/>
      </c>
      <c r="K307" s="68" t="str">
        <v/>
      </c>
    </row>
    <row r="308" spans="2:11">
      <c r="B308" s="66" t="str">
        <v/>
      </c>
      <c r="C308" s="67" t="str">
        <v/>
      </c>
      <c r="D308" s="67" t="str">
        <v/>
      </c>
      <c r="E308" s="67" t="str">
        <v/>
      </c>
      <c r="F308" s="67" t="str">
        <v/>
      </c>
      <c r="G308" s="67" t="str">
        <v/>
      </c>
      <c r="H308" s="67" t="str">
        <v/>
      </c>
      <c r="I308" s="67" t="str">
        <v/>
      </c>
      <c r="J308" s="67" t="str">
        <v/>
      </c>
      <c r="K308" s="68" t="str">
        <v/>
      </c>
    </row>
    <row r="309" spans="2:11">
      <c r="B309" s="66" t="str">
        <v/>
      </c>
      <c r="C309" s="67" t="str">
        <v/>
      </c>
      <c r="D309" s="67" t="str">
        <v/>
      </c>
      <c r="E309" s="67" t="str">
        <v/>
      </c>
      <c r="F309" s="67" t="str">
        <v/>
      </c>
      <c r="G309" s="67" t="str">
        <v/>
      </c>
      <c r="H309" s="67" t="str">
        <v/>
      </c>
      <c r="I309" s="67" t="str">
        <v/>
      </c>
      <c r="J309" s="67" t="str">
        <v/>
      </c>
      <c r="K309" s="68" t="str">
        <v/>
      </c>
    </row>
    <row r="310" spans="2:11">
      <c r="B310" s="66" t="str">
        <v/>
      </c>
      <c r="C310" s="67" t="str">
        <v/>
      </c>
      <c r="D310" s="67" t="str">
        <v/>
      </c>
      <c r="E310" s="67" t="str">
        <v/>
      </c>
      <c r="F310" s="67" t="str">
        <v/>
      </c>
      <c r="G310" s="67" t="str">
        <v/>
      </c>
      <c r="H310" s="67" t="str">
        <v/>
      </c>
      <c r="I310" s="67" t="str">
        <v/>
      </c>
      <c r="J310" s="67" t="str">
        <v/>
      </c>
      <c r="K310" s="68" t="str">
        <v/>
      </c>
    </row>
    <row r="311" spans="2:11">
      <c r="B311" s="66" t="str">
        <v/>
      </c>
      <c r="C311" s="67" t="str">
        <v/>
      </c>
      <c r="D311" s="67" t="str">
        <v/>
      </c>
      <c r="E311" s="67" t="str">
        <v/>
      </c>
      <c r="F311" s="67" t="str">
        <v/>
      </c>
      <c r="G311" s="67" t="str">
        <v/>
      </c>
      <c r="H311" s="67" t="str">
        <v/>
      </c>
      <c r="I311" s="67" t="str">
        <v/>
      </c>
      <c r="J311" s="67" t="str">
        <v/>
      </c>
      <c r="K311" s="68" t="str">
        <v/>
      </c>
    </row>
    <row r="312" spans="2:11">
      <c r="B312" s="66" t="str">
        <v/>
      </c>
      <c r="C312" s="67" t="str">
        <v/>
      </c>
      <c r="D312" s="67" t="str">
        <v/>
      </c>
      <c r="E312" s="67" t="str">
        <v/>
      </c>
      <c r="F312" s="67" t="str">
        <v/>
      </c>
      <c r="G312" s="67" t="str">
        <v/>
      </c>
      <c r="H312" s="67" t="str">
        <v/>
      </c>
      <c r="I312" s="67" t="str">
        <v/>
      </c>
      <c r="J312" s="67" t="str">
        <v/>
      </c>
      <c r="K312" s="68" t="str">
        <v/>
      </c>
    </row>
    <row r="313" spans="2:11">
      <c r="B313" s="66" t="str">
        <v/>
      </c>
      <c r="C313" s="67" t="str">
        <v/>
      </c>
      <c r="D313" s="67" t="str">
        <v/>
      </c>
      <c r="E313" s="67" t="str">
        <v/>
      </c>
      <c r="F313" s="67" t="str">
        <v/>
      </c>
      <c r="G313" s="67" t="str">
        <v/>
      </c>
      <c r="H313" s="67" t="str">
        <v/>
      </c>
      <c r="I313" s="67" t="str">
        <v/>
      </c>
      <c r="J313" s="67" t="str">
        <v/>
      </c>
      <c r="K313" s="68" t="str">
        <v/>
      </c>
    </row>
    <row r="314" spans="2:11">
      <c r="B314" s="66" t="str">
        <v/>
      </c>
      <c r="C314" s="67" t="str">
        <v/>
      </c>
      <c r="D314" s="67" t="str">
        <v/>
      </c>
      <c r="E314" s="67" t="str">
        <v/>
      </c>
      <c r="F314" s="67" t="str">
        <v/>
      </c>
      <c r="G314" s="67" t="str">
        <v/>
      </c>
      <c r="H314" s="67" t="str">
        <v/>
      </c>
      <c r="I314" s="67" t="str">
        <v/>
      </c>
      <c r="J314" s="67" t="str">
        <v/>
      </c>
      <c r="K314" s="68" t="str">
        <v/>
      </c>
    </row>
    <row r="315" spans="2:11">
      <c r="B315" s="66" t="str">
        <v/>
      </c>
      <c r="C315" s="67" t="str">
        <v/>
      </c>
      <c r="D315" s="67" t="str">
        <v/>
      </c>
      <c r="E315" s="67" t="str">
        <v/>
      </c>
      <c r="F315" s="67" t="str">
        <v/>
      </c>
      <c r="G315" s="67" t="str">
        <v/>
      </c>
      <c r="H315" s="67" t="str">
        <v/>
      </c>
      <c r="I315" s="67" t="str">
        <v/>
      </c>
      <c r="J315" s="67" t="str">
        <v/>
      </c>
      <c r="K315" s="68" t="str">
        <v/>
      </c>
    </row>
    <row r="316" spans="2:11">
      <c r="B316" s="66" t="str">
        <v/>
      </c>
      <c r="C316" s="67" t="str">
        <v/>
      </c>
      <c r="D316" s="67" t="str">
        <v/>
      </c>
      <c r="E316" s="67" t="str">
        <v/>
      </c>
      <c r="F316" s="67" t="str">
        <v/>
      </c>
      <c r="G316" s="67" t="str">
        <v/>
      </c>
      <c r="H316" s="67" t="str">
        <v/>
      </c>
      <c r="I316" s="67" t="str">
        <v/>
      </c>
      <c r="J316" s="67" t="str">
        <v/>
      </c>
      <c r="K316" s="68" t="str">
        <v/>
      </c>
    </row>
    <row r="317" spans="2:11">
      <c r="B317" s="66" t="str">
        <v/>
      </c>
      <c r="C317" s="67" t="str">
        <v/>
      </c>
      <c r="D317" s="67" t="str">
        <v/>
      </c>
      <c r="E317" s="67" t="str">
        <v/>
      </c>
      <c r="F317" s="67" t="str">
        <v/>
      </c>
      <c r="G317" s="67" t="str">
        <v/>
      </c>
      <c r="H317" s="67" t="str">
        <v/>
      </c>
      <c r="I317" s="67" t="str">
        <v/>
      </c>
      <c r="J317" s="67" t="str">
        <v/>
      </c>
      <c r="K317" s="68" t="str">
        <v/>
      </c>
    </row>
    <row r="318" spans="2:11">
      <c r="B318" s="66" t="str">
        <v/>
      </c>
      <c r="C318" s="67" t="str">
        <v/>
      </c>
      <c r="D318" s="67" t="str">
        <v/>
      </c>
      <c r="E318" s="67" t="str">
        <v/>
      </c>
      <c r="F318" s="67" t="str">
        <v/>
      </c>
      <c r="G318" s="67" t="str">
        <v/>
      </c>
      <c r="H318" s="67" t="str">
        <v/>
      </c>
      <c r="I318" s="67" t="str">
        <v/>
      </c>
      <c r="J318" s="67" t="str">
        <v/>
      </c>
      <c r="K318" s="68" t="str">
        <v/>
      </c>
    </row>
    <row r="319" spans="2:11">
      <c r="B319" s="66" t="str">
        <v/>
      </c>
      <c r="C319" s="67" t="str">
        <v/>
      </c>
      <c r="D319" s="67" t="str">
        <v/>
      </c>
      <c r="E319" s="67" t="str">
        <v/>
      </c>
      <c r="F319" s="67" t="str">
        <v/>
      </c>
      <c r="G319" s="67" t="str">
        <v/>
      </c>
      <c r="H319" s="67" t="str">
        <v/>
      </c>
      <c r="I319" s="67" t="str">
        <v/>
      </c>
      <c r="J319" s="67" t="str">
        <v/>
      </c>
      <c r="K319" s="68" t="str">
        <v/>
      </c>
    </row>
    <row r="320" spans="2:11">
      <c r="B320" s="66" t="str">
        <v/>
      </c>
      <c r="C320" s="67" t="str">
        <v/>
      </c>
      <c r="D320" s="67" t="str">
        <v/>
      </c>
      <c r="E320" s="67" t="str">
        <v/>
      </c>
      <c r="F320" s="67" t="str">
        <v/>
      </c>
      <c r="G320" s="67" t="str">
        <v/>
      </c>
      <c r="H320" s="67" t="str">
        <v/>
      </c>
      <c r="I320" s="67" t="str">
        <v/>
      </c>
      <c r="J320" s="67" t="str">
        <v/>
      </c>
      <c r="K320" s="68" t="str">
        <v/>
      </c>
    </row>
    <row r="321" spans="2:11">
      <c r="B321" s="66" t="str">
        <v/>
      </c>
      <c r="C321" s="67" t="str">
        <v/>
      </c>
      <c r="D321" s="67" t="str">
        <v/>
      </c>
      <c r="E321" s="67" t="str">
        <v/>
      </c>
      <c r="F321" s="67" t="str">
        <v/>
      </c>
      <c r="G321" s="67" t="str">
        <v/>
      </c>
      <c r="H321" s="67" t="str">
        <v/>
      </c>
      <c r="I321" s="67" t="str">
        <v/>
      </c>
      <c r="J321" s="67" t="str">
        <v/>
      </c>
      <c r="K321" s="68" t="str">
        <v/>
      </c>
    </row>
    <row r="322" spans="2:11">
      <c r="B322" s="66" t="str">
        <v/>
      </c>
      <c r="C322" s="67" t="str">
        <v/>
      </c>
      <c r="D322" s="67" t="str">
        <v/>
      </c>
      <c r="E322" s="67" t="str">
        <v/>
      </c>
      <c r="F322" s="67" t="str">
        <v/>
      </c>
      <c r="G322" s="67" t="str">
        <v/>
      </c>
      <c r="H322" s="67" t="str">
        <v/>
      </c>
      <c r="I322" s="67" t="str">
        <v/>
      </c>
      <c r="J322" s="67" t="str">
        <v/>
      </c>
      <c r="K322" s="68" t="str">
        <v/>
      </c>
    </row>
    <row r="323" spans="2:11">
      <c r="B323" s="66" t="str">
        <v/>
      </c>
      <c r="C323" s="67" t="str">
        <v/>
      </c>
      <c r="D323" s="67" t="str">
        <v/>
      </c>
      <c r="E323" s="67" t="str">
        <v/>
      </c>
      <c r="F323" s="67" t="str">
        <v/>
      </c>
      <c r="G323" s="67" t="str">
        <v/>
      </c>
      <c r="H323" s="67" t="str">
        <v/>
      </c>
      <c r="I323" s="67" t="str">
        <v/>
      </c>
      <c r="J323" s="67" t="str">
        <v/>
      </c>
      <c r="K323" s="68" t="str">
        <v/>
      </c>
    </row>
    <row r="324" spans="2:11">
      <c r="B324" s="66" t="str">
        <v/>
      </c>
      <c r="C324" s="67" t="str">
        <v/>
      </c>
      <c r="D324" s="67" t="str">
        <v/>
      </c>
      <c r="E324" s="67" t="str">
        <v/>
      </c>
      <c r="F324" s="67" t="str">
        <v/>
      </c>
      <c r="G324" s="67" t="str">
        <v/>
      </c>
      <c r="H324" s="67" t="str">
        <v/>
      </c>
      <c r="I324" s="67" t="str">
        <v/>
      </c>
      <c r="J324" s="67" t="str">
        <v/>
      </c>
      <c r="K324" s="68" t="str">
        <v/>
      </c>
    </row>
    <row r="325" spans="2:11">
      <c r="B325" s="66" t="str">
        <v/>
      </c>
      <c r="C325" s="67" t="str">
        <v/>
      </c>
      <c r="D325" s="67" t="str">
        <v/>
      </c>
      <c r="E325" s="67" t="str">
        <v/>
      </c>
      <c r="F325" s="67" t="str">
        <v/>
      </c>
      <c r="G325" s="67" t="str">
        <v/>
      </c>
      <c r="H325" s="67" t="str">
        <v/>
      </c>
      <c r="I325" s="67" t="str">
        <v/>
      </c>
      <c r="J325" s="67" t="str">
        <v/>
      </c>
      <c r="K325" s="68" t="str">
        <v/>
      </c>
    </row>
    <row r="326" spans="2:11">
      <c r="B326" s="66" t="str">
        <v/>
      </c>
      <c r="C326" s="67" t="str">
        <v/>
      </c>
      <c r="D326" s="67" t="str">
        <v/>
      </c>
      <c r="E326" s="67" t="str">
        <v/>
      </c>
      <c r="F326" s="67" t="str">
        <v/>
      </c>
      <c r="G326" s="67" t="str">
        <v/>
      </c>
      <c r="H326" s="67" t="str">
        <v/>
      </c>
      <c r="I326" s="67" t="str">
        <v/>
      </c>
      <c r="J326" s="67" t="str">
        <v/>
      </c>
      <c r="K326" s="68" t="str">
        <v/>
      </c>
    </row>
    <row r="327" spans="2:11">
      <c r="B327" s="66" t="str">
        <v/>
      </c>
      <c r="C327" s="67" t="str">
        <v/>
      </c>
      <c r="D327" s="67" t="str">
        <v/>
      </c>
      <c r="E327" s="67" t="str">
        <v/>
      </c>
      <c r="F327" s="67" t="str">
        <v/>
      </c>
      <c r="G327" s="67" t="str">
        <v/>
      </c>
      <c r="H327" s="67" t="str">
        <v/>
      </c>
      <c r="I327" s="67" t="str">
        <v/>
      </c>
      <c r="J327" s="67" t="str">
        <v/>
      </c>
      <c r="K327" s="68" t="str">
        <v/>
      </c>
    </row>
    <row r="328" spans="2:11">
      <c r="B328" s="66" t="str">
        <v/>
      </c>
      <c r="C328" s="67" t="str">
        <v/>
      </c>
      <c r="D328" s="67" t="str">
        <v/>
      </c>
      <c r="E328" s="67" t="str">
        <v/>
      </c>
      <c r="F328" s="67" t="str">
        <v/>
      </c>
      <c r="G328" s="67" t="str">
        <v/>
      </c>
      <c r="H328" s="67" t="str">
        <v/>
      </c>
      <c r="I328" s="67" t="str">
        <v/>
      </c>
      <c r="J328" s="67" t="str">
        <v/>
      </c>
      <c r="K328" s="68" t="str">
        <v/>
      </c>
    </row>
    <row r="329" spans="2:11">
      <c r="B329" s="66" t="str">
        <v/>
      </c>
      <c r="C329" s="67" t="str">
        <v/>
      </c>
      <c r="D329" s="67" t="str">
        <v/>
      </c>
      <c r="E329" s="67" t="str">
        <v/>
      </c>
      <c r="F329" s="67" t="str">
        <v/>
      </c>
      <c r="G329" s="67" t="str">
        <v/>
      </c>
      <c r="H329" s="67" t="str">
        <v/>
      </c>
      <c r="I329" s="67" t="str">
        <v/>
      </c>
      <c r="J329" s="67" t="str">
        <v/>
      </c>
      <c r="K329" s="68" t="str">
        <v/>
      </c>
    </row>
    <row r="330" spans="2:11">
      <c r="B330" s="66" t="str">
        <v/>
      </c>
      <c r="C330" s="67" t="str">
        <v/>
      </c>
      <c r="D330" s="67" t="str">
        <v/>
      </c>
      <c r="E330" s="67" t="str">
        <v/>
      </c>
      <c r="F330" s="67" t="str">
        <v/>
      </c>
      <c r="G330" s="67" t="str">
        <v/>
      </c>
      <c r="H330" s="67" t="str">
        <v/>
      </c>
      <c r="I330" s="67" t="str">
        <v/>
      </c>
      <c r="J330" s="67" t="str">
        <v/>
      </c>
      <c r="K330" s="68" t="str">
        <v/>
      </c>
    </row>
    <row r="331" spans="2:11">
      <c r="B331" s="66" t="str">
        <v/>
      </c>
      <c r="C331" s="67" t="str">
        <v/>
      </c>
      <c r="D331" s="67" t="str">
        <v/>
      </c>
      <c r="E331" s="67" t="str">
        <v/>
      </c>
      <c r="F331" s="67" t="str">
        <v/>
      </c>
      <c r="G331" s="67" t="str">
        <v/>
      </c>
      <c r="H331" s="67" t="str">
        <v/>
      </c>
      <c r="I331" s="67" t="str">
        <v/>
      </c>
      <c r="J331" s="67" t="str">
        <v/>
      </c>
      <c r="K331" s="68" t="str">
        <v/>
      </c>
    </row>
    <row r="332" spans="2:11">
      <c r="B332" s="66" t="str">
        <v/>
      </c>
      <c r="C332" s="67" t="str">
        <v/>
      </c>
      <c r="D332" s="67" t="str">
        <v/>
      </c>
      <c r="E332" s="67" t="str">
        <v/>
      </c>
      <c r="F332" s="67" t="str">
        <v/>
      </c>
      <c r="G332" s="67" t="str">
        <v/>
      </c>
      <c r="H332" s="67" t="str">
        <v/>
      </c>
      <c r="I332" s="67" t="str">
        <v/>
      </c>
      <c r="J332" s="67" t="str">
        <v/>
      </c>
      <c r="K332" s="68" t="str">
        <v/>
      </c>
    </row>
    <row r="333" spans="2:11">
      <c r="B333" s="66" t="str">
        <v/>
      </c>
      <c r="C333" s="67" t="str">
        <v/>
      </c>
      <c r="D333" s="67" t="str">
        <v/>
      </c>
      <c r="E333" s="67" t="str">
        <v/>
      </c>
      <c r="F333" s="67" t="str">
        <v/>
      </c>
      <c r="G333" s="67" t="str">
        <v/>
      </c>
      <c r="H333" s="67" t="str">
        <v/>
      </c>
      <c r="I333" s="67" t="str">
        <v/>
      </c>
      <c r="J333" s="67" t="str">
        <v/>
      </c>
      <c r="K333" s="68" t="str">
        <v/>
      </c>
    </row>
    <row r="334" spans="2:11">
      <c r="B334" s="66" t="str">
        <v/>
      </c>
      <c r="C334" s="67" t="str">
        <v/>
      </c>
      <c r="D334" s="67" t="str">
        <v/>
      </c>
      <c r="E334" s="67" t="str">
        <v/>
      </c>
      <c r="F334" s="67" t="str">
        <v/>
      </c>
      <c r="G334" s="67" t="str">
        <v/>
      </c>
      <c r="H334" s="67" t="str">
        <v/>
      </c>
      <c r="I334" s="67" t="str">
        <v/>
      </c>
      <c r="J334" s="67" t="str">
        <v/>
      </c>
      <c r="K334" s="68" t="str">
        <v/>
      </c>
    </row>
    <row r="335" spans="2:11">
      <c r="B335" s="66" t="str">
        <v/>
      </c>
      <c r="C335" s="67" t="str">
        <v/>
      </c>
      <c r="D335" s="67" t="str">
        <v/>
      </c>
      <c r="E335" s="67" t="str">
        <v/>
      </c>
      <c r="F335" s="67" t="str">
        <v/>
      </c>
      <c r="G335" s="67" t="str">
        <v/>
      </c>
      <c r="H335" s="67" t="str">
        <v/>
      </c>
      <c r="I335" s="67" t="str">
        <v/>
      </c>
      <c r="J335" s="67" t="str">
        <v/>
      </c>
      <c r="K335" s="68" t="str">
        <v/>
      </c>
    </row>
    <row r="336" spans="2:11">
      <c r="B336" s="66" t="str">
        <v/>
      </c>
      <c r="C336" s="67" t="str">
        <v/>
      </c>
      <c r="D336" s="67" t="str">
        <v/>
      </c>
      <c r="E336" s="67" t="str">
        <v/>
      </c>
      <c r="F336" s="67" t="str">
        <v/>
      </c>
      <c r="G336" s="67" t="str">
        <v/>
      </c>
      <c r="H336" s="67" t="str">
        <v/>
      </c>
      <c r="I336" s="67" t="str">
        <v/>
      </c>
      <c r="J336" s="67" t="str">
        <v/>
      </c>
      <c r="K336" s="68" t="str">
        <v/>
      </c>
    </row>
    <row r="337" spans="2:11">
      <c r="B337" s="66" t="str">
        <v/>
      </c>
      <c r="C337" s="67" t="str">
        <v/>
      </c>
      <c r="D337" s="67" t="str">
        <v/>
      </c>
      <c r="E337" s="67" t="str">
        <v/>
      </c>
      <c r="F337" s="67" t="str">
        <v/>
      </c>
      <c r="G337" s="67" t="str">
        <v/>
      </c>
      <c r="H337" s="67" t="str">
        <v/>
      </c>
      <c r="I337" s="67" t="str">
        <v/>
      </c>
      <c r="J337" s="67" t="str">
        <v/>
      </c>
      <c r="K337" s="68" t="str">
        <v/>
      </c>
    </row>
    <row r="338" spans="2:11">
      <c r="B338" s="66" t="str">
        <v/>
      </c>
      <c r="C338" s="67" t="str">
        <v/>
      </c>
      <c r="D338" s="67" t="str">
        <v/>
      </c>
      <c r="E338" s="67" t="str">
        <v/>
      </c>
      <c r="F338" s="67" t="str">
        <v/>
      </c>
      <c r="G338" s="67" t="str">
        <v/>
      </c>
      <c r="H338" s="67" t="str">
        <v/>
      </c>
      <c r="I338" s="67" t="str">
        <v/>
      </c>
      <c r="J338" s="67" t="str">
        <v/>
      </c>
      <c r="K338" s="68" t="str">
        <v/>
      </c>
    </row>
    <row r="339" spans="2:11">
      <c r="B339" s="66" t="str">
        <v/>
      </c>
      <c r="C339" s="67" t="str">
        <v/>
      </c>
      <c r="D339" s="67" t="str">
        <v/>
      </c>
      <c r="E339" s="67" t="str">
        <v/>
      </c>
      <c r="F339" s="67" t="str">
        <v/>
      </c>
      <c r="G339" s="67" t="str">
        <v/>
      </c>
      <c r="H339" s="67" t="str">
        <v/>
      </c>
      <c r="I339" s="67" t="str">
        <v/>
      </c>
      <c r="J339" s="67" t="str">
        <v/>
      </c>
      <c r="K339" s="68" t="str">
        <v/>
      </c>
    </row>
    <row r="340" spans="2:11">
      <c r="B340" s="66" t="str">
        <v/>
      </c>
      <c r="C340" s="67" t="str">
        <v/>
      </c>
      <c r="D340" s="67" t="str">
        <v/>
      </c>
      <c r="E340" s="67" t="str">
        <v/>
      </c>
      <c r="F340" s="67" t="str">
        <v/>
      </c>
      <c r="G340" s="67" t="str">
        <v/>
      </c>
      <c r="H340" s="67" t="str">
        <v/>
      </c>
      <c r="I340" s="67" t="str">
        <v/>
      </c>
      <c r="J340" s="67" t="str">
        <v/>
      </c>
      <c r="K340" s="68" t="str">
        <v/>
      </c>
    </row>
    <row r="341" spans="2:11">
      <c r="B341" s="66" t="str">
        <v/>
      </c>
      <c r="C341" s="67" t="str">
        <v/>
      </c>
      <c r="D341" s="67" t="str">
        <v/>
      </c>
      <c r="E341" s="67" t="str">
        <v/>
      </c>
      <c r="F341" s="67" t="str">
        <v/>
      </c>
      <c r="G341" s="67" t="str">
        <v/>
      </c>
      <c r="H341" s="67" t="str">
        <v/>
      </c>
      <c r="I341" s="67" t="str">
        <v/>
      </c>
      <c r="J341" s="67" t="str">
        <v/>
      </c>
      <c r="K341" s="68" t="str">
        <v/>
      </c>
    </row>
    <row r="342" spans="2:11">
      <c r="B342" s="66" t="str">
        <v/>
      </c>
      <c r="C342" s="67" t="str">
        <v/>
      </c>
      <c r="D342" s="67" t="str">
        <v/>
      </c>
      <c r="E342" s="67" t="str">
        <v/>
      </c>
      <c r="F342" s="67" t="str">
        <v/>
      </c>
      <c r="G342" s="67" t="str">
        <v/>
      </c>
      <c r="H342" s="67" t="str">
        <v/>
      </c>
      <c r="I342" s="67" t="str">
        <v/>
      </c>
      <c r="J342" s="67" t="str">
        <v/>
      </c>
      <c r="K342" s="68" t="str">
        <v/>
      </c>
    </row>
    <row r="343" spans="2:11">
      <c r="B343" s="66" t="str">
        <v/>
      </c>
      <c r="C343" s="67" t="str">
        <v/>
      </c>
      <c r="D343" s="67" t="str">
        <v/>
      </c>
      <c r="E343" s="67" t="str">
        <v/>
      </c>
      <c r="F343" s="67" t="str">
        <v/>
      </c>
      <c r="G343" s="67" t="str">
        <v/>
      </c>
      <c r="H343" s="67" t="str">
        <v/>
      </c>
      <c r="I343" s="67" t="str">
        <v/>
      </c>
      <c r="J343" s="67" t="str">
        <v/>
      </c>
      <c r="K343" s="68" t="str">
        <v/>
      </c>
    </row>
    <row r="344" spans="2:11">
      <c r="B344" s="66" t="str">
        <v/>
      </c>
      <c r="C344" s="67" t="str">
        <v/>
      </c>
      <c r="D344" s="67" t="str">
        <v/>
      </c>
      <c r="E344" s="67" t="str">
        <v/>
      </c>
      <c r="F344" s="67" t="str">
        <v/>
      </c>
      <c r="G344" s="67" t="str">
        <v/>
      </c>
      <c r="H344" s="67" t="str">
        <v/>
      </c>
      <c r="I344" s="67" t="str">
        <v/>
      </c>
      <c r="J344" s="67" t="str">
        <v/>
      </c>
      <c r="K344" s="68" t="str">
        <v/>
      </c>
    </row>
    <row r="345" spans="2:11">
      <c r="B345" s="66" t="str">
        <v/>
      </c>
      <c r="C345" s="67" t="str">
        <v/>
      </c>
      <c r="D345" s="67" t="str">
        <v/>
      </c>
      <c r="E345" s="67" t="str">
        <v/>
      </c>
      <c r="F345" s="67" t="str">
        <v/>
      </c>
      <c r="G345" s="67" t="str">
        <v/>
      </c>
      <c r="H345" s="67" t="str">
        <v/>
      </c>
      <c r="I345" s="67" t="str">
        <v/>
      </c>
      <c r="J345" s="67" t="str">
        <v/>
      </c>
      <c r="K345" s="68" t="str">
        <v/>
      </c>
    </row>
    <row r="346" spans="2:11">
      <c r="B346" s="66" t="str">
        <v/>
      </c>
      <c r="C346" s="67" t="str">
        <v/>
      </c>
      <c r="D346" s="67" t="str">
        <v/>
      </c>
      <c r="E346" s="67" t="str">
        <v/>
      </c>
      <c r="F346" s="67" t="str">
        <v/>
      </c>
      <c r="G346" s="67" t="str">
        <v/>
      </c>
      <c r="H346" s="67" t="str">
        <v/>
      </c>
      <c r="I346" s="67" t="str">
        <v/>
      </c>
      <c r="J346" s="67" t="str">
        <v/>
      </c>
      <c r="K346" s="68" t="str">
        <v/>
      </c>
    </row>
    <row r="347" spans="2:11">
      <c r="B347" s="66" t="str">
        <v/>
      </c>
      <c r="C347" s="67" t="str">
        <v/>
      </c>
      <c r="D347" s="67" t="str">
        <v/>
      </c>
      <c r="E347" s="67" t="str">
        <v/>
      </c>
      <c r="F347" s="67" t="str">
        <v/>
      </c>
      <c r="G347" s="67" t="str">
        <v/>
      </c>
      <c r="H347" s="67" t="str">
        <v/>
      </c>
      <c r="I347" s="67" t="str">
        <v/>
      </c>
      <c r="J347" s="67" t="str">
        <v/>
      </c>
      <c r="K347" s="68" t="str">
        <v/>
      </c>
    </row>
    <row r="348" spans="2:11">
      <c r="B348" s="66" t="str">
        <v/>
      </c>
      <c r="C348" s="67" t="str">
        <v/>
      </c>
      <c r="D348" s="67" t="str">
        <v/>
      </c>
      <c r="E348" s="67" t="str">
        <v/>
      </c>
      <c r="F348" s="67" t="str">
        <v/>
      </c>
      <c r="G348" s="67" t="str">
        <v/>
      </c>
      <c r="H348" s="67" t="str">
        <v/>
      </c>
      <c r="I348" s="67" t="str">
        <v/>
      </c>
      <c r="J348" s="67" t="str">
        <v/>
      </c>
      <c r="K348" s="68" t="str">
        <v/>
      </c>
    </row>
    <row r="349" spans="2:11">
      <c r="B349" s="66" t="str">
        <v/>
      </c>
      <c r="C349" s="67" t="str">
        <v/>
      </c>
      <c r="D349" s="67" t="str">
        <v/>
      </c>
      <c r="E349" s="67" t="str">
        <v/>
      </c>
      <c r="F349" s="67" t="str">
        <v/>
      </c>
      <c r="G349" s="67" t="str">
        <v/>
      </c>
      <c r="H349" s="67" t="str">
        <v/>
      </c>
      <c r="I349" s="67" t="str">
        <v/>
      </c>
      <c r="J349" s="67" t="str">
        <v/>
      </c>
      <c r="K349" s="68" t="str">
        <v/>
      </c>
    </row>
    <row r="350" spans="2:11">
      <c r="B350" s="66" t="str">
        <v/>
      </c>
      <c r="C350" s="67" t="str">
        <v/>
      </c>
      <c r="D350" s="67" t="str">
        <v/>
      </c>
      <c r="E350" s="67" t="str">
        <v/>
      </c>
      <c r="F350" s="67" t="str">
        <v/>
      </c>
      <c r="G350" s="67" t="str">
        <v/>
      </c>
      <c r="H350" s="67" t="str">
        <v/>
      </c>
      <c r="I350" s="67" t="str">
        <v/>
      </c>
      <c r="J350" s="67" t="str">
        <v/>
      </c>
      <c r="K350" s="68" t="str">
        <v/>
      </c>
    </row>
    <row r="351" spans="2:11">
      <c r="B351" s="66" t="str">
        <v/>
      </c>
      <c r="C351" s="67" t="str">
        <v/>
      </c>
      <c r="D351" s="67" t="str">
        <v/>
      </c>
      <c r="E351" s="67" t="str">
        <v/>
      </c>
      <c r="F351" s="67" t="str">
        <v/>
      </c>
      <c r="G351" s="67" t="str">
        <v/>
      </c>
      <c r="H351" s="67" t="str">
        <v/>
      </c>
      <c r="I351" s="67" t="str">
        <v/>
      </c>
      <c r="J351" s="67" t="str">
        <v/>
      </c>
      <c r="K351" s="68" t="str">
        <v/>
      </c>
    </row>
    <row r="352" spans="2:11">
      <c r="B352" s="66" t="str">
        <v/>
      </c>
      <c r="C352" s="67" t="str">
        <v/>
      </c>
      <c r="D352" s="67" t="str">
        <v/>
      </c>
      <c r="E352" s="67" t="str">
        <v/>
      </c>
      <c r="F352" s="67" t="str">
        <v/>
      </c>
      <c r="G352" s="67" t="str">
        <v/>
      </c>
      <c r="H352" s="67" t="str">
        <v/>
      </c>
      <c r="I352" s="67" t="str">
        <v/>
      </c>
      <c r="J352" s="67" t="str">
        <v/>
      </c>
      <c r="K352" s="68" t="str">
        <v/>
      </c>
    </row>
    <row r="353" spans="2:11">
      <c r="B353" s="66" t="str">
        <v/>
      </c>
      <c r="C353" s="67" t="str">
        <v/>
      </c>
      <c r="D353" s="67" t="str">
        <v/>
      </c>
      <c r="E353" s="67" t="str">
        <v/>
      </c>
      <c r="F353" s="67" t="str">
        <v/>
      </c>
      <c r="G353" s="67" t="str">
        <v/>
      </c>
      <c r="H353" s="67" t="str">
        <v/>
      </c>
      <c r="I353" s="67" t="str">
        <v/>
      </c>
      <c r="J353" s="67" t="str">
        <v/>
      </c>
      <c r="K353" s="68" t="str">
        <v/>
      </c>
    </row>
    <row r="354" spans="2:11">
      <c r="B354" s="66" t="str">
        <v/>
      </c>
      <c r="C354" s="67" t="str">
        <v/>
      </c>
      <c r="D354" s="67" t="str">
        <v/>
      </c>
      <c r="E354" s="67" t="str">
        <v/>
      </c>
      <c r="F354" s="67" t="str">
        <v/>
      </c>
      <c r="G354" s="67" t="str">
        <v/>
      </c>
      <c r="H354" s="67" t="str">
        <v/>
      </c>
      <c r="I354" s="67" t="str">
        <v/>
      </c>
      <c r="J354" s="67" t="str">
        <v/>
      </c>
      <c r="K354" s="68" t="str">
        <v/>
      </c>
    </row>
    <row r="355" spans="2:11">
      <c r="B355" s="66" t="str">
        <v/>
      </c>
      <c r="C355" s="67" t="str">
        <v/>
      </c>
      <c r="D355" s="67" t="str">
        <v/>
      </c>
      <c r="E355" s="67" t="str">
        <v/>
      </c>
      <c r="F355" s="67" t="str">
        <v/>
      </c>
      <c r="G355" s="67" t="str">
        <v/>
      </c>
      <c r="H355" s="67" t="str">
        <v/>
      </c>
      <c r="I355" s="67" t="str">
        <v/>
      </c>
      <c r="J355" s="67" t="str">
        <v/>
      </c>
      <c r="K355" s="68" t="str">
        <v/>
      </c>
    </row>
    <row r="356" spans="2:11">
      <c r="B356" s="66" t="str">
        <v/>
      </c>
      <c r="C356" s="67" t="str">
        <v/>
      </c>
      <c r="D356" s="67" t="str">
        <v/>
      </c>
      <c r="E356" s="67" t="str">
        <v/>
      </c>
      <c r="F356" s="67" t="str">
        <v/>
      </c>
      <c r="G356" s="67" t="str">
        <v/>
      </c>
      <c r="H356" s="67" t="str">
        <v/>
      </c>
      <c r="I356" s="67" t="str">
        <v/>
      </c>
      <c r="J356" s="67" t="str">
        <v/>
      </c>
      <c r="K356" s="68" t="str">
        <v/>
      </c>
    </row>
    <row r="357" spans="2:11">
      <c r="B357" s="66" t="str">
        <v/>
      </c>
      <c r="C357" s="67" t="str">
        <v/>
      </c>
      <c r="D357" s="67" t="str">
        <v/>
      </c>
      <c r="E357" s="67" t="str">
        <v/>
      </c>
      <c r="F357" s="67" t="str">
        <v/>
      </c>
      <c r="G357" s="67" t="str">
        <v/>
      </c>
      <c r="H357" s="67" t="str">
        <v/>
      </c>
      <c r="I357" s="67" t="str">
        <v/>
      </c>
      <c r="J357" s="67" t="str">
        <v/>
      </c>
      <c r="K357" s="68" t="str">
        <v/>
      </c>
    </row>
    <row r="358" spans="2:11">
      <c r="B358" s="66" t="str">
        <v/>
      </c>
      <c r="C358" s="67" t="str">
        <v/>
      </c>
      <c r="D358" s="67" t="str">
        <v/>
      </c>
      <c r="E358" s="67" t="str">
        <v/>
      </c>
      <c r="F358" s="67" t="str">
        <v/>
      </c>
      <c r="G358" s="67" t="str">
        <v/>
      </c>
      <c r="H358" s="67" t="str">
        <v/>
      </c>
      <c r="I358" s="67" t="str">
        <v/>
      </c>
      <c r="J358" s="67" t="str">
        <v/>
      </c>
      <c r="K358" s="68" t="str">
        <v/>
      </c>
    </row>
    <row r="359" spans="2:11">
      <c r="B359" s="66" t="str">
        <v/>
      </c>
      <c r="C359" s="67" t="str">
        <v/>
      </c>
      <c r="D359" s="67" t="str">
        <v/>
      </c>
      <c r="E359" s="67" t="str">
        <v/>
      </c>
      <c r="F359" s="67" t="str">
        <v/>
      </c>
      <c r="G359" s="67" t="str">
        <v/>
      </c>
      <c r="H359" s="67" t="str">
        <v/>
      </c>
      <c r="I359" s="67" t="str">
        <v/>
      </c>
      <c r="J359" s="67" t="str">
        <v/>
      </c>
      <c r="K359" s="68" t="str">
        <v/>
      </c>
    </row>
    <row r="360" spans="2:11">
      <c r="B360" s="66" t="str">
        <v/>
      </c>
      <c r="C360" s="67" t="str">
        <v/>
      </c>
      <c r="D360" s="67" t="str">
        <v/>
      </c>
      <c r="E360" s="67" t="str">
        <v/>
      </c>
      <c r="F360" s="67" t="str">
        <v/>
      </c>
      <c r="G360" s="67" t="str">
        <v/>
      </c>
      <c r="H360" s="67" t="str">
        <v/>
      </c>
      <c r="I360" s="67" t="str">
        <v/>
      </c>
      <c r="J360" s="67" t="str">
        <v/>
      </c>
      <c r="K360" s="68" t="str">
        <v/>
      </c>
    </row>
    <row r="361" spans="2:11">
      <c r="B361" s="66" t="str">
        <v/>
      </c>
      <c r="C361" s="67" t="str">
        <v/>
      </c>
      <c r="D361" s="67" t="str">
        <v/>
      </c>
      <c r="E361" s="67" t="str">
        <v/>
      </c>
      <c r="F361" s="67" t="str">
        <v/>
      </c>
      <c r="G361" s="67" t="str">
        <v/>
      </c>
      <c r="H361" s="67" t="str">
        <v/>
      </c>
      <c r="I361" s="67" t="str">
        <v/>
      </c>
      <c r="J361" s="67" t="str">
        <v/>
      </c>
      <c r="K361" s="68" t="str">
        <v/>
      </c>
    </row>
    <row r="362" spans="2:11">
      <c r="B362" s="66" t="str">
        <v/>
      </c>
      <c r="C362" s="67" t="str">
        <v/>
      </c>
      <c r="D362" s="67" t="str">
        <v/>
      </c>
      <c r="E362" s="67" t="str">
        <v/>
      </c>
      <c r="F362" s="67" t="str">
        <v/>
      </c>
      <c r="G362" s="67" t="str">
        <v/>
      </c>
      <c r="H362" s="67" t="str">
        <v/>
      </c>
      <c r="I362" s="67" t="str">
        <v/>
      </c>
      <c r="J362" s="67" t="str">
        <v/>
      </c>
      <c r="K362" s="68" t="str">
        <v/>
      </c>
    </row>
    <row r="363" spans="2:11">
      <c r="B363" s="66" t="str">
        <v/>
      </c>
      <c r="C363" s="67" t="str">
        <v/>
      </c>
      <c r="D363" s="67" t="str">
        <v/>
      </c>
      <c r="E363" s="67" t="str">
        <v/>
      </c>
      <c r="F363" s="67" t="str">
        <v/>
      </c>
      <c r="G363" s="67" t="str">
        <v/>
      </c>
      <c r="H363" s="67" t="str">
        <v/>
      </c>
      <c r="I363" s="67" t="str">
        <v/>
      </c>
      <c r="J363" s="67" t="str">
        <v/>
      </c>
      <c r="K363" s="68" t="str">
        <v/>
      </c>
    </row>
    <row r="364" spans="2:11">
      <c r="B364" s="66" t="str">
        <v/>
      </c>
      <c r="C364" s="67" t="str">
        <v/>
      </c>
      <c r="D364" s="67" t="str">
        <v/>
      </c>
      <c r="E364" s="67" t="str">
        <v/>
      </c>
      <c r="F364" s="67" t="str">
        <v/>
      </c>
      <c r="G364" s="67" t="str">
        <v/>
      </c>
      <c r="H364" s="67" t="str">
        <v/>
      </c>
      <c r="I364" s="67" t="str">
        <v/>
      </c>
      <c r="J364" s="67" t="str">
        <v/>
      </c>
      <c r="K364" s="68" t="str">
        <v/>
      </c>
    </row>
    <row r="365" spans="2:11">
      <c r="B365" s="66" t="str">
        <v/>
      </c>
      <c r="C365" s="67" t="str">
        <v/>
      </c>
      <c r="D365" s="67" t="str">
        <v/>
      </c>
      <c r="E365" s="67" t="str">
        <v/>
      </c>
      <c r="F365" s="67" t="str">
        <v/>
      </c>
      <c r="G365" s="67" t="str">
        <v/>
      </c>
      <c r="H365" s="67" t="str">
        <v/>
      </c>
      <c r="I365" s="67" t="str">
        <v/>
      </c>
      <c r="J365" s="67" t="str">
        <v/>
      </c>
      <c r="K365" s="68" t="str">
        <v/>
      </c>
    </row>
    <row r="366" spans="2:11">
      <c r="B366" s="66" t="str">
        <v/>
      </c>
      <c r="C366" s="67" t="str">
        <v/>
      </c>
      <c r="D366" s="67" t="str">
        <v/>
      </c>
      <c r="E366" s="67" t="str">
        <v/>
      </c>
      <c r="F366" s="67" t="str">
        <v/>
      </c>
      <c r="G366" s="67" t="str">
        <v/>
      </c>
      <c r="H366" s="67" t="str">
        <v/>
      </c>
      <c r="I366" s="67" t="str">
        <v/>
      </c>
      <c r="J366" s="67" t="str">
        <v/>
      </c>
      <c r="K366" s="68" t="str">
        <v/>
      </c>
    </row>
    <row r="367" spans="2:11">
      <c r="B367" s="66" t="str">
        <v/>
      </c>
      <c r="C367" s="67" t="str">
        <v/>
      </c>
      <c r="D367" s="67" t="str">
        <v/>
      </c>
      <c r="E367" s="67" t="str">
        <v/>
      </c>
      <c r="F367" s="67" t="str">
        <v/>
      </c>
      <c r="G367" s="67" t="str">
        <v/>
      </c>
      <c r="H367" s="67" t="str">
        <v/>
      </c>
      <c r="I367" s="67" t="str">
        <v/>
      </c>
      <c r="J367" s="67" t="str">
        <v/>
      </c>
      <c r="K367" s="68" t="str">
        <v/>
      </c>
    </row>
    <row r="368" spans="2:11">
      <c r="B368" s="66" t="str">
        <v/>
      </c>
      <c r="C368" s="67" t="str">
        <v/>
      </c>
      <c r="D368" s="67" t="str">
        <v/>
      </c>
      <c r="E368" s="67" t="str">
        <v/>
      </c>
      <c r="F368" s="67" t="str">
        <v/>
      </c>
      <c r="G368" s="67" t="str">
        <v/>
      </c>
      <c r="H368" s="67" t="str">
        <v/>
      </c>
      <c r="I368" s="67" t="str">
        <v/>
      </c>
      <c r="J368" s="67" t="str">
        <v/>
      </c>
      <c r="K368" s="68" t="str">
        <v/>
      </c>
    </row>
    <row r="369" spans="2:11">
      <c r="B369" s="66" t="str">
        <v/>
      </c>
      <c r="C369" s="67" t="str">
        <v/>
      </c>
      <c r="D369" s="67" t="str">
        <v/>
      </c>
      <c r="E369" s="67" t="str">
        <v/>
      </c>
      <c r="F369" s="67" t="str">
        <v/>
      </c>
      <c r="G369" s="67" t="str">
        <v/>
      </c>
      <c r="H369" s="67" t="str">
        <v/>
      </c>
      <c r="I369" s="67" t="str">
        <v/>
      </c>
      <c r="J369" s="67" t="str">
        <v/>
      </c>
      <c r="K369" s="68" t="str">
        <v/>
      </c>
    </row>
    <row r="370" spans="2:11">
      <c r="B370" s="66" t="str">
        <v/>
      </c>
      <c r="C370" s="67" t="str">
        <v/>
      </c>
      <c r="D370" s="67" t="str">
        <v/>
      </c>
      <c r="E370" s="67" t="str">
        <v/>
      </c>
      <c r="F370" s="67" t="str">
        <v/>
      </c>
      <c r="G370" s="67" t="str">
        <v/>
      </c>
      <c r="H370" s="67" t="str">
        <v/>
      </c>
      <c r="I370" s="67" t="str">
        <v/>
      </c>
      <c r="J370" s="67" t="str">
        <v/>
      </c>
      <c r="K370" s="68" t="str">
        <v/>
      </c>
    </row>
    <row r="371" spans="2:11">
      <c r="B371" s="66" t="str">
        <v/>
      </c>
      <c r="C371" s="67" t="str">
        <v/>
      </c>
      <c r="D371" s="67" t="str">
        <v/>
      </c>
      <c r="E371" s="67" t="str">
        <v/>
      </c>
      <c r="F371" s="67" t="str">
        <v/>
      </c>
      <c r="G371" s="67" t="str">
        <v/>
      </c>
      <c r="H371" s="67" t="str">
        <v/>
      </c>
      <c r="I371" s="67" t="str">
        <v/>
      </c>
      <c r="J371" s="67" t="str">
        <v/>
      </c>
      <c r="K371" s="68" t="str">
        <v/>
      </c>
    </row>
    <row r="372" spans="2:11">
      <c r="B372" s="66" t="str">
        <v/>
      </c>
      <c r="C372" s="67" t="str">
        <v/>
      </c>
      <c r="D372" s="67" t="str">
        <v/>
      </c>
      <c r="E372" s="67" t="str">
        <v/>
      </c>
      <c r="F372" s="67" t="str">
        <v/>
      </c>
      <c r="G372" s="67" t="str">
        <v/>
      </c>
      <c r="H372" s="67" t="str">
        <v/>
      </c>
      <c r="I372" s="67" t="str">
        <v/>
      </c>
      <c r="J372" s="67" t="str">
        <v/>
      </c>
      <c r="K372" s="68" t="str">
        <v/>
      </c>
    </row>
    <row r="373" spans="2:11">
      <c r="B373" s="66" t="str">
        <v/>
      </c>
      <c r="C373" s="67" t="str">
        <v/>
      </c>
      <c r="D373" s="67" t="str">
        <v/>
      </c>
      <c r="E373" s="67" t="str">
        <v/>
      </c>
      <c r="F373" s="67" t="str">
        <v/>
      </c>
      <c r="G373" s="67" t="str">
        <v/>
      </c>
      <c r="H373" s="67" t="str">
        <v/>
      </c>
      <c r="I373" s="67" t="str">
        <v/>
      </c>
      <c r="J373" s="67" t="str">
        <v/>
      </c>
      <c r="K373" s="68" t="str">
        <v/>
      </c>
    </row>
    <row r="374" spans="2:11">
      <c r="B374" s="66" t="str">
        <v/>
      </c>
      <c r="C374" s="67" t="str">
        <v/>
      </c>
      <c r="D374" s="67" t="str">
        <v/>
      </c>
      <c r="E374" s="67" t="str">
        <v/>
      </c>
      <c r="F374" s="67" t="str">
        <v/>
      </c>
      <c r="G374" s="67" t="str">
        <v/>
      </c>
      <c r="H374" s="67" t="str">
        <v/>
      </c>
      <c r="I374" s="67" t="str">
        <v/>
      </c>
      <c r="J374" s="67" t="str">
        <v/>
      </c>
      <c r="K374" s="68" t="str">
        <v/>
      </c>
    </row>
    <row r="375" spans="2:11">
      <c r="B375" s="66" t="str">
        <v/>
      </c>
      <c r="C375" s="67" t="str">
        <v/>
      </c>
      <c r="D375" s="67" t="str">
        <v/>
      </c>
      <c r="E375" s="67" t="str">
        <v/>
      </c>
      <c r="F375" s="67" t="str">
        <v/>
      </c>
      <c r="G375" s="67" t="str">
        <v/>
      </c>
      <c r="H375" s="67" t="str">
        <v/>
      </c>
      <c r="I375" s="67" t="str">
        <v/>
      </c>
      <c r="J375" s="67" t="str">
        <v/>
      </c>
      <c r="K375" s="68" t="str">
        <v/>
      </c>
    </row>
    <row r="376" spans="2:11">
      <c r="B376" s="66" t="str">
        <v/>
      </c>
      <c r="C376" s="67" t="str">
        <v/>
      </c>
      <c r="D376" s="67" t="str">
        <v/>
      </c>
      <c r="E376" s="67" t="str">
        <v/>
      </c>
      <c r="F376" s="67" t="str">
        <v/>
      </c>
      <c r="G376" s="67" t="str">
        <v/>
      </c>
      <c r="H376" s="67" t="str">
        <v/>
      </c>
      <c r="I376" s="67" t="str">
        <v/>
      </c>
      <c r="J376" s="67" t="str">
        <v/>
      </c>
      <c r="K376" s="68" t="str">
        <v/>
      </c>
    </row>
    <row r="377" spans="2:11">
      <c r="B377" s="66" t="str">
        <v/>
      </c>
      <c r="C377" s="67" t="str">
        <v/>
      </c>
      <c r="D377" s="67" t="str">
        <v/>
      </c>
      <c r="E377" s="67" t="str">
        <v/>
      </c>
      <c r="F377" s="67" t="str">
        <v/>
      </c>
      <c r="G377" s="67" t="str">
        <v/>
      </c>
      <c r="H377" s="67" t="str">
        <v/>
      </c>
      <c r="I377" s="67" t="str">
        <v/>
      </c>
      <c r="J377" s="67" t="str">
        <v/>
      </c>
      <c r="K377" s="68" t="str">
        <v/>
      </c>
    </row>
    <row r="378" spans="2:11">
      <c r="B378" s="66" t="str">
        <v/>
      </c>
      <c r="C378" s="67" t="str">
        <v/>
      </c>
      <c r="D378" s="67" t="str">
        <v/>
      </c>
      <c r="E378" s="67" t="str">
        <v/>
      </c>
      <c r="F378" s="67" t="str">
        <v/>
      </c>
      <c r="G378" s="67" t="str">
        <v/>
      </c>
      <c r="H378" s="67" t="str">
        <v/>
      </c>
      <c r="I378" s="67" t="str">
        <v/>
      </c>
      <c r="J378" s="67" t="str">
        <v/>
      </c>
      <c r="K378" s="68" t="str">
        <v/>
      </c>
    </row>
    <row r="379" spans="2:11">
      <c r="B379" s="66" t="str">
        <v/>
      </c>
      <c r="C379" s="67" t="str">
        <v/>
      </c>
      <c r="D379" s="67" t="str">
        <v/>
      </c>
      <c r="E379" s="67" t="str">
        <v/>
      </c>
      <c r="F379" s="67" t="str">
        <v/>
      </c>
      <c r="G379" s="67" t="str">
        <v/>
      </c>
      <c r="H379" s="67" t="str">
        <v/>
      </c>
      <c r="I379" s="67" t="str">
        <v/>
      </c>
      <c r="J379" s="67" t="str">
        <v/>
      </c>
      <c r="K379" s="68" t="str">
        <v/>
      </c>
    </row>
    <row r="380" spans="2:11">
      <c r="B380" s="66" t="str">
        <v/>
      </c>
      <c r="C380" s="67" t="str">
        <v/>
      </c>
      <c r="D380" s="67" t="str">
        <v/>
      </c>
      <c r="E380" s="67" t="str">
        <v/>
      </c>
      <c r="F380" s="67" t="str">
        <v/>
      </c>
      <c r="G380" s="67" t="str">
        <v/>
      </c>
      <c r="H380" s="67" t="str">
        <v/>
      </c>
      <c r="I380" s="67" t="str">
        <v/>
      </c>
      <c r="J380" s="67" t="str">
        <v/>
      </c>
      <c r="K380" s="68" t="str">
        <v/>
      </c>
    </row>
    <row r="381" spans="2:11">
      <c r="B381" s="66" t="str">
        <v/>
      </c>
      <c r="C381" s="67" t="str">
        <v/>
      </c>
      <c r="D381" s="67" t="str">
        <v/>
      </c>
      <c r="E381" s="67" t="str">
        <v/>
      </c>
      <c r="F381" s="67" t="str">
        <v/>
      </c>
      <c r="G381" s="67" t="str">
        <v/>
      </c>
      <c r="H381" s="67" t="str">
        <v/>
      </c>
      <c r="I381" s="67" t="str">
        <v/>
      </c>
      <c r="J381" s="67" t="str">
        <v/>
      </c>
      <c r="K381" s="68" t="str">
        <v/>
      </c>
    </row>
    <row r="382" spans="2:11">
      <c r="B382" s="66" t="str">
        <v/>
      </c>
      <c r="C382" s="67" t="str">
        <v/>
      </c>
      <c r="D382" s="67" t="str">
        <v/>
      </c>
      <c r="E382" s="67" t="str">
        <v/>
      </c>
      <c r="F382" s="67" t="str">
        <v/>
      </c>
      <c r="G382" s="67" t="str">
        <v/>
      </c>
      <c r="H382" s="67" t="str">
        <v/>
      </c>
      <c r="I382" s="67" t="str">
        <v/>
      </c>
      <c r="J382" s="67" t="str">
        <v/>
      </c>
      <c r="K382" s="68" t="str">
        <v/>
      </c>
    </row>
    <row r="383" spans="2:11">
      <c r="B383" s="66" t="str">
        <v/>
      </c>
      <c r="C383" s="67" t="str">
        <v/>
      </c>
      <c r="D383" s="67" t="str">
        <v/>
      </c>
      <c r="E383" s="67" t="str">
        <v/>
      </c>
      <c r="F383" s="67" t="str">
        <v/>
      </c>
      <c r="G383" s="67" t="str">
        <v/>
      </c>
      <c r="H383" s="67" t="str">
        <v/>
      </c>
      <c r="I383" s="67" t="str">
        <v/>
      </c>
      <c r="J383" s="67" t="str">
        <v/>
      </c>
      <c r="K383" s="68" t="str">
        <v/>
      </c>
    </row>
    <row r="384" spans="2:11">
      <c r="B384" s="66" t="str">
        <v/>
      </c>
      <c r="C384" s="67" t="str">
        <v/>
      </c>
      <c r="D384" s="67" t="str">
        <v/>
      </c>
      <c r="E384" s="67" t="str">
        <v/>
      </c>
      <c r="F384" s="67" t="str">
        <v/>
      </c>
      <c r="G384" s="67" t="str">
        <v/>
      </c>
      <c r="H384" s="67" t="str">
        <v/>
      </c>
      <c r="I384" s="67" t="str">
        <v/>
      </c>
      <c r="J384" s="67" t="str">
        <v/>
      </c>
      <c r="K384" s="68" t="str">
        <v/>
      </c>
    </row>
    <row r="385" spans="2:11">
      <c r="B385" s="66" t="str">
        <v/>
      </c>
      <c r="C385" s="67" t="str">
        <v/>
      </c>
      <c r="D385" s="67" t="str">
        <v/>
      </c>
      <c r="E385" s="67" t="str">
        <v/>
      </c>
      <c r="F385" s="67" t="str">
        <v/>
      </c>
      <c r="G385" s="67" t="str">
        <v/>
      </c>
      <c r="H385" s="67" t="str">
        <v/>
      </c>
      <c r="I385" s="67" t="str">
        <v/>
      </c>
      <c r="J385" s="67" t="str">
        <v/>
      </c>
      <c r="K385" s="68" t="str">
        <v/>
      </c>
    </row>
    <row r="386" spans="2:11">
      <c r="B386" s="66" t="str">
        <v/>
      </c>
      <c r="C386" s="67" t="str">
        <v/>
      </c>
      <c r="D386" s="67" t="str">
        <v/>
      </c>
      <c r="E386" s="67" t="str">
        <v/>
      </c>
      <c r="F386" s="67" t="str">
        <v/>
      </c>
      <c r="G386" s="67" t="str">
        <v/>
      </c>
      <c r="H386" s="67" t="str">
        <v/>
      </c>
      <c r="I386" s="67" t="str">
        <v/>
      </c>
      <c r="J386" s="67" t="str">
        <v/>
      </c>
      <c r="K386" s="68" t="str">
        <v/>
      </c>
    </row>
    <row r="387" spans="2:11">
      <c r="B387" s="66" t="str">
        <v/>
      </c>
      <c r="C387" s="67" t="str">
        <v/>
      </c>
      <c r="D387" s="67" t="str">
        <v/>
      </c>
      <c r="E387" s="67" t="str">
        <v/>
      </c>
      <c r="F387" s="67" t="str">
        <v/>
      </c>
      <c r="G387" s="67" t="str">
        <v/>
      </c>
      <c r="H387" s="67" t="str">
        <v/>
      </c>
      <c r="I387" s="67" t="str">
        <v/>
      </c>
      <c r="J387" s="67" t="str">
        <v/>
      </c>
      <c r="K387" s="68" t="str">
        <v/>
      </c>
    </row>
    <row r="388" spans="2:11">
      <c r="B388" s="66" t="str">
        <v/>
      </c>
      <c r="C388" s="67" t="str">
        <v/>
      </c>
      <c r="D388" s="67" t="str">
        <v/>
      </c>
      <c r="E388" s="67" t="str">
        <v/>
      </c>
      <c r="F388" s="67" t="str">
        <v/>
      </c>
      <c r="G388" s="67" t="str">
        <v/>
      </c>
      <c r="H388" s="67" t="str">
        <v/>
      </c>
      <c r="I388" s="67" t="str">
        <v/>
      </c>
      <c r="J388" s="67" t="str">
        <v/>
      </c>
      <c r="K388" s="68" t="str">
        <v/>
      </c>
    </row>
    <row r="389" spans="2:11">
      <c r="B389" s="66" t="str">
        <v/>
      </c>
      <c r="C389" s="67" t="str">
        <v/>
      </c>
      <c r="D389" s="67" t="str">
        <v/>
      </c>
      <c r="E389" s="67" t="str">
        <v/>
      </c>
      <c r="F389" s="67" t="str">
        <v/>
      </c>
      <c r="G389" s="67" t="str">
        <v/>
      </c>
      <c r="H389" s="67" t="str">
        <v/>
      </c>
      <c r="I389" s="67" t="str">
        <v/>
      </c>
      <c r="J389" s="67" t="str">
        <v/>
      </c>
      <c r="K389" s="68" t="str">
        <v/>
      </c>
    </row>
    <row r="390" spans="2:11">
      <c r="B390" s="66" t="str">
        <v/>
      </c>
      <c r="C390" s="67" t="str">
        <v/>
      </c>
      <c r="D390" s="67" t="str">
        <v/>
      </c>
      <c r="E390" s="67" t="str">
        <v/>
      </c>
      <c r="F390" s="67" t="str">
        <v/>
      </c>
      <c r="G390" s="67" t="str">
        <v/>
      </c>
      <c r="H390" s="67" t="str">
        <v/>
      </c>
      <c r="I390" s="67" t="str">
        <v/>
      </c>
      <c r="J390" s="67" t="str">
        <v/>
      </c>
      <c r="K390" s="68" t="str">
        <v/>
      </c>
    </row>
    <row r="391" spans="2:11">
      <c r="B391" s="66" t="str">
        <v/>
      </c>
      <c r="C391" s="67" t="str">
        <v/>
      </c>
      <c r="D391" s="67" t="str">
        <v/>
      </c>
      <c r="E391" s="67" t="str">
        <v/>
      </c>
      <c r="F391" s="67" t="str">
        <v/>
      </c>
      <c r="G391" s="67" t="str">
        <v/>
      </c>
      <c r="H391" s="67" t="str">
        <v/>
      </c>
      <c r="I391" s="67" t="str">
        <v/>
      </c>
      <c r="J391" s="67" t="str">
        <v/>
      </c>
      <c r="K391" s="68" t="str">
        <v/>
      </c>
    </row>
    <row r="392" spans="2:11">
      <c r="B392" s="66" t="str">
        <v/>
      </c>
      <c r="C392" s="67" t="str">
        <v/>
      </c>
      <c r="D392" s="67" t="str">
        <v/>
      </c>
      <c r="E392" s="67" t="str">
        <v/>
      </c>
      <c r="F392" s="67" t="str">
        <v/>
      </c>
      <c r="G392" s="67" t="str">
        <v/>
      </c>
      <c r="H392" s="67" t="str">
        <v/>
      </c>
      <c r="I392" s="67" t="str">
        <v/>
      </c>
      <c r="J392" s="67" t="str">
        <v/>
      </c>
      <c r="K392" s="68" t="str">
        <v/>
      </c>
    </row>
    <row r="393" spans="2:11">
      <c r="B393" s="66" t="str">
        <v/>
      </c>
      <c r="C393" s="67" t="str">
        <v/>
      </c>
      <c r="D393" s="67" t="str">
        <v/>
      </c>
      <c r="E393" s="67" t="str">
        <v/>
      </c>
      <c r="F393" s="67" t="str">
        <v/>
      </c>
      <c r="G393" s="67" t="str">
        <v/>
      </c>
      <c r="H393" s="67" t="str">
        <v/>
      </c>
      <c r="I393" s="67" t="str">
        <v/>
      </c>
      <c r="J393" s="67" t="str">
        <v/>
      </c>
      <c r="K393" s="68" t="str">
        <v/>
      </c>
    </row>
    <row r="394" spans="2:11">
      <c r="B394" s="66" t="str">
        <v/>
      </c>
      <c r="C394" s="67" t="str">
        <v/>
      </c>
      <c r="D394" s="67" t="str">
        <v/>
      </c>
      <c r="E394" s="67" t="str">
        <v/>
      </c>
      <c r="F394" s="67" t="str">
        <v/>
      </c>
      <c r="G394" s="67" t="str">
        <v/>
      </c>
      <c r="H394" s="67" t="str">
        <v/>
      </c>
      <c r="I394" s="67" t="str">
        <v/>
      </c>
      <c r="J394" s="67" t="str">
        <v/>
      </c>
      <c r="K394" s="68" t="str">
        <v/>
      </c>
    </row>
    <row r="395" spans="2:11">
      <c r="B395" s="66" t="str">
        <v/>
      </c>
      <c r="C395" s="67" t="str">
        <v/>
      </c>
      <c r="D395" s="67" t="str">
        <v/>
      </c>
      <c r="E395" s="67" t="str">
        <v/>
      </c>
      <c r="F395" s="67" t="str">
        <v/>
      </c>
      <c r="G395" s="67" t="str">
        <v/>
      </c>
      <c r="H395" s="67" t="str">
        <v/>
      </c>
      <c r="I395" s="67" t="str">
        <v/>
      </c>
      <c r="J395" s="67" t="str">
        <v/>
      </c>
      <c r="K395" s="68" t="str">
        <v/>
      </c>
    </row>
    <row r="396" spans="2:11">
      <c r="B396" s="66" t="str">
        <v/>
      </c>
      <c r="C396" s="67" t="str">
        <v/>
      </c>
      <c r="D396" s="67" t="str">
        <v/>
      </c>
      <c r="E396" s="67" t="str">
        <v/>
      </c>
      <c r="F396" s="67" t="str">
        <v/>
      </c>
      <c r="G396" s="67" t="str">
        <v/>
      </c>
      <c r="H396" s="67" t="str">
        <v/>
      </c>
      <c r="I396" s="67" t="str">
        <v/>
      </c>
      <c r="J396" s="67" t="str">
        <v/>
      </c>
      <c r="K396" s="68" t="str">
        <v/>
      </c>
    </row>
    <row r="397" spans="2:11">
      <c r="B397" s="66" t="str">
        <v/>
      </c>
      <c r="C397" s="67" t="str">
        <v/>
      </c>
      <c r="D397" s="67" t="str">
        <v/>
      </c>
      <c r="E397" s="67" t="str">
        <v/>
      </c>
      <c r="F397" s="67" t="str">
        <v/>
      </c>
      <c r="G397" s="67" t="str">
        <v/>
      </c>
      <c r="H397" s="67" t="str">
        <v/>
      </c>
      <c r="I397" s="67" t="str">
        <v/>
      </c>
      <c r="J397" s="67" t="str">
        <v/>
      </c>
      <c r="K397" s="68" t="str">
        <v/>
      </c>
    </row>
    <row r="398" spans="2:11">
      <c r="B398" s="66" t="str">
        <v/>
      </c>
      <c r="C398" s="67" t="str">
        <v/>
      </c>
      <c r="D398" s="67" t="str">
        <v/>
      </c>
      <c r="E398" s="67" t="str">
        <v/>
      </c>
      <c r="F398" s="67" t="str">
        <v/>
      </c>
      <c r="G398" s="67" t="str">
        <v/>
      </c>
      <c r="H398" s="67" t="str">
        <v/>
      </c>
      <c r="I398" s="67" t="str">
        <v/>
      </c>
      <c r="J398" s="67" t="str">
        <v/>
      </c>
      <c r="K398" s="68" t="str">
        <v/>
      </c>
    </row>
    <row r="399" spans="2:11">
      <c r="B399" s="66" t="str">
        <v/>
      </c>
      <c r="C399" s="67" t="str">
        <v/>
      </c>
      <c r="D399" s="67" t="str">
        <v/>
      </c>
      <c r="E399" s="67" t="str">
        <v/>
      </c>
      <c r="F399" s="67" t="str">
        <v/>
      </c>
      <c r="G399" s="67" t="str">
        <v/>
      </c>
      <c r="H399" s="67" t="str">
        <v/>
      </c>
      <c r="I399" s="67" t="str">
        <v/>
      </c>
      <c r="J399" s="67" t="str">
        <v/>
      </c>
      <c r="K399" s="68" t="str">
        <v/>
      </c>
    </row>
    <row r="400" spans="2:11">
      <c r="B400" s="66" t="str">
        <v/>
      </c>
      <c r="C400" s="67" t="str">
        <v/>
      </c>
      <c r="D400" s="67" t="str">
        <v/>
      </c>
      <c r="E400" s="67" t="str">
        <v/>
      </c>
      <c r="F400" s="67" t="str">
        <v/>
      </c>
      <c r="G400" s="67" t="str">
        <v/>
      </c>
      <c r="H400" s="67" t="str">
        <v/>
      </c>
      <c r="I400" s="67" t="str">
        <v/>
      </c>
      <c r="J400" s="67" t="str">
        <v/>
      </c>
      <c r="K400" s="68" t="str">
        <v/>
      </c>
    </row>
    <row r="401" spans="2:11">
      <c r="B401" s="66" t="str">
        <v/>
      </c>
      <c r="C401" s="67" t="str">
        <v/>
      </c>
      <c r="D401" s="67" t="str">
        <v/>
      </c>
      <c r="E401" s="67" t="str">
        <v/>
      </c>
      <c r="F401" s="67" t="str">
        <v/>
      </c>
      <c r="G401" s="67" t="str">
        <v/>
      </c>
      <c r="H401" s="67" t="str">
        <v/>
      </c>
      <c r="I401" s="67" t="str">
        <v/>
      </c>
      <c r="J401" s="67" t="str">
        <v/>
      </c>
      <c r="K401" s="68" t="str">
        <v/>
      </c>
    </row>
    <row r="402" spans="2:11">
      <c r="B402" s="66" t="str">
        <v/>
      </c>
      <c r="C402" s="67" t="str">
        <v/>
      </c>
      <c r="D402" s="67" t="str">
        <v/>
      </c>
      <c r="E402" s="67" t="str">
        <v/>
      </c>
      <c r="F402" s="67" t="str">
        <v/>
      </c>
      <c r="G402" s="67" t="str">
        <v/>
      </c>
      <c r="H402" s="67" t="str">
        <v/>
      </c>
      <c r="I402" s="67" t="str">
        <v/>
      </c>
      <c r="J402" s="67" t="str">
        <v/>
      </c>
      <c r="K402" s="68" t="str">
        <v/>
      </c>
    </row>
    <row r="403" spans="2:11">
      <c r="B403" s="66" t="str">
        <v/>
      </c>
      <c r="C403" s="67" t="str">
        <v/>
      </c>
      <c r="D403" s="67" t="str">
        <v/>
      </c>
      <c r="E403" s="67" t="str">
        <v/>
      </c>
      <c r="F403" s="67" t="str">
        <v/>
      </c>
      <c r="G403" s="67" t="str">
        <v/>
      </c>
      <c r="H403" s="67" t="str">
        <v/>
      </c>
      <c r="I403" s="67" t="str">
        <v/>
      </c>
      <c r="J403" s="67" t="str">
        <v/>
      </c>
      <c r="K403" s="68" t="str">
        <v/>
      </c>
    </row>
    <row r="404" spans="2:11">
      <c r="B404" s="66" t="str">
        <v/>
      </c>
      <c r="C404" s="67" t="str">
        <v/>
      </c>
      <c r="D404" s="67" t="str">
        <v/>
      </c>
      <c r="E404" s="67" t="str">
        <v/>
      </c>
      <c r="F404" s="67" t="str">
        <v/>
      </c>
      <c r="G404" s="67" t="str">
        <v/>
      </c>
      <c r="H404" s="67" t="str">
        <v/>
      </c>
      <c r="I404" s="67" t="str">
        <v/>
      </c>
      <c r="J404" s="67" t="str">
        <v/>
      </c>
      <c r="K404" s="68" t="str">
        <v/>
      </c>
    </row>
    <row r="405" spans="2:11">
      <c r="B405" s="66" t="str">
        <v/>
      </c>
      <c r="C405" s="67" t="str">
        <v/>
      </c>
      <c r="D405" s="67" t="str">
        <v/>
      </c>
      <c r="E405" s="67" t="str">
        <v/>
      </c>
      <c r="F405" s="67" t="str">
        <v/>
      </c>
      <c r="G405" s="67" t="str">
        <v/>
      </c>
      <c r="H405" s="67" t="str">
        <v/>
      </c>
      <c r="I405" s="67" t="str">
        <v/>
      </c>
      <c r="J405" s="67" t="str">
        <v/>
      </c>
      <c r="K405" s="68" t="str">
        <v/>
      </c>
    </row>
    <row r="406" spans="2:11">
      <c r="B406" s="66" t="str">
        <v/>
      </c>
      <c r="C406" s="67" t="str">
        <v/>
      </c>
      <c r="D406" s="67" t="str">
        <v/>
      </c>
      <c r="E406" s="67" t="str">
        <v/>
      </c>
      <c r="F406" s="67" t="str">
        <v/>
      </c>
      <c r="G406" s="67" t="str">
        <v/>
      </c>
      <c r="H406" s="67" t="str">
        <v/>
      </c>
      <c r="I406" s="67" t="str">
        <v/>
      </c>
      <c r="J406" s="67" t="str">
        <v/>
      </c>
      <c r="K406" s="68" t="str">
        <v/>
      </c>
    </row>
    <row r="407" spans="2:11">
      <c r="B407" s="66" t="str">
        <v/>
      </c>
      <c r="C407" s="67" t="str">
        <v/>
      </c>
      <c r="D407" s="67" t="str">
        <v/>
      </c>
      <c r="E407" s="67" t="str">
        <v/>
      </c>
      <c r="F407" s="67" t="str">
        <v/>
      </c>
      <c r="G407" s="67" t="str">
        <v/>
      </c>
      <c r="H407" s="67" t="str">
        <v/>
      </c>
      <c r="I407" s="67" t="str">
        <v/>
      </c>
      <c r="J407" s="67" t="str">
        <v/>
      </c>
      <c r="K407" s="68" t="str">
        <v/>
      </c>
    </row>
    <row r="408" spans="2:11">
      <c r="B408" s="66" t="str">
        <v/>
      </c>
      <c r="C408" s="67" t="str">
        <v/>
      </c>
      <c r="D408" s="67" t="str">
        <v/>
      </c>
      <c r="E408" s="67" t="str">
        <v/>
      </c>
      <c r="F408" s="67" t="str">
        <v/>
      </c>
      <c r="G408" s="67" t="str">
        <v/>
      </c>
      <c r="H408" s="67" t="str">
        <v/>
      </c>
      <c r="I408" s="67" t="str">
        <v/>
      </c>
      <c r="J408" s="67" t="str">
        <v/>
      </c>
      <c r="K408" s="68" t="str">
        <v/>
      </c>
    </row>
    <row r="409" spans="2:11">
      <c r="B409" s="66" t="str">
        <v/>
      </c>
      <c r="C409" s="67" t="str">
        <v/>
      </c>
      <c r="D409" s="67" t="str">
        <v/>
      </c>
      <c r="E409" s="67" t="str">
        <v/>
      </c>
      <c r="F409" s="67" t="str">
        <v/>
      </c>
      <c r="G409" s="67" t="str">
        <v/>
      </c>
      <c r="H409" s="67" t="str">
        <v/>
      </c>
      <c r="I409" s="67" t="str">
        <v/>
      </c>
      <c r="J409" s="67" t="str">
        <v/>
      </c>
      <c r="K409" s="68" t="str">
        <v/>
      </c>
    </row>
    <row r="410" spans="2:11">
      <c r="B410" s="66" t="str">
        <v/>
      </c>
      <c r="C410" s="67" t="str">
        <v/>
      </c>
      <c r="D410" s="67" t="str">
        <v/>
      </c>
      <c r="E410" s="67" t="str">
        <v/>
      </c>
      <c r="F410" s="67" t="str">
        <v/>
      </c>
      <c r="G410" s="67" t="str">
        <v/>
      </c>
      <c r="H410" s="67" t="str">
        <v/>
      </c>
      <c r="I410" s="67" t="str">
        <v/>
      </c>
      <c r="J410" s="67" t="str">
        <v/>
      </c>
      <c r="K410" s="68" t="str">
        <v/>
      </c>
    </row>
    <row r="411" spans="2:11">
      <c r="B411" s="66" t="str">
        <v/>
      </c>
      <c r="C411" s="67" t="str">
        <v/>
      </c>
      <c r="D411" s="67" t="str">
        <v/>
      </c>
      <c r="E411" s="67" t="str">
        <v/>
      </c>
      <c r="F411" s="67" t="str">
        <v/>
      </c>
      <c r="G411" s="67" t="str">
        <v/>
      </c>
      <c r="H411" s="67" t="str">
        <v/>
      </c>
      <c r="I411" s="67" t="str">
        <v/>
      </c>
      <c r="J411" s="67" t="str">
        <v/>
      </c>
      <c r="K411" s="68" t="str">
        <v/>
      </c>
    </row>
    <row r="412" spans="2:11">
      <c r="B412" s="66" t="str">
        <v/>
      </c>
      <c r="C412" s="67" t="str">
        <v/>
      </c>
      <c r="D412" s="67" t="str">
        <v/>
      </c>
      <c r="E412" s="67" t="str">
        <v/>
      </c>
      <c r="F412" s="67" t="str">
        <v/>
      </c>
      <c r="G412" s="67" t="str">
        <v/>
      </c>
      <c r="H412" s="67" t="str">
        <v/>
      </c>
      <c r="I412" s="67" t="str">
        <v/>
      </c>
      <c r="J412" s="67" t="str">
        <v/>
      </c>
      <c r="K412" s="68" t="str">
        <v/>
      </c>
    </row>
    <row r="413" spans="2:11">
      <c r="B413" s="66" t="str">
        <v/>
      </c>
      <c r="C413" s="67" t="str">
        <v/>
      </c>
      <c r="D413" s="67" t="str">
        <v/>
      </c>
      <c r="E413" s="67" t="str">
        <v/>
      </c>
      <c r="F413" s="67" t="str">
        <v/>
      </c>
      <c r="G413" s="67" t="str">
        <v/>
      </c>
      <c r="H413" s="67" t="str">
        <v/>
      </c>
      <c r="I413" s="67" t="str">
        <v/>
      </c>
      <c r="J413" s="67" t="str">
        <v/>
      </c>
      <c r="K413" s="68" t="str">
        <v/>
      </c>
    </row>
    <row r="414" spans="2:11">
      <c r="B414" s="66" t="str">
        <v/>
      </c>
      <c r="C414" s="67" t="str">
        <v/>
      </c>
      <c r="D414" s="67" t="str">
        <v/>
      </c>
      <c r="E414" s="67" t="str">
        <v/>
      </c>
      <c r="F414" s="67" t="str">
        <v/>
      </c>
      <c r="G414" s="67" t="str">
        <v/>
      </c>
      <c r="H414" s="67" t="str">
        <v/>
      </c>
      <c r="I414" s="67" t="str">
        <v/>
      </c>
      <c r="J414" s="67" t="str">
        <v/>
      </c>
      <c r="K414" s="68" t="str">
        <v/>
      </c>
    </row>
    <row r="415" spans="2:11">
      <c r="B415" s="66" t="str">
        <v/>
      </c>
      <c r="C415" s="67" t="str">
        <v/>
      </c>
      <c r="D415" s="67" t="str">
        <v/>
      </c>
      <c r="E415" s="67" t="str">
        <v/>
      </c>
      <c r="F415" s="67" t="str">
        <v/>
      </c>
      <c r="G415" s="67" t="str">
        <v/>
      </c>
      <c r="H415" s="67" t="str">
        <v/>
      </c>
      <c r="I415" s="67" t="str">
        <v/>
      </c>
      <c r="J415" s="67" t="str">
        <v/>
      </c>
      <c r="K415" s="68" t="str">
        <v/>
      </c>
    </row>
    <row r="416" spans="2:11">
      <c r="B416" s="66" t="str">
        <v/>
      </c>
      <c r="C416" s="67" t="str">
        <v/>
      </c>
      <c r="D416" s="67" t="str">
        <v/>
      </c>
      <c r="E416" s="67" t="str">
        <v/>
      </c>
      <c r="F416" s="67" t="str">
        <v/>
      </c>
      <c r="G416" s="67" t="str">
        <v/>
      </c>
      <c r="H416" s="67" t="str">
        <v/>
      </c>
      <c r="I416" s="67" t="str">
        <v/>
      </c>
      <c r="J416" s="67" t="str">
        <v/>
      </c>
      <c r="K416" s="68" t="str">
        <v/>
      </c>
    </row>
    <row r="417" spans="2:11">
      <c r="B417" s="66" t="str">
        <v/>
      </c>
      <c r="C417" s="67" t="str">
        <v/>
      </c>
      <c r="D417" s="67" t="str">
        <v/>
      </c>
      <c r="E417" s="67" t="str">
        <v/>
      </c>
      <c r="F417" s="67" t="str">
        <v/>
      </c>
      <c r="G417" s="67" t="str">
        <v/>
      </c>
      <c r="H417" s="67" t="str">
        <v/>
      </c>
      <c r="I417" s="67" t="str">
        <v/>
      </c>
      <c r="J417" s="67" t="str">
        <v/>
      </c>
      <c r="K417" s="68" t="str">
        <v/>
      </c>
    </row>
    <row r="418" spans="2:11">
      <c r="B418" s="66" t="str">
        <v/>
      </c>
      <c r="C418" s="67" t="str">
        <v/>
      </c>
      <c r="D418" s="67" t="str">
        <v/>
      </c>
      <c r="E418" s="67" t="str">
        <v/>
      </c>
      <c r="F418" s="67" t="str">
        <v/>
      </c>
      <c r="G418" s="67" t="str">
        <v/>
      </c>
      <c r="H418" s="67" t="str">
        <v/>
      </c>
      <c r="I418" s="67" t="str">
        <v/>
      </c>
      <c r="J418" s="67" t="str">
        <v/>
      </c>
      <c r="K418" s="68" t="str">
        <v/>
      </c>
    </row>
    <row r="419" spans="2:11">
      <c r="B419" s="66" t="str">
        <v/>
      </c>
      <c r="C419" s="67" t="str">
        <v/>
      </c>
      <c r="D419" s="67" t="str">
        <v/>
      </c>
      <c r="E419" s="67" t="str">
        <v/>
      </c>
      <c r="F419" s="67" t="str">
        <v/>
      </c>
      <c r="G419" s="67" t="str">
        <v/>
      </c>
      <c r="H419" s="67" t="str">
        <v/>
      </c>
      <c r="I419" s="67" t="str">
        <v/>
      </c>
      <c r="J419" s="67" t="str">
        <v/>
      </c>
      <c r="K419" s="68" t="str">
        <v/>
      </c>
    </row>
    <row r="420" spans="2:11">
      <c r="B420" s="66" t="str">
        <v/>
      </c>
      <c r="C420" s="67" t="str">
        <v/>
      </c>
      <c r="D420" s="67" t="str">
        <v/>
      </c>
      <c r="E420" s="67" t="str">
        <v/>
      </c>
      <c r="F420" s="67" t="str">
        <v/>
      </c>
      <c r="G420" s="67" t="str">
        <v/>
      </c>
      <c r="H420" s="67" t="str">
        <v/>
      </c>
      <c r="I420" s="67" t="str">
        <v/>
      </c>
      <c r="J420" s="67" t="str">
        <v/>
      </c>
      <c r="K420" s="68" t="str">
        <v/>
      </c>
    </row>
    <row r="421" spans="2:11">
      <c r="B421" s="66" t="str">
        <v/>
      </c>
      <c r="C421" s="67" t="str">
        <v/>
      </c>
      <c r="D421" s="67" t="str">
        <v/>
      </c>
      <c r="E421" s="67" t="str">
        <v/>
      </c>
      <c r="F421" s="67" t="str">
        <v/>
      </c>
      <c r="G421" s="67" t="str">
        <v/>
      </c>
      <c r="H421" s="67" t="str">
        <v/>
      </c>
      <c r="I421" s="67" t="str">
        <v/>
      </c>
      <c r="J421" s="67" t="str">
        <v/>
      </c>
      <c r="K421" s="68" t="str">
        <v/>
      </c>
    </row>
    <row r="422" spans="2:11">
      <c r="B422" s="66" t="str">
        <v/>
      </c>
      <c r="C422" s="67" t="str">
        <v/>
      </c>
      <c r="D422" s="67" t="str">
        <v/>
      </c>
      <c r="E422" s="67" t="str">
        <v/>
      </c>
      <c r="F422" s="67" t="str">
        <v/>
      </c>
      <c r="G422" s="67" t="str">
        <v/>
      </c>
      <c r="H422" s="67" t="str">
        <v/>
      </c>
      <c r="I422" s="67" t="str">
        <v/>
      </c>
      <c r="J422" s="67" t="str">
        <v/>
      </c>
      <c r="K422" s="68" t="str">
        <v/>
      </c>
    </row>
    <row r="423" spans="2:11">
      <c r="B423" s="66" t="str">
        <v/>
      </c>
      <c r="C423" s="67" t="str">
        <v/>
      </c>
      <c r="D423" s="67" t="str">
        <v/>
      </c>
      <c r="E423" s="67" t="str">
        <v/>
      </c>
      <c r="F423" s="67" t="str">
        <v/>
      </c>
      <c r="G423" s="67" t="str">
        <v/>
      </c>
      <c r="H423" s="67" t="str">
        <v/>
      </c>
      <c r="I423" s="67" t="str">
        <v/>
      </c>
      <c r="J423" s="67" t="str">
        <v/>
      </c>
      <c r="K423" s="68" t="str">
        <v/>
      </c>
    </row>
    <row r="424" spans="2:11">
      <c r="B424" s="66" t="str">
        <v/>
      </c>
      <c r="C424" s="67" t="str">
        <v/>
      </c>
      <c r="D424" s="67" t="str">
        <v/>
      </c>
      <c r="E424" s="67" t="str">
        <v/>
      </c>
      <c r="F424" s="67" t="str">
        <v/>
      </c>
      <c r="G424" s="67" t="str">
        <v/>
      </c>
      <c r="H424" s="67" t="str">
        <v/>
      </c>
      <c r="I424" s="67" t="str">
        <v/>
      </c>
      <c r="J424" s="67" t="str">
        <v/>
      </c>
      <c r="K424" s="68" t="str">
        <v/>
      </c>
    </row>
    <row r="425" spans="2:11">
      <c r="B425" s="66" t="str">
        <v/>
      </c>
      <c r="C425" s="67" t="str">
        <v/>
      </c>
      <c r="D425" s="67" t="str">
        <v/>
      </c>
      <c r="E425" s="67" t="str">
        <v/>
      </c>
      <c r="F425" s="67" t="str">
        <v/>
      </c>
      <c r="G425" s="67" t="str">
        <v/>
      </c>
      <c r="H425" s="67" t="str">
        <v/>
      </c>
      <c r="I425" s="67" t="str">
        <v/>
      </c>
      <c r="J425" s="67" t="str">
        <v/>
      </c>
      <c r="K425" s="68" t="str">
        <v/>
      </c>
    </row>
    <row r="426" spans="2:11">
      <c r="B426" s="66" t="str">
        <v/>
      </c>
      <c r="C426" s="67" t="str">
        <v/>
      </c>
      <c r="D426" s="67" t="str">
        <v/>
      </c>
      <c r="E426" s="67" t="str">
        <v/>
      </c>
      <c r="F426" s="67" t="str">
        <v/>
      </c>
      <c r="G426" s="67" t="str">
        <v/>
      </c>
      <c r="H426" s="67" t="str">
        <v/>
      </c>
      <c r="I426" s="67" t="str">
        <v/>
      </c>
      <c r="J426" s="67" t="str">
        <v/>
      </c>
      <c r="K426" s="68" t="str">
        <v/>
      </c>
    </row>
    <row r="427" spans="2:11">
      <c r="B427" s="66" t="str">
        <v/>
      </c>
      <c r="C427" s="67" t="str">
        <v/>
      </c>
      <c r="D427" s="67" t="str">
        <v/>
      </c>
      <c r="E427" s="67" t="str">
        <v/>
      </c>
      <c r="F427" s="67" t="str">
        <v/>
      </c>
      <c r="G427" s="67" t="str">
        <v/>
      </c>
      <c r="H427" s="67" t="str">
        <v/>
      </c>
      <c r="I427" s="67" t="str">
        <v/>
      </c>
      <c r="J427" s="67" t="str">
        <v/>
      </c>
      <c r="K427" s="68" t="str">
        <v/>
      </c>
    </row>
    <row r="428" spans="2:11">
      <c r="B428" s="66" t="str">
        <v/>
      </c>
      <c r="C428" s="67" t="str">
        <v/>
      </c>
      <c r="D428" s="67" t="str">
        <v/>
      </c>
      <c r="E428" s="67" t="str">
        <v/>
      </c>
      <c r="F428" s="67" t="str">
        <v/>
      </c>
      <c r="G428" s="67" t="str">
        <v/>
      </c>
      <c r="H428" s="67" t="str">
        <v/>
      </c>
      <c r="I428" s="67" t="str">
        <v/>
      </c>
      <c r="J428" s="67" t="str">
        <v/>
      </c>
      <c r="K428" s="68" t="str">
        <v/>
      </c>
    </row>
    <row r="429" spans="2:11">
      <c r="B429" s="66" t="str">
        <v/>
      </c>
      <c r="C429" s="67" t="str">
        <v/>
      </c>
      <c r="D429" s="67" t="str">
        <v/>
      </c>
      <c r="E429" s="67" t="str">
        <v/>
      </c>
      <c r="F429" s="67" t="str">
        <v/>
      </c>
      <c r="G429" s="67" t="str">
        <v/>
      </c>
      <c r="H429" s="67" t="str">
        <v/>
      </c>
      <c r="I429" s="67" t="str">
        <v/>
      </c>
      <c r="J429" s="67" t="str">
        <v/>
      </c>
      <c r="K429" s="68" t="str">
        <v/>
      </c>
    </row>
    <row r="430" spans="2:11">
      <c r="B430" s="66" t="str">
        <v/>
      </c>
      <c r="C430" s="67" t="str">
        <v/>
      </c>
      <c r="D430" s="67" t="str">
        <v/>
      </c>
      <c r="E430" s="67" t="str">
        <v/>
      </c>
      <c r="F430" s="67" t="str">
        <v/>
      </c>
      <c r="G430" s="67" t="str">
        <v/>
      </c>
      <c r="H430" s="67" t="str">
        <v/>
      </c>
      <c r="I430" s="67" t="str">
        <v/>
      </c>
      <c r="J430" s="67" t="str">
        <v/>
      </c>
      <c r="K430" s="68" t="str">
        <v/>
      </c>
    </row>
    <row r="431" spans="2:11">
      <c r="B431" s="66" t="str">
        <v/>
      </c>
      <c r="C431" s="67" t="str">
        <v/>
      </c>
      <c r="D431" s="67" t="str">
        <v/>
      </c>
      <c r="E431" s="67" t="str">
        <v/>
      </c>
      <c r="F431" s="67" t="str">
        <v/>
      </c>
      <c r="G431" s="67" t="str">
        <v/>
      </c>
      <c r="H431" s="67" t="str">
        <v/>
      </c>
      <c r="I431" s="67" t="str">
        <v/>
      </c>
      <c r="J431" s="67" t="str">
        <v/>
      </c>
      <c r="K431" s="68" t="str">
        <v/>
      </c>
    </row>
    <row r="432" spans="2:11">
      <c r="B432" s="66" t="str">
        <v/>
      </c>
      <c r="C432" s="67" t="str">
        <v/>
      </c>
      <c r="D432" s="67" t="str">
        <v/>
      </c>
      <c r="E432" s="67" t="str">
        <v/>
      </c>
      <c r="F432" s="67" t="str">
        <v/>
      </c>
      <c r="G432" s="67" t="str">
        <v/>
      </c>
      <c r="H432" s="67" t="str">
        <v/>
      </c>
      <c r="I432" s="67" t="str">
        <v/>
      </c>
      <c r="J432" s="67" t="str">
        <v/>
      </c>
      <c r="K432" s="68" t="str">
        <v/>
      </c>
    </row>
    <row r="433" spans="2:11">
      <c r="B433" s="66" t="str">
        <v/>
      </c>
      <c r="C433" s="67" t="str">
        <v/>
      </c>
      <c r="D433" s="67" t="str">
        <v/>
      </c>
      <c r="E433" s="67" t="str">
        <v/>
      </c>
      <c r="F433" s="67" t="str">
        <v/>
      </c>
      <c r="G433" s="67" t="str">
        <v/>
      </c>
      <c r="H433" s="67" t="str">
        <v/>
      </c>
      <c r="I433" s="67" t="str">
        <v/>
      </c>
      <c r="J433" s="67" t="str">
        <v/>
      </c>
      <c r="K433" s="68" t="str">
        <v/>
      </c>
    </row>
    <row r="434" spans="2:11">
      <c r="B434" s="66" t="str">
        <v/>
      </c>
      <c r="C434" s="67" t="str">
        <v/>
      </c>
      <c r="D434" s="67" t="str">
        <v/>
      </c>
      <c r="E434" s="67" t="str">
        <v/>
      </c>
      <c r="F434" s="67" t="str">
        <v/>
      </c>
      <c r="G434" s="67" t="str">
        <v/>
      </c>
      <c r="H434" s="67" t="str">
        <v/>
      </c>
      <c r="I434" s="67" t="str">
        <v/>
      </c>
      <c r="J434" s="67" t="str">
        <v/>
      </c>
      <c r="K434" s="68" t="str">
        <v/>
      </c>
    </row>
    <row r="435" spans="2:11">
      <c r="B435" s="66" t="str">
        <v/>
      </c>
      <c r="C435" s="67" t="str">
        <v/>
      </c>
      <c r="D435" s="67" t="str">
        <v/>
      </c>
      <c r="E435" s="67" t="str">
        <v/>
      </c>
      <c r="F435" s="67" t="str">
        <v/>
      </c>
      <c r="G435" s="67" t="str">
        <v/>
      </c>
      <c r="H435" s="67" t="str">
        <v/>
      </c>
      <c r="I435" s="67" t="str">
        <v/>
      </c>
      <c r="J435" s="67" t="str">
        <v/>
      </c>
      <c r="K435" s="68" t="str">
        <v/>
      </c>
    </row>
    <row r="436" spans="2:11">
      <c r="B436" s="66" t="str">
        <v/>
      </c>
      <c r="C436" s="67" t="str">
        <v/>
      </c>
      <c r="D436" s="67" t="str">
        <v/>
      </c>
      <c r="E436" s="67" t="str">
        <v/>
      </c>
      <c r="F436" s="67" t="str">
        <v/>
      </c>
      <c r="G436" s="67" t="str">
        <v/>
      </c>
      <c r="H436" s="67" t="str">
        <v/>
      </c>
      <c r="I436" s="67" t="str">
        <v/>
      </c>
      <c r="J436" s="67" t="str">
        <v/>
      </c>
      <c r="K436" s="68" t="str">
        <v/>
      </c>
    </row>
    <row r="437" spans="2:11">
      <c r="B437" s="66" t="str">
        <v/>
      </c>
      <c r="C437" s="67" t="str">
        <v/>
      </c>
      <c r="D437" s="67" t="str">
        <v/>
      </c>
      <c r="E437" s="67" t="str">
        <v/>
      </c>
      <c r="F437" s="67" t="str">
        <v/>
      </c>
      <c r="G437" s="67" t="str">
        <v/>
      </c>
      <c r="H437" s="67" t="str">
        <v/>
      </c>
      <c r="I437" s="67" t="str">
        <v/>
      </c>
      <c r="J437" s="67" t="str">
        <v/>
      </c>
      <c r="K437" s="68" t="str">
        <v/>
      </c>
    </row>
    <row r="438" spans="2:11">
      <c r="B438" s="66" t="str">
        <v/>
      </c>
      <c r="C438" s="67" t="str">
        <v/>
      </c>
      <c r="D438" s="67" t="str">
        <v/>
      </c>
      <c r="E438" s="67" t="str">
        <v/>
      </c>
      <c r="F438" s="67" t="str">
        <v/>
      </c>
      <c r="G438" s="67" t="str">
        <v/>
      </c>
      <c r="H438" s="67" t="str">
        <v/>
      </c>
      <c r="I438" s="67" t="str">
        <v/>
      </c>
      <c r="J438" s="67" t="str">
        <v/>
      </c>
      <c r="K438" s="68" t="str">
        <v/>
      </c>
    </row>
    <row r="439" spans="2:11">
      <c r="B439" s="66" t="str">
        <v/>
      </c>
      <c r="C439" s="67" t="str">
        <v/>
      </c>
      <c r="D439" s="67" t="str">
        <v/>
      </c>
      <c r="E439" s="67" t="str">
        <v/>
      </c>
      <c r="F439" s="67" t="str">
        <v/>
      </c>
      <c r="G439" s="67" t="str">
        <v/>
      </c>
      <c r="H439" s="67" t="str">
        <v/>
      </c>
      <c r="I439" s="67" t="str">
        <v/>
      </c>
      <c r="J439" s="67" t="str">
        <v/>
      </c>
      <c r="K439" s="68" t="str">
        <v/>
      </c>
    </row>
    <row r="440" spans="2:11">
      <c r="B440" s="66" t="str">
        <v/>
      </c>
      <c r="C440" s="67" t="str">
        <v/>
      </c>
      <c r="D440" s="67" t="str">
        <v/>
      </c>
      <c r="E440" s="67" t="str">
        <v/>
      </c>
      <c r="F440" s="67" t="str">
        <v/>
      </c>
      <c r="G440" s="67" t="str">
        <v/>
      </c>
      <c r="H440" s="67" t="str">
        <v/>
      </c>
      <c r="I440" s="67" t="str">
        <v/>
      </c>
      <c r="J440" s="67" t="str">
        <v/>
      </c>
      <c r="K440" s="68" t="str">
        <v/>
      </c>
    </row>
    <row r="441" spans="2:11">
      <c r="B441" s="66" t="str">
        <v/>
      </c>
      <c r="C441" s="67" t="str">
        <v/>
      </c>
      <c r="D441" s="67" t="str">
        <v/>
      </c>
      <c r="E441" s="67" t="str">
        <v/>
      </c>
      <c r="F441" s="67" t="str">
        <v/>
      </c>
      <c r="G441" s="67" t="str">
        <v/>
      </c>
      <c r="H441" s="67" t="str">
        <v/>
      </c>
      <c r="I441" s="67" t="str">
        <v/>
      </c>
      <c r="J441" s="67" t="str">
        <v/>
      </c>
      <c r="K441" s="68" t="str">
        <v/>
      </c>
    </row>
    <row r="442" spans="2:11">
      <c r="B442" s="66" t="str">
        <v/>
      </c>
      <c r="C442" s="67" t="str">
        <v/>
      </c>
      <c r="D442" s="67" t="str">
        <v/>
      </c>
      <c r="E442" s="67" t="str">
        <v/>
      </c>
      <c r="F442" s="67" t="str">
        <v/>
      </c>
      <c r="G442" s="67" t="str">
        <v/>
      </c>
      <c r="H442" s="67" t="str">
        <v/>
      </c>
      <c r="I442" s="67" t="str">
        <v/>
      </c>
      <c r="J442" s="67" t="str">
        <v/>
      </c>
      <c r="K442" s="68" t="str">
        <v/>
      </c>
    </row>
    <row r="443" spans="2:11">
      <c r="B443" s="66" t="str">
        <v/>
      </c>
      <c r="C443" s="67" t="str">
        <v/>
      </c>
      <c r="D443" s="67" t="str">
        <v/>
      </c>
      <c r="E443" s="67" t="str">
        <v/>
      </c>
      <c r="F443" s="67" t="str">
        <v/>
      </c>
      <c r="G443" s="67" t="str">
        <v/>
      </c>
      <c r="H443" s="67" t="str">
        <v/>
      </c>
      <c r="I443" s="67" t="str">
        <v/>
      </c>
      <c r="J443" s="67" t="str">
        <v/>
      </c>
      <c r="K443" s="68" t="str">
        <v/>
      </c>
    </row>
    <row r="444" spans="2:11">
      <c r="B444" s="66" t="str">
        <v/>
      </c>
      <c r="C444" s="67" t="str">
        <v/>
      </c>
      <c r="D444" s="67" t="str">
        <v/>
      </c>
      <c r="E444" s="67" t="str">
        <v/>
      </c>
      <c r="F444" s="67" t="str">
        <v/>
      </c>
      <c r="G444" s="67" t="str">
        <v/>
      </c>
      <c r="H444" s="67" t="str">
        <v/>
      </c>
      <c r="I444" s="67" t="str">
        <v/>
      </c>
      <c r="J444" s="67" t="str">
        <v/>
      </c>
      <c r="K444" s="68" t="str">
        <v/>
      </c>
    </row>
    <row r="445" spans="2:11">
      <c r="B445" s="66" t="str">
        <v/>
      </c>
      <c r="C445" s="67" t="str">
        <v/>
      </c>
      <c r="D445" s="67" t="str">
        <v/>
      </c>
      <c r="E445" s="67" t="str">
        <v/>
      </c>
      <c r="F445" s="67" t="str">
        <v/>
      </c>
      <c r="G445" s="67" t="str">
        <v/>
      </c>
      <c r="H445" s="67" t="str">
        <v/>
      </c>
      <c r="I445" s="67" t="str">
        <v/>
      </c>
      <c r="J445" s="67" t="str">
        <v/>
      </c>
      <c r="K445" s="68" t="str">
        <v/>
      </c>
    </row>
    <row r="446" spans="2:11">
      <c r="B446" s="66" t="str">
        <v/>
      </c>
      <c r="C446" s="67" t="str">
        <v/>
      </c>
      <c r="D446" s="67" t="str">
        <v/>
      </c>
      <c r="E446" s="67" t="str">
        <v/>
      </c>
      <c r="F446" s="67" t="str">
        <v/>
      </c>
      <c r="G446" s="67" t="str">
        <v/>
      </c>
      <c r="H446" s="67" t="str">
        <v/>
      </c>
      <c r="I446" s="67" t="str">
        <v/>
      </c>
      <c r="J446" s="67" t="str">
        <v/>
      </c>
      <c r="K446" s="68" t="str">
        <v/>
      </c>
    </row>
    <row r="447" spans="2:11">
      <c r="B447" s="66" t="str">
        <v/>
      </c>
      <c r="C447" s="67" t="str">
        <v/>
      </c>
      <c r="D447" s="67" t="str">
        <v/>
      </c>
      <c r="E447" s="67" t="str">
        <v/>
      </c>
      <c r="F447" s="67" t="str">
        <v/>
      </c>
      <c r="G447" s="67" t="str">
        <v/>
      </c>
      <c r="H447" s="67" t="str">
        <v/>
      </c>
      <c r="I447" s="67" t="str">
        <v/>
      </c>
      <c r="J447" s="67" t="str">
        <v/>
      </c>
      <c r="K447" s="68" t="str">
        <v/>
      </c>
    </row>
    <row r="448" spans="2:11">
      <c r="B448" s="66" t="str">
        <v/>
      </c>
      <c r="C448" s="67" t="str">
        <v/>
      </c>
      <c r="D448" s="67" t="str">
        <v/>
      </c>
      <c r="E448" s="67" t="str">
        <v/>
      </c>
      <c r="F448" s="67" t="str">
        <v/>
      </c>
      <c r="G448" s="67" t="str">
        <v/>
      </c>
      <c r="H448" s="67" t="str">
        <v/>
      </c>
      <c r="I448" s="67" t="str">
        <v/>
      </c>
      <c r="J448" s="67" t="str">
        <v/>
      </c>
      <c r="K448" s="68" t="str">
        <v/>
      </c>
    </row>
    <row r="449" spans="2:11">
      <c r="B449" s="66" t="str">
        <v/>
      </c>
      <c r="C449" s="67" t="str">
        <v/>
      </c>
      <c r="D449" s="67" t="str">
        <v/>
      </c>
      <c r="E449" s="67" t="str">
        <v/>
      </c>
      <c r="F449" s="67" t="str">
        <v/>
      </c>
      <c r="G449" s="67" t="str">
        <v/>
      </c>
      <c r="H449" s="67" t="str">
        <v/>
      </c>
      <c r="I449" s="67" t="str">
        <v/>
      </c>
      <c r="J449" s="67" t="str">
        <v/>
      </c>
      <c r="K449" s="68" t="str">
        <v/>
      </c>
    </row>
    <row r="450" spans="2:11">
      <c r="B450" s="66" t="str">
        <v/>
      </c>
      <c r="C450" s="67" t="str">
        <v/>
      </c>
      <c r="D450" s="67" t="str">
        <v/>
      </c>
      <c r="E450" s="67" t="str">
        <v/>
      </c>
      <c r="F450" s="67" t="str">
        <v/>
      </c>
      <c r="G450" s="67" t="str">
        <v/>
      </c>
      <c r="H450" s="67" t="str">
        <v/>
      </c>
      <c r="I450" s="67" t="str">
        <v/>
      </c>
      <c r="J450" s="67" t="str">
        <v/>
      </c>
      <c r="K450" s="68" t="str">
        <v/>
      </c>
    </row>
    <row r="451" spans="2:11">
      <c r="B451" s="66" t="str">
        <v/>
      </c>
      <c r="C451" s="67" t="str">
        <v/>
      </c>
      <c r="D451" s="67" t="str">
        <v/>
      </c>
      <c r="E451" s="67" t="str">
        <v/>
      </c>
      <c r="F451" s="67" t="str">
        <v/>
      </c>
      <c r="G451" s="67" t="str">
        <v/>
      </c>
      <c r="H451" s="67" t="str">
        <v/>
      </c>
      <c r="I451" s="67" t="str">
        <v/>
      </c>
      <c r="J451" s="67" t="str">
        <v/>
      </c>
      <c r="K451" s="68" t="str">
        <v/>
      </c>
    </row>
    <row r="452" spans="2:11">
      <c r="B452" s="66" t="str">
        <v/>
      </c>
      <c r="C452" s="67" t="str">
        <v/>
      </c>
      <c r="D452" s="67" t="str">
        <v/>
      </c>
      <c r="E452" s="67" t="str">
        <v/>
      </c>
      <c r="F452" s="67" t="str">
        <v/>
      </c>
      <c r="G452" s="67" t="str">
        <v/>
      </c>
      <c r="H452" s="67" t="str">
        <v/>
      </c>
      <c r="I452" s="67" t="str">
        <v/>
      </c>
      <c r="J452" s="67" t="str">
        <v/>
      </c>
      <c r="K452" s="68" t="str">
        <v/>
      </c>
    </row>
    <row r="453" spans="2:11">
      <c r="B453" s="66" t="str">
        <v/>
      </c>
      <c r="C453" s="67" t="str">
        <v/>
      </c>
      <c r="D453" s="67" t="str">
        <v/>
      </c>
      <c r="E453" s="67" t="str">
        <v/>
      </c>
      <c r="F453" s="67" t="str">
        <v/>
      </c>
      <c r="G453" s="67" t="str">
        <v/>
      </c>
      <c r="H453" s="67" t="str">
        <v/>
      </c>
      <c r="I453" s="67" t="str">
        <v/>
      </c>
      <c r="J453" s="67" t="str">
        <v/>
      </c>
      <c r="K453" s="68" t="str">
        <v/>
      </c>
    </row>
    <row r="454" spans="2:11">
      <c r="B454" s="66" t="str">
        <v/>
      </c>
      <c r="C454" s="67" t="str">
        <v/>
      </c>
      <c r="D454" s="67" t="str">
        <v/>
      </c>
      <c r="E454" s="67" t="str">
        <v/>
      </c>
      <c r="F454" s="67" t="str">
        <v/>
      </c>
      <c r="G454" s="67" t="str">
        <v/>
      </c>
      <c r="H454" s="67" t="str">
        <v/>
      </c>
      <c r="I454" s="67" t="str">
        <v/>
      </c>
      <c r="J454" s="67" t="str">
        <v/>
      </c>
      <c r="K454" s="68" t="str">
        <v/>
      </c>
    </row>
    <row r="455" spans="2:11">
      <c r="B455" s="66" t="str">
        <v/>
      </c>
      <c r="C455" s="67" t="str">
        <v/>
      </c>
      <c r="D455" s="67" t="str">
        <v/>
      </c>
      <c r="E455" s="67" t="str">
        <v/>
      </c>
      <c r="F455" s="67" t="str">
        <v/>
      </c>
      <c r="G455" s="67" t="str">
        <v/>
      </c>
      <c r="H455" s="67" t="str">
        <v/>
      </c>
      <c r="I455" s="67" t="str">
        <v/>
      </c>
      <c r="J455" s="67" t="str">
        <v/>
      </c>
      <c r="K455" s="68" t="str">
        <v/>
      </c>
    </row>
    <row r="456" spans="2:11">
      <c r="B456" s="66" t="str">
        <v/>
      </c>
      <c r="C456" s="67" t="str">
        <v/>
      </c>
      <c r="D456" s="67" t="str">
        <v/>
      </c>
      <c r="E456" s="67" t="str">
        <v/>
      </c>
      <c r="F456" s="67" t="str">
        <v/>
      </c>
      <c r="G456" s="67" t="str">
        <v/>
      </c>
      <c r="H456" s="67" t="str">
        <v/>
      </c>
      <c r="I456" s="67" t="str">
        <v/>
      </c>
      <c r="J456" s="67" t="str">
        <v/>
      </c>
      <c r="K456" s="68" t="str">
        <v/>
      </c>
    </row>
    <row r="457" spans="2:11">
      <c r="B457" s="66" t="str">
        <v/>
      </c>
      <c r="C457" s="67" t="str">
        <v/>
      </c>
      <c r="D457" s="67" t="str">
        <v/>
      </c>
      <c r="E457" s="67" t="str">
        <v/>
      </c>
      <c r="F457" s="67" t="str">
        <v/>
      </c>
      <c r="G457" s="67" t="str">
        <v/>
      </c>
      <c r="H457" s="67" t="str">
        <v/>
      </c>
      <c r="I457" s="67" t="str">
        <v/>
      </c>
      <c r="J457" s="67" t="str">
        <v/>
      </c>
      <c r="K457" s="68" t="str">
        <v/>
      </c>
    </row>
    <row r="458" spans="2:11">
      <c r="B458" s="66" t="str">
        <v/>
      </c>
      <c r="C458" s="67" t="str">
        <v/>
      </c>
      <c r="D458" s="67" t="str">
        <v/>
      </c>
      <c r="E458" s="67" t="str">
        <v/>
      </c>
      <c r="F458" s="67" t="str">
        <v/>
      </c>
      <c r="G458" s="67" t="str">
        <v/>
      </c>
      <c r="H458" s="67" t="str">
        <v/>
      </c>
      <c r="I458" s="67" t="str">
        <v/>
      </c>
      <c r="J458" s="67" t="str">
        <v/>
      </c>
      <c r="K458" s="68" t="str">
        <v/>
      </c>
    </row>
    <row r="459" spans="2:11">
      <c r="B459" s="66" t="str">
        <v/>
      </c>
      <c r="C459" s="67" t="str">
        <v/>
      </c>
      <c r="D459" s="67" t="str">
        <v/>
      </c>
      <c r="E459" s="67" t="str">
        <v/>
      </c>
      <c r="F459" s="67" t="str">
        <v/>
      </c>
      <c r="G459" s="67" t="str">
        <v/>
      </c>
      <c r="H459" s="67" t="str">
        <v/>
      </c>
      <c r="I459" s="67" t="str">
        <v/>
      </c>
      <c r="J459" s="67" t="str">
        <v/>
      </c>
      <c r="K459" s="68" t="str">
        <v/>
      </c>
    </row>
    <row r="460" spans="2:11">
      <c r="B460" s="66" t="str">
        <v/>
      </c>
      <c r="C460" s="67" t="str">
        <v/>
      </c>
      <c r="D460" s="67" t="str">
        <v/>
      </c>
      <c r="E460" s="67" t="str">
        <v/>
      </c>
      <c r="F460" s="67" t="str">
        <v/>
      </c>
      <c r="G460" s="67" t="str">
        <v/>
      </c>
      <c r="H460" s="67" t="str">
        <v/>
      </c>
      <c r="I460" s="67" t="str">
        <v/>
      </c>
      <c r="J460" s="67" t="str">
        <v/>
      </c>
      <c r="K460" s="68" t="str">
        <v/>
      </c>
    </row>
    <row r="461" spans="2:11">
      <c r="B461" s="66" t="str">
        <v/>
      </c>
      <c r="C461" s="67" t="str">
        <v/>
      </c>
      <c r="D461" s="67" t="str">
        <v/>
      </c>
      <c r="E461" s="67" t="str">
        <v/>
      </c>
      <c r="F461" s="67" t="str">
        <v/>
      </c>
      <c r="G461" s="67" t="str">
        <v/>
      </c>
      <c r="H461" s="67" t="str">
        <v/>
      </c>
      <c r="I461" s="67" t="str">
        <v/>
      </c>
      <c r="J461" s="67" t="str">
        <v/>
      </c>
      <c r="K461" s="68" t="str">
        <v/>
      </c>
    </row>
    <row r="462" spans="2:11">
      <c r="B462" s="66" t="str">
        <v/>
      </c>
      <c r="C462" s="67" t="str">
        <v/>
      </c>
      <c r="D462" s="67" t="str">
        <v/>
      </c>
      <c r="E462" s="67" t="str">
        <v/>
      </c>
      <c r="F462" s="67" t="str">
        <v/>
      </c>
      <c r="G462" s="67" t="str">
        <v/>
      </c>
      <c r="H462" s="67" t="str">
        <v/>
      </c>
      <c r="I462" s="67" t="str">
        <v/>
      </c>
      <c r="J462" s="67" t="str">
        <v/>
      </c>
      <c r="K462" s="68" t="str">
        <v/>
      </c>
    </row>
    <row r="463" spans="2:11">
      <c r="B463" s="66" t="str">
        <v/>
      </c>
      <c r="C463" s="67" t="str">
        <v/>
      </c>
      <c r="D463" s="67" t="str">
        <v/>
      </c>
      <c r="E463" s="67" t="str">
        <v/>
      </c>
      <c r="F463" s="67" t="str">
        <v/>
      </c>
      <c r="G463" s="67" t="str">
        <v/>
      </c>
      <c r="H463" s="67" t="str">
        <v/>
      </c>
      <c r="I463" s="67" t="str">
        <v/>
      </c>
      <c r="J463" s="67" t="str">
        <v/>
      </c>
      <c r="K463" s="68" t="str">
        <v/>
      </c>
    </row>
    <row r="464" spans="2:11">
      <c r="B464" s="66" t="str">
        <v/>
      </c>
      <c r="C464" s="67" t="str">
        <v/>
      </c>
      <c r="D464" s="67" t="str">
        <v/>
      </c>
      <c r="E464" s="67" t="str">
        <v/>
      </c>
      <c r="F464" s="67" t="str">
        <v/>
      </c>
      <c r="G464" s="67" t="str">
        <v/>
      </c>
      <c r="H464" s="67" t="str">
        <v/>
      </c>
      <c r="I464" s="67" t="str">
        <v/>
      </c>
      <c r="J464" s="67" t="str">
        <v/>
      </c>
      <c r="K464" s="68" t="str">
        <v/>
      </c>
    </row>
    <row r="465" spans="2:11">
      <c r="B465" s="66" t="str">
        <v/>
      </c>
      <c r="C465" s="67" t="str">
        <v/>
      </c>
      <c r="D465" s="67" t="str">
        <v/>
      </c>
      <c r="E465" s="67" t="str">
        <v/>
      </c>
      <c r="F465" s="67" t="str">
        <v/>
      </c>
      <c r="G465" s="67" t="str">
        <v/>
      </c>
      <c r="H465" s="67" t="str">
        <v/>
      </c>
      <c r="I465" s="67" t="str">
        <v/>
      </c>
      <c r="J465" s="67" t="str">
        <v/>
      </c>
      <c r="K465" s="68" t="str">
        <v/>
      </c>
    </row>
    <row r="466" spans="2:11">
      <c r="B466" s="66" t="str">
        <v/>
      </c>
      <c r="C466" s="67" t="str">
        <v/>
      </c>
      <c r="D466" s="67" t="str">
        <v/>
      </c>
      <c r="E466" s="67" t="str">
        <v/>
      </c>
      <c r="F466" s="67" t="str">
        <v/>
      </c>
      <c r="G466" s="67" t="str">
        <v/>
      </c>
      <c r="H466" s="67" t="str">
        <v/>
      </c>
      <c r="I466" s="67" t="str">
        <v/>
      </c>
      <c r="J466" s="67" t="str">
        <v/>
      </c>
      <c r="K466" s="68" t="str">
        <v/>
      </c>
    </row>
    <row r="467" spans="2:11">
      <c r="B467" s="66" t="str">
        <v/>
      </c>
      <c r="C467" s="67" t="str">
        <v/>
      </c>
      <c r="D467" s="67" t="str">
        <v/>
      </c>
      <c r="E467" s="67" t="str">
        <v/>
      </c>
      <c r="F467" s="67" t="str">
        <v/>
      </c>
      <c r="G467" s="67" t="str">
        <v/>
      </c>
      <c r="H467" s="67" t="str">
        <v/>
      </c>
      <c r="I467" s="67" t="str">
        <v/>
      </c>
      <c r="J467" s="67" t="str">
        <v/>
      </c>
      <c r="K467" s="68" t="str">
        <v/>
      </c>
    </row>
    <row r="468" spans="2:11">
      <c r="B468" s="66" t="str">
        <v/>
      </c>
      <c r="C468" s="67" t="str">
        <v/>
      </c>
      <c r="D468" s="67" t="str">
        <v/>
      </c>
      <c r="E468" s="67" t="str">
        <v/>
      </c>
      <c r="F468" s="67" t="str">
        <v/>
      </c>
      <c r="G468" s="67" t="str">
        <v/>
      </c>
      <c r="H468" s="67" t="str">
        <v/>
      </c>
      <c r="I468" s="67" t="str">
        <v/>
      </c>
      <c r="J468" s="67" t="str">
        <v/>
      </c>
      <c r="K468" s="68" t="str">
        <v/>
      </c>
    </row>
    <row r="469" spans="2:11">
      <c r="B469" s="66" t="str">
        <v/>
      </c>
      <c r="C469" s="67" t="str">
        <v/>
      </c>
      <c r="D469" s="67" t="str">
        <v/>
      </c>
      <c r="E469" s="67" t="str">
        <v/>
      </c>
      <c r="F469" s="67" t="str">
        <v/>
      </c>
      <c r="G469" s="67" t="str">
        <v/>
      </c>
      <c r="H469" s="67" t="str">
        <v/>
      </c>
      <c r="I469" s="67" t="str">
        <v/>
      </c>
      <c r="J469" s="67" t="str">
        <v/>
      </c>
      <c r="K469" s="68" t="str">
        <v/>
      </c>
    </row>
    <row r="470" spans="2:11">
      <c r="B470" s="66" t="str">
        <v/>
      </c>
      <c r="C470" s="67" t="str">
        <v/>
      </c>
      <c r="D470" s="67" t="str">
        <v/>
      </c>
      <c r="E470" s="67" t="str">
        <v/>
      </c>
      <c r="F470" s="67" t="str">
        <v/>
      </c>
      <c r="G470" s="67" t="str">
        <v/>
      </c>
      <c r="H470" s="67" t="str">
        <v/>
      </c>
      <c r="I470" s="67" t="str">
        <v/>
      </c>
      <c r="J470" s="67" t="str">
        <v/>
      </c>
      <c r="K470" s="68" t="str">
        <v/>
      </c>
    </row>
    <row r="471" spans="2:11">
      <c r="B471" s="66" t="str">
        <v/>
      </c>
      <c r="C471" s="67" t="str">
        <v/>
      </c>
      <c r="D471" s="67" t="str">
        <v/>
      </c>
      <c r="E471" s="67" t="str">
        <v/>
      </c>
      <c r="F471" s="67" t="str">
        <v/>
      </c>
      <c r="G471" s="67" t="str">
        <v/>
      </c>
      <c r="H471" s="67" t="str">
        <v/>
      </c>
      <c r="I471" s="67" t="str">
        <v/>
      </c>
      <c r="J471" s="67" t="str">
        <v/>
      </c>
      <c r="K471" s="68" t="str">
        <v/>
      </c>
    </row>
    <row r="472" spans="2:11">
      <c r="B472" s="66" t="str">
        <v/>
      </c>
      <c r="C472" s="67" t="str">
        <v/>
      </c>
      <c r="D472" s="67" t="str">
        <v/>
      </c>
      <c r="E472" s="67" t="str">
        <v/>
      </c>
      <c r="F472" s="67" t="str">
        <v/>
      </c>
      <c r="G472" s="67" t="str">
        <v/>
      </c>
      <c r="H472" s="67" t="str">
        <v/>
      </c>
      <c r="I472" s="67" t="str">
        <v/>
      </c>
      <c r="J472" s="67" t="str">
        <v/>
      </c>
      <c r="K472" s="68" t="str">
        <v/>
      </c>
    </row>
    <row r="473" spans="2:11">
      <c r="B473" s="66" t="str">
        <v/>
      </c>
      <c r="C473" s="67" t="str">
        <v/>
      </c>
      <c r="D473" s="67" t="str">
        <v/>
      </c>
      <c r="E473" s="67" t="str">
        <v/>
      </c>
      <c r="F473" s="67" t="str">
        <v/>
      </c>
      <c r="G473" s="67" t="str">
        <v/>
      </c>
      <c r="H473" s="67" t="str">
        <v/>
      </c>
      <c r="I473" s="67" t="str">
        <v/>
      </c>
      <c r="J473" s="67" t="str">
        <v/>
      </c>
      <c r="K473" s="68" t="str">
        <v/>
      </c>
    </row>
    <row r="474" spans="2:11">
      <c r="B474" s="66" t="str">
        <v/>
      </c>
      <c r="C474" s="67" t="str">
        <v/>
      </c>
      <c r="D474" s="67" t="str">
        <v/>
      </c>
      <c r="E474" s="67" t="str">
        <v/>
      </c>
      <c r="F474" s="67" t="str">
        <v/>
      </c>
      <c r="G474" s="67" t="str">
        <v/>
      </c>
      <c r="H474" s="67" t="str">
        <v/>
      </c>
      <c r="I474" s="67" t="str">
        <v/>
      </c>
      <c r="J474" s="67" t="str">
        <v/>
      </c>
      <c r="K474" s="68" t="str">
        <v/>
      </c>
    </row>
    <row r="475" spans="2:11">
      <c r="B475" s="66" t="str">
        <v/>
      </c>
      <c r="C475" s="67" t="str">
        <v/>
      </c>
      <c r="D475" s="67" t="str">
        <v/>
      </c>
      <c r="E475" s="67" t="str">
        <v/>
      </c>
      <c r="F475" s="67" t="str">
        <v/>
      </c>
      <c r="G475" s="67" t="str">
        <v/>
      </c>
      <c r="H475" s="67" t="str">
        <v/>
      </c>
      <c r="I475" s="67" t="str">
        <v/>
      </c>
      <c r="J475" s="67" t="str">
        <v/>
      </c>
      <c r="K475" s="68" t="str">
        <v/>
      </c>
    </row>
    <row r="476" spans="2:11">
      <c r="B476" s="66" t="str">
        <v/>
      </c>
      <c r="C476" s="67" t="str">
        <v/>
      </c>
      <c r="D476" s="67" t="str">
        <v/>
      </c>
      <c r="E476" s="67" t="str">
        <v/>
      </c>
      <c r="F476" s="67" t="str">
        <v/>
      </c>
      <c r="G476" s="67" t="str">
        <v/>
      </c>
      <c r="H476" s="67" t="str">
        <v/>
      </c>
      <c r="I476" s="67" t="str">
        <v/>
      </c>
      <c r="J476" s="67" t="str">
        <v/>
      </c>
      <c r="K476" s="68" t="str">
        <v/>
      </c>
    </row>
    <row r="477" spans="2:11">
      <c r="B477" s="66" t="str">
        <v/>
      </c>
      <c r="C477" s="67" t="str">
        <v/>
      </c>
      <c r="D477" s="67" t="str">
        <v/>
      </c>
      <c r="E477" s="67" t="str">
        <v/>
      </c>
      <c r="F477" s="67" t="str">
        <v/>
      </c>
      <c r="G477" s="67" t="str">
        <v/>
      </c>
      <c r="H477" s="67" t="str">
        <v/>
      </c>
      <c r="I477" s="67" t="str">
        <v/>
      </c>
      <c r="J477" s="67" t="str">
        <v/>
      </c>
      <c r="K477" s="68" t="str">
        <v/>
      </c>
    </row>
    <row r="478" spans="2:11">
      <c r="B478" s="66" t="str">
        <v/>
      </c>
      <c r="C478" s="67" t="str">
        <v/>
      </c>
      <c r="D478" s="67" t="str">
        <v/>
      </c>
      <c r="E478" s="67" t="str">
        <v/>
      </c>
      <c r="F478" s="67" t="str">
        <v/>
      </c>
      <c r="G478" s="67" t="str">
        <v/>
      </c>
      <c r="H478" s="67" t="str">
        <v/>
      </c>
      <c r="I478" s="67" t="str">
        <v/>
      </c>
      <c r="J478" s="67" t="str">
        <v/>
      </c>
      <c r="K478" s="68" t="str">
        <v/>
      </c>
    </row>
    <row r="479" spans="2:11">
      <c r="B479" s="66" t="str">
        <v/>
      </c>
      <c r="C479" s="67" t="str">
        <v/>
      </c>
      <c r="D479" s="67" t="str">
        <v/>
      </c>
      <c r="E479" s="67" t="str">
        <v/>
      </c>
      <c r="F479" s="67" t="str">
        <v/>
      </c>
      <c r="G479" s="67" t="str">
        <v/>
      </c>
      <c r="H479" s="67" t="str">
        <v/>
      </c>
      <c r="I479" s="67" t="str">
        <v/>
      </c>
      <c r="J479" s="67" t="str">
        <v/>
      </c>
      <c r="K479" s="68" t="str">
        <v/>
      </c>
    </row>
    <row r="480" spans="2:11">
      <c r="B480" s="66" t="str">
        <v/>
      </c>
      <c r="C480" s="67" t="str">
        <v/>
      </c>
      <c r="D480" s="67" t="str">
        <v/>
      </c>
      <c r="E480" s="67" t="str">
        <v/>
      </c>
      <c r="F480" s="67" t="str">
        <v/>
      </c>
      <c r="G480" s="67" t="str">
        <v/>
      </c>
      <c r="H480" s="67" t="str">
        <v/>
      </c>
      <c r="I480" s="67" t="str">
        <v/>
      </c>
      <c r="J480" s="67" t="str">
        <v/>
      </c>
      <c r="K480" s="68" t="str">
        <v/>
      </c>
    </row>
    <row r="481" spans="2:11">
      <c r="B481" s="66" t="str">
        <v/>
      </c>
      <c r="C481" s="67" t="str">
        <v/>
      </c>
      <c r="D481" s="67" t="str">
        <v/>
      </c>
      <c r="E481" s="67" t="str">
        <v/>
      </c>
      <c r="F481" s="67" t="str">
        <v/>
      </c>
      <c r="G481" s="67" t="str">
        <v/>
      </c>
      <c r="H481" s="67" t="str">
        <v/>
      </c>
      <c r="I481" s="67" t="str">
        <v/>
      </c>
      <c r="J481" s="67" t="str">
        <v/>
      </c>
      <c r="K481" s="68" t="str">
        <v/>
      </c>
    </row>
    <row r="482" spans="2:11">
      <c r="B482" s="66" t="str">
        <v/>
      </c>
      <c r="C482" s="67" t="str">
        <v/>
      </c>
      <c r="D482" s="67" t="str">
        <v/>
      </c>
      <c r="E482" s="67" t="str">
        <v/>
      </c>
      <c r="F482" s="67" t="str">
        <v/>
      </c>
      <c r="G482" s="67" t="str">
        <v/>
      </c>
      <c r="H482" s="67" t="str">
        <v/>
      </c>
      <c r="I482" s="67" t="str">
        <v/>
      </c>
      <c r="J482" s="67" t="str">
        <v/>
      </c>
      <c r="K482" s="68" t="str">
        <v/>
      </c>
    </row>
    <row r="483" spans="2:11">
      <c r="B483" s="66" t="str">
        <v/>
      </c>
      <c r="C483" s="67" t="str">
        <v/>
      </c>
      <c r="D483" s="67" t="str">
        <v/>
      </c>
      <c r="E483" s="67" t="str">
        <v/>
      </c>
      <c r="F483" s="67" t="str">
        <v/>
      </c>
      <c r="G483" s="67" t="str">
        <v/>
      </c>
      <c r="H483" s="67" t="str">
        <v/>
      </c>
      <c r="I483" s="67" t="str">
        <v/>
      </c>
      <c r="J483" s="67" t="str">
        <v/>
      </c>
      <c r="K483" s="68" t="str">
        <v/>
      </c>
    </row>
    <row r="484" spans="2:11">
      <c r="B484" s="66" t="str">
        <v/>
      </c>
      <c r="C484" s="67" t="str">
        <v/>
      </c>
      <c r="D484" s="67" t="str">
        <v/>
      </c>
      <c r="E484" s="67" t="str">
        <v/>
      </c>
      <c r="F484" s="67" t="str">
        <v/>
      </c>
      <c r="G484" s="67" t="str">
        <v/>
      </c>
      <c r="H484" s="67" t="str">
        <v/>
      </c>
      <c r="I484" s="67" t="str">
        <v/>
      </c>
      <c r="J484" s="67" t="str">
        <v/>
      </c>
      <c r="K484" s="68" t="str">
        <v/>
      </c>
    </row>
    <row r="485" spans="2:11">
      <c r="B485" s="66" t="str">
        <v/>
      </c>
      <c r="C485" s="67" t="str">
        <v/>
      </c>
      <c r="D485" s="67" t="str">
        <v/>
      </c>
      <c r="E485" s="67" t="str">
        <v/>
      </c>
      <c r="F485" s="67" t="str">
        <v/>
      </c>
      <c r="G485" s="67" t="str">
        <v/>
      </c>
      <c r="H485" s="67" t="str">
        <v/>
      </c>
      <c r="I485" s="67" t="str">
        <v/>
      </c>
      <c r="J485" s="67" t="str">
        <v/>
      </c>
      <c r="K485" s="68" t="str">
        <v/>
      </c>
    </row>
    <row r="486" spans="2:11">
      <c r="B486" s="66" t="str">
        <v/>
      </c>
      <c r="C486" s="67" t="str">
        <v/>
      </c>
      <c r="D486" s="67" t="str">
        <v/>
      </c>
      <c r="E486" s="67" t="str">
        <v/>
      </c>
      <c r="F486" s="67" t="str">
        <v/>
      </c>
      <c r="G486" s="67" t="str">
        <v/>
      </c>
      <c r="H486" s="67" t="str">
        <v/>
      </c>
      <c r="I486" s="67" t="str">
        <v/>
      </c>
      <c r="J486" s="67" t="str">
        <v/>
      </c>
      <c r="K486" s="68" t="str">
        <v/>
      </c>
    </row>
    <row r="487" spans="2:11">
      <c r="B487" s="66" t="str">
        <v/>
      </c>
      <c r="C487" s="67" t="str">
        <v/>
      </c>
      <c r="D487" s="67" t="str">
        <v/>
      </c>
      <c r="E487" s="67" t="str">
        <v/>
      </c>
      <c r="F487" s="67" t="str">
        <v/>
      </c>
      <c r="G487" s="67" t="str">
        <v/>
      </c>
      <c r="H487" s="67" t="str">
        <v/>
      </c>
      <c r="I487" s="67" t="str">
        <v/>
      </c>
      <c r="J487" s="67" t="str">
        <v/>
      </c>
      <c r="K487" s="68" t="str">
        <v/>
      </c>
    </row>
    <row r="488" spans="2:11">
      <c r="B488" s="66" t="str">
        <v/>
      </c>
      <c r="C488" s="67" t="str">
        <v/>
      </c>
      <c r="D488" s="67" t="str">
        <v/>
      </c>
      <c r="E488" s="67" t="str">
        <v/>
      </c>
      <c r="F488" s="67" t="str">
        <v/>
      </c>
      <c r="G488" s="67" t="str">
        <v/>
      </c>
      <c r="H488" s="67" t="str">
        <v/>
      </c>
      <c r="I488" s="67" t="str">
        <v/>
      </c>
      <c r="J488" s="67" t="str">
        <v/>
      </c>
      <c r="K488" s="68" t="str">
        <v/>
      </c>
    </row>
    <row r="489" spans="2:11">
      <c r="B489" s="66" t="str">
        <v/>
      </c>
      <c r="C489" s="67" t="str">
        <v/>
      </c>
      <c r="D489" s="67" t="str">
        <v/>
      </c>
      <c r="E489" s="67" t="str">
        <v/>
      </c>
      <c r="F489" s="67" t="str">
        <v/>
      </c>
      <c r="G489" s="67" t="str">
        <v/>
      </c>
      <c r="H489" s="67" t="str">
        <v/>
      </c>
      <c r="I489" s="67" t="str">
        <v/>
      </c>
      <c r="J489" s="67" t="str">
        <v/>
      </c>
      <c r="K489" s="68" t="str">
        <v/>
      </c>
    </row>
    <row r="490" spans="2:11">
      <c r="B490" s="66" t="str">
        <v/>
      </c>
      <c r="C490" s="67" t="str">
        <v/>
      </c>
      <c r="D490" s="67" t="str">
        <v/>
      </c>
      <c r="E490" s="67" t="str">
        <v/>
      </c>
      <c r="F490" s="67" t="str">
        <v/>
      </c>
      <c r="G490" s="67" t="str">
        <v/>
      </c>
      <c r="H490" s="67" t="str">
        <v/>
      </c>
      <c r="I490" s="67" t="str">
        <v/>
      </c>
      <c r="J490" s="67" t="str">
        <v/>
      </c>
      <c r="K490" s="68" t="str">
        <v/>
      </c>
    </row>
    <row r="491" spans="2:11">
      <c r="B491" s="66" t="str">
        <v/>
      </c>
      <c r="C491" s="67" t="str">
        <v/>
      </c>
      <c r="D491" s="67" t="str">
        <v/>
      </c>
      <c r="E491" s="67" t="str">
        <v/>
      </c>
      <c r="F491" s="67" t="str">
        <v/>
      </c>
      <c r="G491" s="67" t="str">
        <v/>
      </c>
      <c r="H491" s="67" t="str">
        <v/>
      </c>
      <c r="I491" s="67" t="str">
        <v/>
      </c>
      <c r="J491" s="67" t="str">
        <v/>
      </c>
      <c r="K491" s="68" t="str">
        <v/>
      </c>
    </row>
    <row r="492" spans="2:11">
      <c r="B492" s="66" t="str">
        <v/>
      </c>
      <c r="C492" s="67" t="str">
        <v/>
      </c>
      <c r="D492" s="67" t="str">
        <v/>
      </c>
      <c r="E492" s="67" t="str">
        <v/>
      </c>
      <c r="F492" s="67" t="str">
        <v/>
      </c>
      <c r="G492" s="67" t="str">
        <v/>
      </c>
      <c r="H492" s="67" t="str">
        <v/>
      </c>
      <c r="I492" s="67" t="str">
        <v/>
      </c>
      <c r="J492" s="67" t="str">
        <v/>
      </c>
      <c r="K492" s="68" t="str">
        <v/>
      </c>
    </row>
    <row r="493" spans="2:11">
      <c r="B493" s="66" t="str">
        <v/>
      </c>
      <c r="C493" s="67" t="str">
        <v/>
      </c>
      <c r="D493" s="67" t="str">
        <v/>
      </c>
      <c r="E493" s="67" t="str">
        <v/>
      </c>
      <c r="F493" s="67" t="str">
        <v/>
      </c>
      <c r="G493" s="67" t="str">
        <v/>
      </c>
      <c r="H493" s="67" t="str">
        <v/>
      </c>
      <c r="I493" s="67" t="str">
        <v/>
      </c>
      <c r="J493" s="67" t="str">
        <v/>
      </c>
      <c r="K493" s="68" t="str">
        <v/>
      </c>
    </row>
    <row r="494" spans="2:11">
      <c r="B494" s="66" t="str">
        <v/>
      </c>
      <c r="C494" s="67" t="str">
        <v/>
      </c>
      <c r="D494" s="67" t="str">
        <v/>
      </c>
      <c r="E494" s="67" t="str">
        <v/>
      </c>
      <c r="F494" s="67" t="str">
        <v/>
      </c>
      <c r="G494" s="67" t="str">
        <v/>
      </c>
      <c r="H494" s="67" t="str">
        <v/>
      </c>
      <c r="I494" s="67" t="str">
        <v/>
      </c>
      <c r="J494" s="67" t="str">
        <v/>
      </c>
      <c r="K494" s="68" t="str">
        <v/>
      </c>
    </row>
    <row r="495" spans="2:11">
      <c r="B495" s="66" t="str">
        <v/>
      </c>
      <c r="C495" s="67" t="str">
        <v/>
      </c>
      <c r="D495" s="67" t="str">
        <v/>
      </c>
      <c r="E495" s="67" t="str">
        <v/>
      </c>
      <c r="F495" s="67" t="str">
        <v/>
      </c>
      <c r="G495" s="67" t="str">
        <v/>
      </c>
      <c r="H495" s="67" t="str">
        <v/>
      </c>
      <c r="I495" s="67" t="str">
        <v/>
      </c>
      <c r="J495" s="67" t="str">
        <v/>
      </c>
      <c r="K495" s="68" t="str">
        <v/>
      </c>
    </row>
    <row r="496" spans="2:11">
      <c r="B496" s="66" t="str">
        <v/>
      </c>
      <c r="C496" s="67" t="str">
        <v/>
      </c>
      <c r="D496" s="67" t="str">
        <v/>
      </c>
      <c r="E496" s="67" t="str">
        <v/>
      </c>
      <c r="F496" s="67" t="str">
        <v/>
      </c>
      <c r="G496" s="67" t="str">
        <v/>
      </c>
      <c r="H496" s="67" t="str">
        <v/>
      </c>
      <c r="I496" s="67" t="str">
        <v/>
      </c>
      <c r="J496" s="67" t="str">
        <v/>
      </c>
      <c r="K496" s="68" t="str">
        <v/>
      </c>
    </row>
    <row r="497" spans="2:11">
      <c r="B497" s="66" t="str">
        <v/>
      </c>
      <c r="C497" s="67" t="str">
        <v/>
      </c>
      <c r="D497" s="67" t="str">
        <v/>
      </c>
      <c r="E497" s="67" t="str">
        <v/>
      </c>
      <c r="F497" s="67" t="str">
        <v/>
      </c>
      <c r="G497" s="67" t="str">
        <v/>
      </c>
      <c r="H497" s="67" t="str">
        <v/>
      </c>
      <c r="I497" s="67" t="str">
        <v/>
      </c>
      <c r="J497" s="67" t="str">
        <v/>
      </c>
      <c r="K497" s="68" t="str">
        <v/>
      </c>
    </row>
    <row r="498" spans="2:11">
      <c r="B498" s="66" t="str">
        <v/>
      </c>
      <c r="C498" s="67" t="str">
        <v/>
      </c>
      <c r="D498" s="67" t="str">
        <v/>
      </c>
      <c r="E498" s="67" t="str">
        <v/>
      </c>
      <c r="F498" s="67" t="str">
        <v/>
      </c>
      <c r="G498" s="67" t="str">
        <v/>
      </c>
      <c r="H498" s="67" t="str">
        <v/>
      </c>
      <c r="I498" s="67" t="str">
        <v/>
      </c>
      <c r="J498" s="67" t="str">
        <v/>
      </c>
      <c r="K498" s="68" t="str">
        <v/>
      </c>
    </row>
    <row r="499" spans="2:11">
      <c r="B499" s="66" t="str">
        <v/>
      </c>
      <c r="C499" s="67" t="str">
        <v/>
      </c>
      <c r="D499" s="67" t="str">
        <v/>
      </c>
      <c r="E499" s="67" t="str">
        <v/>
      </c>
      <c r="F499" s="67" t="str">
        <v/>
      </c>
      <c r="G499" s="67" t="str">
        <v/>
      </c>
      <c r="H499" s="67" t="str">
        <v/>
      </c>
      <c r="I499" s="67" t="str">
        <v/>
      </c>
      <c r="J499" s="67" t="str">
        <v/>
      </c>
      <c r="K499" s="68" t="str">
        <v/>
      </c>
    </row>
    <row r="500" spans="2:11">
      <c r="B500" s="66" t="str">
        <v/>
      </c>
      <c r="C500" s="67" t="str">
        <v/>
      </c>
      <c r="D500" s="67" t="str">
        <v/>
      </c>
      <c r="E500" s="67" t="str">
        <v/>
      </c>
      <c r="F500" s="67" t="str">
        <v/>
      </c>
      <c r="G500" s="67" t="str">
        <v/>
      </c>
      <c r="H500" s="67" t="str">
        <v/>
      </c>
      <c r="I500" s="67" t="str">
        <v/>
      </c>
      <c r="J500" s="67" t="str">
        <v/>
      </c>
      <c r="K500" s="68" t="str">
        <v/>
      </c>
    </row>
    <row r="501" spans="2:11">
      <c r="B501" s="66" t="str">
        <v/>
      </c>
      <c r="C501" s="67" t="str">
        <v/>
      </c>
      <c r="D501" s="67" t="str">
        <v/>
      </c>
      <c r="E501" s="67" t="str">
        <v/>
      </c>
      <c r="F501" s="67" t="str">
        <v/>
      </c>
      <c r="G501" s="67" t="str">
        <v/>
      </c>
      <c r="H501" s="67" t="str">
        <v/>
      </c>
      <c r="I501" s="67" t="str">
        <v/>
      </c>
      <c r="J501" s="67" t="str">
        <v/>
      </c>
      <c r="K501" s="68" t="str">
        <v/>
      </c>
    </row>
    <row r="502" spans="2:11">
      <c r="B502" s="66" t="str">
        <v/>
      </c>
      <c r="C502" s="67" t="str">
        <v/>
      </c>
      <c r="D502" s="67" t="str">
        <v/>
      </c>
      <c r="E502" s="67" t="str">
        <v/>
      </c>
      <c r="F502" s="67" t="str">
        <v/>
      </c>
      <c r="G502" s="67" t="str">
        <v/>
      </c>
      <c r="H502" s="67" t="str">
        <v/>
      </c>
      <c r="I502" s="67" t="str">
        <v/>
      </c>
      <c r="J502" s="67" t="str">
        <v/>
      </c>
      <c r="K502" s="68" t="str">
        <v/>
      </c>
    </row>
    <row r="503" spans="2:11">
      <c r="B503" s="66" t="str">
        <v/>
      </c>
      <c r="C503" s="67" t="str">
        <v/>
      </c>
      <c r="D503" s="67" t="str">
        <v/>
      </c>
      <c r="E503" s="67" t="str">
        <v/>
      </c>
      <c r="F503" s="67" t="str">
        <v/>
      </c>
      <c r="G503" s="67" t="str">
        <v/>
      </c>
      <c r="H503" s="67" t="str">
        <v/>
      </c>
      <c r="I503" s="67" t="str">
        <v/>
      </c>
      <c r="J503" s="67" t="str">
        <v/>
      </c>
      <c r="K503" s="68" t="str">
        <v/>
      </c>
    </row>
    <row r="504" spans="2:11">
      <c r="B504" s="66" t="str">
        <v/>
      </c>
      <c r="C504" s="67" t="str">
        <v/>
      </c>
      <c r="D504" s="67" t="str">
        <v/>
      </c>
      <c r="E504" s="67" t="str">
        <v/>
      </c>
      <c r="F504" s="67" t="str">
        <v/>
      </c>
      <c r="G504" s="67" t="str">
        <v/>
      </c>
      <c r="H504" s="67" t="str">
        <v/>
      </c>
      <c r="I504" s="67" t="str">
        <v/>
      </c>
      <c r="J504" s="67" t="str">
        <v/>
      </c>
      <c r="K504" s="68" t="str">
        <v/>
      </c>
    </row>
    <row r="505" spans="2:11">
      <c r="B505" s="66" t="str">
        <v/>
      </c>
      <c r="C505" s="67" t="str">
        <v/>
      </c>
      <c r="D505" s="67" t="str">
        <v/>
      </c>
      <c r="E505" s="67" t="str">
        <v/>
      </c>
      <c r="F505" s="67" t="str">
        <v/>
      </c>
      <c r="G505" s="67" t="str">
        <v/>
      </c>
      <c r="H505" s="67" t="str">
        <v/>
      </c>
      <c r="I505" s="67" t="str">
        <v/>
      </c>
      <c r="J505" s="67" t="str">
        <v/>
      </c>
      <c r="K505" s="68" t="str">
        <v/>
      </c>
    </row>
    <row r="506" spans="2:11">
      <c r="B506" s="66" t="str">
        <v/>
      </c>
      <c r="C506" s="67" t="str">
        <v/>
      </c>
      <c r="D506" s="67" t="str">
        <v/>
      </c>
      <c r="E506" s="67" t="str">
        <v/>
      </c>
      <c r="F506" s="67" t="str">
        <v/>
      </c>
      <c r="G506" s="67" t="str">
        <v/>
      </c>
      <c r="H506" s="67" t="str">
        <v/>
      </c>
      <c r="I506" s="67" t="str">
        <v/>
      </c>
      <c r="J506" s="67" t="str">
        <v/>
      </c>
      <c r="K506" s="68" t="str">
        <v/>
      </c>
    </row>
    <row r="507" spans="2:11">
      <c r="B507" s="66" t="str">
        <v/>
      </c>
      <c r="C507" s="67" t="str">
        <v/>
      </c>
      <c r="D507" s="67" t="str">
        <v/>
      </c>
      <c r="E507" s="67" t="str">
        <v/>
      </c>
      <c r="F507" s="67" t="str">
        <v/>
      </c>
      <c r="G507" s="67" t="str">
        <v/>
      </c>
      <c r="H507" s="67" t="str">
        <v/>
      </c>
      <c r="I507" s="67" t="str">
        <v/>
      </c>
      <c r="J507" s="67" t="str">
        <v/>
      </c>
      <c r="K507" s="68" t="str">
        <v/>
      </c>
    </row>
    <row r="508" spans="2:11">
      <c r="B508" s="66" t="str">
        <v/>
      </c>
      <c r="C508" s="67" t="str">
        <v/>
      </c>
      <c r="D508" s="67" t="str">
        <v/>
      </c>
      <c r="E508" s="67" t="str">
        <v/>
      </c>
      <c r="F508" s="67" t="str">
        <v/>
      </c>
      <c r="G508" s="67" t="str">
        <v/>
      </c>
      <c r="H508" s="67" t="str">
        <v/>
      </c>
      <c r="I508" s="67" t="str">
        <v/>
      </c>
      <c r="J508" s="67" t="str">
        <v/>
      </c>
      <c r="K508" s="68" t="str">
        <v/>
      </c>
    </row>
    <row r="509" spans="2:11">
      <c r="B509" s="66" t="str">
        <v/>
      </c>
      <c r="C509" s="67" t="str">
        <v/>
      </c>
      <c r="D509" s="67" t="str">
        <v/>
      </c>
      <c r="E509" s="67" t="str">
        <v/>
      </c>
      <c r="F509" s="67" t="str">
        <v/>
      </c>
      <c r="G509" s="67" t="str">
        <v/>
      </c>
      <c r="H509" s="67" t="str">
        <v/>
      </c>
      <c r="I509" s="67" t="str">
        <v/>
      </c>
      <c r="J509" s="67" t="str">
        <v/>
      </c>
      <c r="K509" s="68" t="str">
        <v/>
      </c>
    </row>
    <row r="510" spans="2:11">
      <c r="B510" s="66" t="str">
        <v/>
      </c>
      <c r="C510" s="67" t="str">
        <v/>
      </c>
      <c r="D510" s="67" t="str">
        <v/>
      </c>
      <c r="E510" s="67" t="str">
        <v/>
      </c>
      <c r="F510" s="67" t="str">
        <v/>
      </c>
      <c r="G510" s="67" t="str">
        <v/>
      </c>
      <c r="H510" s="67" t="str">
        <v/>
      </c>
      <c r="I510" s="67" t="str">
        <v/>
      </c>
      <c r="J510" s="67" t="str">
        <v/>
      </c>
      <c r="K510" s="68" t="str">
        <v/>
      </c>
    </row>
    <row r="511" spans="2:11">
      <c r="B511" s="66" t="str">
        <v/>
      </c>
      <c r="C511" s="67" t="str">
        <v/>
      </c>
      <c r="D511" s="67" t="str">
        <v/>
      </c>
      <c r="E511" s="67" t="str">
        <v/>
      </c>
      <c r="F511" s="67" t="str">
        <v/>
      </c>
      <c r="G511" s="67" t="str">
        <v/>
      </c>
      <c r="H511" s="67" t="str">
        <v/>
      </c>
      <c r="I511" s="67" t="str">
        <v/>
      </c>
      <c r="J511" s="67" t="str">
        <v/>
      </c>
      <c r="K511" s="68" t="str">
        <v/>
      </c>
    </row>
    <row r="512" spans="2:11">
      <c r="B512" s="66" t="str">
        <v/>
      </c>
      <c r="C512" s="67" t="str">
        <v/>
      </c>
      <c r="D512" s="67" t="str">
        <v/>
      </c>
      <c r="E512" s="67" t="str">
        <v/>
      </c>
      <c r="F512" s="67" t="str">
        <v/>
      </c>
      <c r="G512" s="67" t="str">
        <v/>
      </c>
      <c r="H512" s="67" t="str">
        <v/>
      </c>
      <c r="I512" s="67" t="str">
        <v/>
      </c>
      <c r="J512" s="67" t="str">
        <v/>
      </c>
      <c r="K512" s="68" t="str">
        <v/>
      </c>
    </row>
    <row r="513" spans="2:11">
      <c r="B513" s="66" t="str">
        <v/>
      </c>
      <c r="C513" s="67" t="str">
        <v/>
      </c>
      <c r="D513" s="67" t="str">
        <v/>
      </c>
      <c r="E513" s="67" t="str">
        <v/>
      </c>
      <c r="F513" s="67" t="str">
        <v/>
      </c>
      <c r="G513" s="67" t="str">
        <v/>
      </c>
      <c r="H513" s="67" t="str">
        <v/>
      </c>
      <c r="I513" s="67" t="str">
        <v/>
      </c>
      <c r="J513" s="67" t="str">
        <v/>
      </c>
      <c r="K513" s="68" t="str">
        <v/>
      </c>
    </row>
    <row r="514" spans="2:11">
      <c r="B514" s="66" t="str">
        <v/>
      </c>
      <c r="C514" s="67" t="str">
        <v/>
      </c>
      <c r="D514" s="67" t="str">
        <v/>
      </c>
      <c r="E514" s="67" t="str">
        <v/>
      </c>
      <c r="F514" s="67" t="str">
        <v/>
      </c>
      <c r="G514" s="67" t="str">
        <v/>
      </c>
      <c r="H514" s="67" t="str">
        <v/>
      </c>
      <c r="I514" s="67" t="str">
        <v/>
      </c>
      <c r="J514" s="67" t="str">
        <v/>
      </c>
      <c r="K514" s="68" t="str">
        <v/>
      </c>
    </row>
    <row r="515" spans="2:11">
      <c r="B515" s="66" t="str">
        <v/>
      </c>
      <c r="C515" s="67" t="str">
        <v/>
      </c>
      <c r="D515" s="67" t="str">
        <v/>
      </c>
      <c r="E515" s="67" t="str">
        <v/>
      </c>
      <c r="F515" s="67" t="str">
        <v/>
      </c>
      <c r="G515" s="67" t="str">
        <v/>
      </c>
      <c r="H515" s="67" t="str">
        <v/>
      </c>
      <c r="I515" s="67" t="str">
        <v/>
      </c>
      <c r="J515" s="67" t="str">
        <v/>
      </c>
      <c r="K515" s="68" t="str">
        <v/>
      </c>
    </row>
    <row r="516" spans="2:11">
      <c r="B516" s="66" t="str">
        <v/>
      </c>
      <c r="C516" s="67" t="str">
        <v/>
      </c>
      <c r="D516" s="67" t="str">
        <v/>
      </c>
      <c r="E516" s="67" t="str">
        <v/>
      </c>
      <c r="F516" s="67" t="str">
        <v/>
      </c>
      <c r="G516" s="67" t="str">
        <v/>
      </c>
      <c r="H516" s="67" t="str">
        <v/>
      </c>
      <c r="I516" s="67" t="str">
        <v/>
      </c>
      <c r="J516" s="67" t="str">
        <v/>
      </c>
      <c r="K516" s="68" t="str">
        <v/>
      </c>
    </row>
    <row r="517" spans="2:11">
      <c r="B517" s="66" t="str">
        <v/>
      </c>
      <c r="C517" s="67" t="str">
        <v/>
      </c>
      <c r="D517" s="67" t="str">
        <v/>
      </c>
      <c r="E517" s="67" t="str">
        <v/>
      </c>
      <c r="F517" s="67" t="str">
        <v/>
      </c>
      <c r="G517" s="67" t="str">
        <v/>
      </c>
      <c r="H517" s="67" t="str">
        <v/>
      </c>
      <c r="I517" s="67" t="str">
        <v/>
      </c>
      <c r="J517" s="67" t="str">
        <v/>
      </c>
      <c r="K517" s="68" t="str">
        <v/>
      </c>
    </row>
    <row r="518" spans="2:11">
      <c r="B518" s="66" t="str">
        <v/>
      </c>
      <c r="C518" s="67" t="str">
        <v/>
      </c>
      <c r="D518" s="67" t="str">
        <v/>
      </c>
      <c r="E518" s="67" t="str">
        <v/>
      </c>
      <c r="F518" s="67" t="str">
        <v/>
      </c>
      <c r="G518" s="67" t="str">
        <v/>
      </c>
      <c r="H518" s="67" t="str">
        <v/>
      </c>
      <c r="I518" s="67" t="str">
        <v/>
      </c>
      <c r="J518" s="67" t="str">
        <v/>
      </c>
      <c r="K518" s="68" t="str">
        <v/>
      </c>
    </row>
    <row r="519" spans="2:11">
      <c r="B519" s="66" t="str">
        <v/>
      </c>
      <c r="C519" s="67" t="str">
        <v/>
      </c>
      <c r="D519" s="67" t="str">
        <v/>
      </c>
      <c r="E519" s="67" t="str">
        <v/>
      </c>
      <c r="F519" s="67" t="str">
        <v/>
      </c>
      <c r="G519" s="67" t="str">
        <v/>
      </c>
      <c r="H519" s="67" t="str">
        <v/>
      </c>
      <c r="I519" s="67" t="str">
        <v/>
      </c>
      <c r="J519" s="67" t="str">
        <v/>
      </c>
      <c r="K519" s="68" t="str">
        <v/>
      </c>
    </row>
    <row r="520" spans="2:11">
      <c r="B520" s="66" t="str">
        <v/>
      </c>
      <c r="C520" s="67" t="str">
        <v/>
      </c>
      <c r="D520" s="67" t="str">
        <v/>
      </c>
      <c r="E520" s="67" t="str">
        <v/>
      </c>
      <c r="F520" s="67" t="str">
        <v/>
      </c>
      <c r="G520" s="67" t="str">
        <v/>
      </c>
      <c r="H520" s="67" t="str">
        <v/>
      </c>
      <c r="I520" s="67" t="str">
        <v/>
      </c>
      <c r="J520" s="67" t="str">
        <v/>
      </c>
      <c r="K520" s="68" t="str">
        <v/>
      </c>
    </row>
    <row r="521" spans="2:11">
      <c r="B521" s="66" t="str">
        <v/>
      </c>
      <c r="C521" s="67" t="str">
        <v/>
      </c>
      <c r="D521" s="67" t="str">
        <v/>
      </c>
      <c r="E521" s="67" t="str">
        <v/>
      </c>
      <c r="F521" s="67" t="str">
        <v/>
      </c>
      <c r="G521" s="67" t="str">
        <v/>
      </c>
      <c r="H521" s="67" t="str">
        <v/>
      </c>
      <c r="I521" s="67" t="str">
        <v/>
      </c>
      <c r="J521" s="67" t="str">
        <v/>
      </c>
      <c r="K521" s="68" t="str">
        <v/>
      </c>
    </row>
    <row r="522" spans="2:11">
      <c r="B522" s="66" t="str">
        <v/>
      </c>
      <c r="C522" s="67" t="str">
        <v/>
      </c>
      <c r="D522" s="67" t="str">
        <v/>
      </c>
      <c r="E522" s="67" t="str">
        <v/>
      </c>
      <c r="F522" s="67" t="str">
        <v/>
      </c>
      <c r="G522" s="67" t="str">
        <v/>
      </c>
      <c r="H522" s="67" t="str">
        <v/>
      </c>
      <c r="I522" s="67" t="str">
        <v/>
      </c>
      <c r="J522" s="67" t="str">
        <v/>
      </c>
      <c r="K522" s="68" t="str">
        <v/>
      </c>
    </row>
    <row r="523" spans="2:11">
      <c r="B523" s="66" t="str">
        <v/>
      </c>
      <c r="C523" s="67" t="str">
        <v/>
      </c>
      <c r="D523" s="67" t="str">
        <v/>
      </c>
      <c r="E523" s="67" t="str">
        <v/>
      </c>
      <c r="F523" s="67" t="str">
        <v/>
      </c>
      <c r="G523" s="67" t="str">
        <v/>
      </c>
      <c r="H523" s="67" t="str">
        <v/>
      </c>
      <c r="I523" s="67" t="str">
        <v/>
      </c>
      <c r="J523" s="67" t="str">
        <v/>
      </c>
      <c r="K523" s="68" t="str">
        <v/>
      </c>
    </row>
    <row r="524" spans="2:11">
      <c r="B524" s="66" t="str">
        <v/>
      </c>
      <c r="C524" s="67" t="str">
        <v/>
      </c>
      <c r="D524" s="67" t="str">
        <v/>
      </c>
      <c r="E524" s="67" t="str">
        <v/>
      </c>
      <c r="F524" s="67" t="str">
        <v/>
      </c>
      <c r="G524" s="67" t="str">
        <v/>
      </c>
      <c r="H524" s="67" t="str">
        <v/>
      </c>
      <c r="I524" s="67" t="str">
        <v/>
      </c>
      <c r="J524" s="67" t="str">
        <v/>
      </c>
      <c r="K524" s="68" t="str">
        <v/>
      </c>
    </row>
    <row r="525" spans="2:11">
      <c r="B525" s="66" t="str">
        <v/>
      </c>
      <c r="C525" s="67" t="str">
        <v/>
      </c>
      <c r="D525" s="67" t="str">
        <v/>
      </c>
      <c r="E525" s="67" t="str">
        <v/>
      </c>
      <c r="F525" s="67" t="str">
        <v/>
      </c>
      <c r="G525" s="67" t="str">
        <v/>
      </c>
      <c r="H525" s="67" t="str">
        <v/>
      </c>
      <c r="I525" s="67" t="str">
        <v/>
      </c>
      <c r="J525" s="67" t="str">
        <v/>
      </c>
      <c r="K525" s="68" t="str">
        <v/>
      </c>
    </row>
    <row r="526" spans="2:11">
      <c r="B526" s="66" t="str">
        <v/>
      </c>
      <c r="C526" s="67" t="str">
        <v/>
      </c>
      <c r="D526" s="67" t="str">
        <v/>
      </c>
      <c r="E526" s="67" t="str">
        <v/>
      </c>
      <c r="F526" s="67" t="str">
        <v/>
      </c>
      <c r="G526" s="67" t="str">
        <v/>
      </c>
      <c r="H526" s="67" t="str">
        <v/>
      </c>
      <c r="I526" s="67" t="str">
        <v/>
      </c>
      <c r="J526" s="67" t="str">
        <v/>
      </c>
      <c r="K526" s="68" t="str">
        <v/>
      </c>
    </row>
    <row r="527" spans="2:11">
      <c r="B527" s="66" t="str">
        <v/>
      </c>
      <c r="C527" s="67" t="str">
        <v/>
      </c>
      <c r="D527" s="67" t="str">
        <v/>
      </c>
      <c r="E527" s="67" t="str">
        <v/>
      </c>
      <c r="F527" s="67" t="str">
        <v/>
      </c>
      <c r="G527" s="67" t="str">
        <v/>
      </c>
      <c r="H527" s="67" t="str">
        <v/>
      </c>
      <c r="I527" s="67" t="str">
        <v/>
      </c>
      <c r="J527" s="67" t="str">
        <v/>
      </c>
      <c r="K527" s="68" t="str">
        <v/>
      </c>
    </row>
    <row r="528" spans="2:11">
      <c r="B528" s="66" t="str">
        <v/>
      </c>
      <c r="C528" s="67" t="str">
        <v/>
      </c>
      <c r="D528" s="67" t="str">
        <v/>
      </c>
      <c r="E528" s="67" t="str">
        <v/>
      </c>
      <c r="F528" s="67" t="str">
        <v/>
      </c>
      <c r="G528" s="67" t="str">
        <v/>
      </c>
      <c r="H528" s="67" t="str">
        <v/>
      </c>
      <c r="I528" s="67" t="str">
        <v/>
      </c>
      <c r="J528" s="67" t="str">
        <v/>
      </c>
      <c r="K528" s="68" t="str">
        <v/>
      </c>
    </row>
    <row r="529" spans="2:11">
      <c r="B529" s="66" t="str">
        <v/>
      </c>
      <c r="C529" s="67" t="str">
        <v/>
      </c>
      <c r="D529" s="67" t="str">
        <v/>
      </c>
      <c r="E529" s="67" t="str">
        <v/>
      </c>
      <c r="F529" s="67" t="str">
        <v/>
      </c>
      <c r="G529" s="67" t="str">
        <v/>
      </c>
      <c r="H529" s="67" t="str">
        <v/>
      </c>
      <c r="I529" s="67" t="str">
        <v/>
      </c>
      <c r="J529" s="67" t="str">
        <v/>
      </c>
      <c r="K529" s="68" t="str">
        <v/>
      </c>
    </row>
    <row r="530" spans="2:11">
      <c r="B530" s="66" t="str">
        <v/>
      </c>
      <c r="C530" s="67" t="str">
        <v/>
      </c>
      <c r="D530" s="67" t="str">
        <v/>
      </c>
      <c r="E530" s="67" t="str">
        <v/>
      </c>
      <c r="F530" s="67" t="str">
        <v/>
      </c>
      <c r="G530" s="67" t="str">
        <v/>
      </c>
      <c r="H530" s="67" t="str">
        <v/>
      </c>
      <c r="I530" s="67" t="str">
        <v/>
      </c>
      <c r="J530" s="67" t="str">
        <v/>
      </c>
      <c r="K530" s="68" t="str">
        <v/>
      </c>
    </row>
    <row r="531" spans="2:11">
      <c r="B531" s="66" t="str">
        <v/>
      </c>
      <c r="C531" s="67" t="str">
        <v/>
      </c>
      <c r="D531" s="67" t="str">
        <v/>
      </c>
      <c r="E531" s="67" t="str">
        <v/>
      </c>
      <c r="F531" s="67" t="str">
        <v/>
      </c>
      <c r="G531" s="67" t="str">
        <v/>
      </c>
      <c r="H531" s="67" t="str">
        <v/>
      </c>
      <c r="I531" s="67" t="str">
        <v/>
      </c>
      <c r="J531" s="67" t="str">
        <v/>
      </c>
      <c r="K531" s="68" t="str">
        <v/>
      </c>
    </row>
    <row r="532" spans="2:11">
      <c r="B532" s="66" t="str">
        <v/>
      </c>
      <c r="C532" s="67" t="str">
        <v/>
      </c>
      <c r="D532" s="67" t="str">
        <v/>
      </c>
      <c r="E532" s="67" t="str">
        <v/>
      </c>
      <c r="F532" s="67" t="str">
        <v/>
      </c>
      <c r="G532" s="67" t="str">
        <v/>
      </c>
      <c r="H532" s="67" t="str">
        <v/>
      </c>
      <c r="I532" s="67" t="str">
        <v/>
      </c>
      <c r="J532" s="67" t="str">
        <v/>
      </c>
      <c r="K532" s="68" t="str">
        <v/>
      </c>
    </row>
    <row r="533" spans="2:11">
      <c r="B533" s="66" t="str">
        <v/>
      </c>
      <c r="C533" s="67" t="str">
        <v/>
      </c>
      <c r="D533" s="67" t="str">
        <v/>
      </c>
      <c r="E533" s="67" t="str">
        <v/>
      </c>
      <c r="F533" s="67" t="str">
        <v/>
      </c>
      <c r="G533" s="67" t="str">
        <v/>
      </c>
      <c r="H533" s="67" t="str">
        <v/>
      </c>
      <c r="I533" s="67" t="str">
        <v/>
      </c>
      <c r="J533" s="67" t="str">
        <v/>
      </c>
      <c r="K533" s="68" t="str">
        <v/>
      </c>
    </row>
    <row r="534" spans="2:11">
      <c r="B534" s="66" t="str">
        <v/>
      </c>
      <c r="C534" s="67" t="str">
        <v/>
      </c>
      <c r="D534" s="67" t="str">
        <v/>
      </c>
      <c r="E534" s="67" t="str">
        <v/>
      </c>
      <c r="F534" s="67" t="str">
        <v/>
      </c>
      <c r="G534" s="67" t="str">
        <v/>
      </c>
      <c r="H534" s="67" t="str">
        <v/>
      </c>
      <c r="I534" s="67" t="str">
        <v/>
      </c>
      <c r="J534" s="67" t="str">
        <v/>
      </c>
      <c r="K534" s="68" t="str">
        <v/>
      </c>
    </row>
    <row r="535" spans="2:11">
      <c r="B535" s="66" t="str">
        <v/>
      </c>
      <c r="C535" s="67" t="str">
        <v/>
      </c>
      <c r="D535" s="67" t="str">
        <v/>
      </c>
      <c r="E535" s="67" t="str">
        <v/>
      </c>
      <c r="F535" s="67" t="str">
        <v/>
      </c>
      <c r="G535" s="67" t="str">
        <v/>
      </c>
      <c r="H535" s="67" t="str">
        <v/>
      </c>
      <c r="I535" s="67" t="str">
        <v/>
      </c>
      <c r="J535" s="67" t="str">
        <v/>
      </c>
      <c r="K535" s="68" t="str">
        <v/>
      </c>
    </row>
    <row r="536" spans="2:11">
      <c r="B536" s="66" t="str">
        <v/>
      </c>
      <c r="C536" s="67" t="str">
        <v/>
      </c>
      <c r="D536" s="67" t="str">
        <v/>
      </c>
      <c r="E536" s="67" t="str">
        <v/>
      </c>
      <c r="F536" s="67" t="str">
        <v/>
      </c>
      <c r="G536" s="67" t="str">
        <v/>
      </c>
      <c r="H536" s="67" t="str">
        <v/>
      </c>
      <c r="I536" s="67" t="str">
        <v/>
      </c>
      <c r="J536" s="67" t="str">
        <v/>
      </c>
      <c r="K536" s="68" t="str">
        <v/>
      </c>
    </row>
    <row r="537" spans="2:11">
      <c r="B537" s="66" t="str">
        <v/>
      </c>
      <c r="C537" s="67" t="str">
        <v/>
      </c>
      <c r="D537" s="67" t="str">
        <v/>
      </c>
      <c r="E537" s="67" t="str">
        <v/>
      </c>
      <c r="F537" s="67" t="str">
        <v/>
      </c>
      <c r="G537" s="67" t="str">
        <v/>
      </c>
      <c r="H537" s="67" t="str">
        <v/>
      </c>
      <c r="I537" s="67" t="str">
        <v/>
      </c>
      <c r="J537" s="67" t="str">
        <v/>
      </c>
      <c r="K537" s="68" t="str">
        <v/>
      </c>
    </row>
    <row r="538" spans="2:11">
      <c r="B538" s="66" t="str">
        <v/>
      </c>
      <c r="C538" s="67" t="str">
        <v/>
      </c>
      <c r="D538" s="67" t="str">
        <v/>
      </c>
      <c r="E538" s="67" t="str">
        <v/>
      </c>
      <c r="F538" s="67" t="str">
        <v/>
      </c>
      <c r="G538" s="67" t="str">
        <v/>
      </c>
      <c r="H538" s="67" t="str">
        <v/>
      </c>
      <c r="I538" s="67" t="str">
        <v/>
      </c>
      <c r="J538" s="67" t="str">
        <v/>
      </c>
      <c r="K538" s="68" t="str">
        <v/>
      </c>
    </row>
    <row r="539" spans="2:11">
      <c r="B539" s="66" t="str">
        <v/>
      </c>
      <c r="C539" s="67" t="str">
        <v/>
      </c>
      <c r="D539" s="67" t="str">
        <v/>
      </c>
      <c r="E539" s="67" t="str">
        <v/>
      </c>
      <c r="F539" s="67" t="str">
        <v/>
      </c>
      <c r="G539" s="67" t="str">
        <v/>
      </c>
      <c r="H539" s="67" t="str">
        <v/>
      </c>
      <c r="I539" s="67" t="str">
        <v/>
      </c>
      <c r="J539" s="67" t="str">
        <v/>
      </c>
      <c r="K539" s="68" t="str">
        <v/>
      </c>
    </row>
    <row r="540" spans="2:11">
      <c r="B540" s="66" t="str">
        <v/>
      </c>
      <c r="C540" s="67" t="str">
        <v/>
      </c>
      <c r="D540" s="67" t="str">
        <v/>
      </c>
      <c r="E540" s="67" t="str">
        <v/>
      </c>
      <c r="F540" s="67" t="str">
        <v/>
      </c>
      <c r="G540" s="67" t="str">
        <v/>
      </c>
      <c r="H540" s="67" t="str">
        <v/>
      </c>
      <c r="I540" s="67" t="str">
        <v/>
      </c>
      <c r="J540" s="67" t="str">
        <v/>
      </c>
      <c r="K540" s="68" t="str">
        <v/>
      </c>
    </row>
    <row r="541" spans="2:11">
      <c r="B541" s="66" t="str">
        <v/>
      </c>
      <c r="C541" s="67" t="str">
        <v/>
      </c>
      <c r="D541" s="67" t="str">
        <v/>
      </c>
      <c r="E541" s="67" t="str">
        <v/>
      </c>
      <c r="F541" s="67" t="str">
        <v/>
      </c>
      <c r="G541" s="67" t="str">
        <v/>
      </c>
      <c r="H541" s="67" t="str">
        <v/>
      </c>
      <c r="I541" s="67" t="str">
        <v/>
      </c>
      <c r="J541" s="67" t="str">
        <v/>
      </c>
      <c r="K541" s="68" t="str">
        <v/>
      </c>
    </row>
    <row r="542" spans="2:11">
      <c r="B542" s="66" t="str">
        <v/>
      </c>
      <c r="C542" s="67" t="str">
        <v/>
      </c>
      <c r="D542" s="67" t="str">
        <v/>
      </c>
      <c r="E542" s="67" t="str">
        <v/>
      </c>
      <c r="F542" s="67" t="str">
        <v/>
      </c>
      <c r="G542" s="67" t="str">
        <v/>
      </c>
      <c r="H542" s="67" t="str">
        <v/>
      </c>
      <c r="I542" s="67" t="str">
        <v/>
      </c>
      <c r="J542" s="67" t="str">
        <v/>
      </c>
      <c r="K542" s="68" t="str">
        <v/>
      </c>
    </row>
    <row r="543" spans="2:11">
      <c r="B543" s="66" t="str">
        <v/>
      </c>
      <c r="C543" s="67" t="str">
        <v/>
      </c>
      <c r="D543" s="67" t="str">
        <v/>
      </c>
      <c r="E543" s="67" t="str">
        <v/>
      </c>
      <c r="F543" s="67" t="str">
        <v/>
      </c>
      <c r="G543" s="67" t="str">
        <v/>
      </c>
      <c r="H543" s="67" t="str">
        <v/>
      </c>
      <c r="I543" s="67" t="str">
        <v/>
      </c>
      <c r="J543" s="67" t="str">
        <v/>
      </c>
      <c r="K543" s="68" t="str">
        <v/>
      </c>
    </row>
    <row r="544" spans="2:11">
      <c r="B544" s="66" t="str">
        <v/>
      </c>
      <c r="C544" s="67" t="str">
        <v/>
      </c>
      <c r="D544" s="67" t="str">
        <v/>
      </c>
      <c r="E544" s="67" t="str">
        <v/>
      </c>
      <c r="F544" s="67" t="str">
        <v/>
      </c>
      <c r="G544" s="67" t="str">
        <v/>
      </c>
      <c r="H544" s="67" t="str">
        <v/>
      </c>
      <c r="I544" s="67" t="str">
        <v/>
      </c>
      <c r="J544" s="67" t="str">
        <v/>
      </c>
      <c r="K544" s="68" t="str">
        <v/>
      </c>
    </row>
    <row r="545" spans="2:11">
      <c r="B545" s="66" t="str">
        <v/>
      </c>
      <c r="C545" s="67" t="str">
        <v/>
      </c>
      <c r="D545" s="67" t="str">
        <v/>
      </c>
      <c r="E545" s="67" t="str">
        <v/>
      </c>
      <c r="F545" s="67" t="str">
        <v/>
      </c>
      <c r="G545" s="67" t="str">
        <v/>
      </c>
      <c r="H545" s="67" t="str">
        <v/>
      </c>
      <c r="I545" s="67" t="str">
        <v/>
      </c>
      <c r="J545" s="67" t="str">
        <v/>
      </c>
      <c r="K545" s="68" t="str">
        <v/>
      </c>
    </row>
    <row r="546" spans="2:11">
      <c r="B546" s="66" t="str">
        <v/>
      </c>
      <c r="C546" s="67" t="str">
        <v/>
      </c>
      <c r="D546" s="67" t="str">
        <v/>
      </c>
      <c r="E546" s="67" t="str">
        <v/>
      </c>
      <c r="F546" s="67" t="str">
        <v/>
      </c>
      <c r="G546" s="67" t="str">
        <v/>
      </c>
      <c r="H546" s="67" t="str">
        <v/>
      </c>
      <c r="I546" s="67" t="str">
        <v/>
      </c>
      <c r="J546" s="67" t="str">
        <v/>
      </c>
      <c r="K546" s="68" t="str">
        <v/>
      </c>
    </row>
    <row r="547" spans="2:11">
      <c r="B547" s="66" t="str">
        <v/>
      </c>
      <c r="C547" s="67" t="str">
        <v/>
      </c>
      <c r="D547" s="67" t="str">
        <v/>
      </c>
      <c r="E547" s="67" t="str">
        <v/>
      </c>
      <c r="F547" s="67" t="str">
        <v/>
      </c>
      <c r="G547" s="67" t="str">
        <v/>
      </c>
      <c r="H547" s="67" t="str">
        <v/>
      </c>
      <c r="I547" s="67" t="str">
        <v/>
      </c>
      <c r="J547" s="67" t="str">
        <v/>
      </c>
      <c r="K547" s="68" t="str">
        <v/>
      </c>
    </row>
    <row r="548" spans="2:11">
      <c r="B548" s="66" t="str">
        <v/>
      </c>
      <c r="C548" s="67" t="str">
        <v/>
      </c>
      <c r="D548" s="67" t="str">
        <v/>
      </c>
      <c r="E548" s="67" t="str">
        <v/>
      </c>
      <c r="F548" s="67" t="str">
        <v/>
      </c>
      <c r="G548" s="67" t="str">
        <v/>
      </c>
      <c r="H548" s="67" t="str">
        <v/>
      </c>
      <c r="I548" s="67" t="str">
        <v/>
      </c>
      <c r="J548" s="67" t="str">
        <v/>
      </c>
      <c r="K548" s="68" t="str">
        <v/>
      </c>
    </row>
    <row r="549" spans="2:11">
      <c r="B549" s="66" t="str">
        <v/>
      </c>
      <c r="C549" s="67" t="str">
        <v/>
      </c>
      <c r="D549" s="67" t="str">
        <v/>
      </c>
      <c r="E549" s="67" t="str">
        <v/>
      </c>
      <c r="F549" s="67" t="str">
        <v/>
      </c>
      <c r="G549" s="67" t="str">
        <v/>
      </c>
      <c r="H549" s="67" t="str">
        <v/>
      </c>
      <c r="I549" s="67" t="str">
        <v/>
      </c>
      <c r="J549" s="67" t="str">
        <v/>
      </c>
      <c r="K549" s="68" t="str">
        <v/>
      </c>
    </row>
    <row r="550" spans="2:11">
      <c r="B550" s="66" t="str">
        <v/>
      </c>
      <c r="C550" s="67" t="str">
        <v/>
      </c>
      <c r="D550" s="67" t="str">
        <v/>
      </c>
      <c r="E550" s="67" t="str">
        <v/>
      </c>
      <c r="F550" s="67" t="str">
        <v/>
      </c>
      <c r="G550" s="67" t="str">
        <v/>
      </c>
      <c r="H550" s="67" t="str">
        <v/>
      </c>
      <c r="I550" s="67" t="str">
        <v/>
      </c>
      <c r="J550" s="67" t="str">
        <v/>
      </c>
      <c r="K550" s="68" t="str">
        <v/>
      </c>
    </row>
    <row r="551" spans="2:11">
      <c r="B551" s="66" t="str">
        <v/>
      </c>
      <c r="C551" s="67" t="str">
        <v/>
      </c>
      <c r="D551" s="67" t="str">
        <v/>
      </c>
      <c r="E551" s="67" t="str">
        <v/>
      </c>
      <c r="F551" s="67" t="str">
        <v/>
      </c>
      <c r="G551" s="67" t="str">
        <v/>
      </c>
      <c r="H551" s="67" t="str">
        <v/>
      </c>
      <c r="I551" s="67" t="str">
        <v/>
      </c>
      <c r="J551" s="67" t="str">
        <v/>
      </c>
      <c r="K551" s="68" t="str">
        <v/>
      </c>
    </row>
    <row r="552" spans="2:11">
      <c r="B552" s="66" t="str">
        <v/>
      </c>
      <c r="C552" s="67" t="str">
        <v/>
      </c>
      <c r="D552" s="67" t="str">
        <v/>
      </c>
      <c r="E552" s="67" t="str">
        <v/>
      </c>
      <c r="F552" s="67" t="str">
        <v/>
      </c>
      <c r="G552" s="67" t="str">
        <v/>
      </c>
      <c r="H552" s="67" t="str">
        <v/>
      </c>
      <c r="I552" s="67" t="str">
        <v/>
      </c>
      <c r="J552" s="67" t="str">
        <v/>
      </c>
      <c r="K552" s="68" t="str">
        <v/>
      </c>
    </row>
    <row r="553" spans="2:11">
      <c r="B553" s="66" t="str">
        <v/>
      </c>
      <c r="C553" s="67" t="str">
        <v/>
      </c>
      <c r="D553" s="67" t="str">
        <v/>
      </c>
      <c r="E553" s="67" t="str">
        <v/>
      </c>
      <c r="F553" s="67" t="str">
        <v/>
      </c>
      <c r="G553" s="67" t="str">
        <v/>
      </c>
      <c r="H553" s="67" t="str">
        <v/>
      </c>
      <c r="I553" s="67" t="str">
        <v/>
      </c>
      <c r="J553" s="67" t="str">
        <v/>
      </c>
      <c r="K553" s="68" t="str">
        <v/>
      </c>
    </row>
    <row r="554" spans="2:11">
      <c r="B554" s="66" t="str">
        <v/>
      </c>
      <c r="C554" s="67" t="str">
        <v/>
      </c>
      <c r="D554" s="67" t="str">
        <v/>
      </c>
      <c r="E554" s="67" t="str">
        <v/>
      </c>
      <c r="F554" s="67" t="str">
        <v/>
      </c>
      <c r="G554" s="67" t="str">
        <v/>
      </c>
      <c r="H554" s="67" t="str">
        <v/>
      </c>
      <c r="I554" s="67" t="str">
        <v/>
      </c>
      <c r="J554" s="67" t="str">
        <v/>
      </c>
      <c r="K554" s="68" t="str">
        <v/>
      </c>
    </row>
    <row r="555" spans="2:11">
      <c r="B555" s="66" t="str">
        <v/>
      </c>
      <c r="C555" s="67" t="str">
        <v/>
      </c>
      <c r="D555" s="67" t="str">
        <v/>
      </c>
      <c r="E555" s="67" t="str">
        <v/>
      </c>
      <c r="F555" s="67" t="str">
        <v/>
      </c>
      <c r="G555" s="67" t="str">
        <v/>
      </c>
      <c r="H555" s="67" t="str">
        <v/>
      </c>
      <c r="I555" s="67" t="str">
        <v/>
      </c>
      <c r="J555" s="67" t="str">
        <v/>
      </c>
      <c r="K555" s="68" t="str">
        <v/>
      </c>
    </row>
    <row r="556" spans="2:11">
      <c r="B556" s="66" t="str">
        <v/>
      </c>
      <c r="C556" s="67" t="str">
        <v/>
      </c>
      <c r="D556" s="67" t="str">
        <v/>
      </c>
      <c r="E556" s="67" t="str">
        <v/>
      </c>
      <c r="F556" s="67" t="str">
        <v/>
      </c>
      <c r="G556" s="67" t="str">
        <v/>
      </c>
      <c r="H556" s="67" t="str">
        <v/>
      </c>
      <c r="I556" s="67" t="str">
        <v/>
      </c>
      <c r="J556" s="67" t="str">
        <v/>
      </c>
      <c r="K556" s="68" t="str">
        <v/>
      </c>
    </row>
    <row r="557" spans="2:11">
      <c r="B557" s="66" t="str">
        <v/>
      </c>
      <c r="C557" s="67" t="str">
        <v/>
      </c>
      <c r="D557" s="67" t="str">
        <v/>
      </c>
      <c r="E557" s="67" t="str">
        <v/>
      </c>
      <c r="F557" s="67" t="str">
        <v/>
      </c>
      <c r="G557" s="67" t="str">
        <v/>
      </c>
      <c r="H557" s="67" t="str">
        <v/>
      </c>
      <c r="I557" s="67" t="str">
        <v/>
      </c>
      <c r="J557" s="67" t="str">
        <v/>
      </c>
      <c r="K557" s="68" t="str">
        <v/>
      </c>
    </row>
    <row r="558" spans="2:11">
      <c r="B558" s="66" t="str">
        <v/>
      </c>
      <c r="C558" s="67" t="str">
        <v/>
      </c>
      <c r="D558" s="67" t="str">
        <v/>
      </c>
      <c r="E558" s="67" t="str">
        <v/>
      </c>
      <c r="F558" s="67" t="str">
        <v/>
      </c>
      <c r="G558" s="67" t="str">
        <v/>
      </c>
      <c r="H558" s="67" t="str">
        <v/>
      </c>
      <c r="I558" s="67" t="str">
        <v/>
      </c>
      <c r="J558" s="67" t="str">
        <v/>
      </c>
      <c r="K558" s="68" t="str">
        <v/>
      </c>
    </row>
    <row r="559" spans="2:11">
      <c r="B559" s="66" t="str">
        <v/>
      </c>
      <c r="C559" s="67" t="str">
        <v/>
      </c>
      <c r="D559" s="67" t="str">
        <v/>
      </c>
      <c r="E559" s="67" t="str">
        <v/>
      </c>
      <c r="F559" s="67" t="str">
        <v/>
      </c>
      <c r="G559" s="67" t="str">
        <v/>
      </c>
      <c r="H559" s="67" t="str">
        <v/>
      </c>
      <c r="I559" s="67" t="str">
        <v/>
      </c>
      <c r="J559" s="67" t="str">
        <v/>
      </c>
      <c r="K559" s="68" t="str">
        <v/>
      </c>
    </row>
    <row r="560" spans="2:11">
      <c r="B560" s="66" t="str">
        <v/>
      </c>
      <c r="C560" s="67" t="str">
        <v/>
      </c>
      <c r="D560" s="67" t="str">
        <v/>
      </c>
      <c r="E560" s="67" t="str">
        <v/>
      </c>
      <c r="F560" s="67" t="str">
        <v/>
      </c>
      <c r="G560" s="67" t="str">
        <v/>
      </c>
      <c r="H560" s="67" t="str">
        <v/>
      </c>
      <c r="I560" s="67" t="str">
        <v/>
      </c>
      <c r="J560" s="67" t="str">
        <v/>
      </c>
      <c r="K560" s="68" t="str">
        <v/>
      </c>
    </row>
    <row r="561" spans="2:11">
      <c r="B561" s="66" t="str">
        <v/>
      </c>
      <c r="C561" s="67" t="str">
        <v/>
      </c>
      <c r="D561" s="67" t="str">
        <v/>
      </c>
      <c r="E561" s="67" t="str">
        <v/>
      </c>
      <c r="F561" s="67" t="str">
        <v/>
      </c>
      <c r="G561" s="67" t="str">
        <v/>
      </c>
      <c r="H561" s="67" t="str">
        <v/>
      </c>
      <c r="I561" s="67" t="str">
        <v/>
      </c>
      <c r="J561" s="67" t="str">
        <v/>
      </c>
      <c r="K561" s="68" t="str">
        <v/>
      </c>
    </row>
    <row r="562" spans="2:11">
      <c r="B562" s="66" t="str">
        <v/>
      </c>
      <c r="C562" s="67" t="str">
        <v/>
      </c>
      <c r="D562" s="67" t="str">
        <v/>
      </c>
      <c r="E562" s="67" t="str">
        <v/>
      </c>
      <c r="F562" s="67" t="str">
        <v/>
      </c>
      <c r="G562" s="67" t="str">
        <v/>
      </c>
      <c r="H562" s="67" t="str">
        <v/>
      </c>
      <c r="I562" s="67" t="str">
        <v/>
      </c>
      <c r="J562" s="67" t="str">
        <v/>
      </c>
      <c r="K562" s="68" t="str">
        <v/>
      </c>
    </row>
    <row r="563" spans="2:11">
      <c r="B563" s="66" t="str">
        <v/>
      </c>
      <c r="C563" s="67" t="str">
        <v/>
      </c>
      <c r="D563" s="67" t="str">
        <v/>
      </c>
      <c r="E563" s="67" t="str">
        <v/>
      </c>
      <c r="F563" s="67" t="str">
        <v/>
      </c>
      <c r="G563" s="67" t="str">
        <v/>
      </c>
      <c r="H563" s="67" t="str">
        <v/>
      </c>
      <c r="I563" s="67" t="str">
        <v/>
      </c>
      <c r="J563" s="67" t="str">
        <v/>
      </c>
      <c r="K563" s="68" t="str">
        <v/>
      </c>
    </row>
    <row r="564" spans="2:11">
      <c r="B564" s="66" t="str">
        <v/>
      </c>
      <c r="C564" s="67" t="str">
        <v/>
      </c>
      <c r="D564" s="67" t="str">
        <v/>
      </c>
      <c r="E564" s="67" t="str">
        <v/>
      </c>
      <c r="F564" s="67" t="str">
        <v/>
      </c>
      <c r="G564" s="67" t="str">
        <v/>
      </c>
      <c r="H564" s="67" t="str">
        <v/>
      </c>
      <c r="I564" s="67" t="str">
        <v/>
      </c>
      <c r="J564" s="67" t="str">
        <v/>
      </c>
      <c r="K564" s="68" t="str">
        <v/>
      </c>
    </row>
    <row r="565" spans="2:11">
      <c r="B565" s="66" t="str">
        <v/>
      </c>
      <c r="C565" s="67" t="str">
        <v/>
      </c>
      <c r="D565" s="67" t="str">
        <v/>
      </c>
      <c r="E565" s="67" t="str">
        <v/>
      </c>
      <c r="F565" s="67" t="str">
        <v/>
      </c>
      <c r="G565" s="67" t="str">
        <v/>
      </c>
      <c r="H565" s="67" t="str">
        <v/>
      </c>
      <c r="I565" s="67" t="str">
        <v/>
      </c>
      <c r="J565" s="67" t="str">
        <v/>
      </c>
      <c r="K565" s="68" t="str">
        <v/>
      </c>
    </row>
    <row r="566" spans="2:11">
      <c r="B566" s="66" t="str">
        <v/>
      </c>
      <c r="C566" s="67" t="str">
        <v/>
      </c>
      <c r="D566" s="67" t="str">
        <v/>
      </c>
      <c r="E566" s="67" t="str">
        <v/>
      </c>
      <c r="F566" s="67" t="str">
        <v/>
      </c>
      <c r="G566" s="67" t="str">
        <v/>
      </c>
      <c r="H566" s="67" t="str">
        <v/>
      </c>
      <c r="I566" s="67" t="str">
        <v/>
      </c>
      <c r="J566" s="67" t="str">
        <v/>
      </c>
      <c r="K566" s="68" t="str">
        <v/>
      </c>
    </row>
    <row r="567" spans="2:11">
      <c r="B567" s="66" t="str">
        <v/>
      </c>
      <c r="C567" s="67" t="str">
        <v/>
      </c>
      <c r="D567" s="67" t="str">
        <v/>
      </c>
      <c r="E567" s="67" t="str">
        <v/>
      </c>
      <c r="F567" s="67" t="str">
        <v/>
      </c>
      <c r="G567" s="67" t="str">
        <v/>
      </c>
      <c r="H567" s="67" t="str">
        <v/>
      </c>
      <c r="I567" s="67" t="str">
        <v/>
      </c>
      <c r="J567" s="67" t="str">
        <v/>
      </c>
      <c r="K567" s="68" t="str">
        <v/>
      </c>
    </row>
    <row r="568" spans="2:11">
      <c r="B568" s="66" t="str">
        <v/>
      </c>
      <c r="C568" s="67" t="str">
        <v/>
      </c>
      <c r="D568" s="67" t="str">
        <v/>
      </c>
      <c r="E568" s="67" t="str">
        <v/>
      </c>
      <c r="F568" s="67" t="str">
        <v/>
      </c>
      <c r="G568" s="67" t="str">
        <v/>
      </c>
      <c r="H568" s="67" t="str">
        <v/>
      </c>
      <c r="I568" s="67" t="str">
        <v/>
      </c>
      <c r="J568" s="67" t="str">
        <v/>
      </c>
      <c r="K568" s="68" t="str">
        <v/>
      </c>
    </row>
    <row r="569" spans="2:11">
      <c r="B569" s="66" t="str">
        <v/>
      </c>
      <c r="C569" s="67" t="str">
        <v/>
      </c>
      <c r="D569" s="67" t="str">
        <v/>
      </c>
      <c r="E569" s="67" t="str">
        <v/>
      </c>
      <c r="F569" s="67" t="str">
        <v/>
      </c>
      <c r="G569" s="67" t="str">
        <v/>
      </c>
      <c r="H569" s="67" t="str">
        <v/>
      </c>
      <c r="I569" s="67" t="str">
        <v/>
      </c>
      <c r="J569" s="67" t="str">
        <v/>
      </c>
      <c r="K569" s="68" t="str">
        <v/>
      </c>
    </row>
    <row r="570" spans="2:11">
      <c r="B570" s="66" t="str">
        <v/>
      </c>
      <c r="C570" s="67" t="str">
        <v/>
      </c>
      <c r="D570" s="67" t="str">
        <v/>
      </c>
      <c r="E570" s="67" t="str">
        <v/>
      </c>
      <c r="F570" s="67" t="str">
        <v/>
      </c>
      <c r="G570" s="67" t="str">
        <v/>
      </c>
      <c r="H570" s="67" t="str">
        <v/>
      </c>
      <c r="I570" s="67" t="str">
        <v/>
      </c>
      <c r="J570" s="67" t="str">
        <v/>
      </c>
      <c r="K570" s="68" t="str">
        <v/>
      </c>
    </row>
    <row r="571" spans="2:11">
      <c r="B571" s="66" t="str">
        <v/>
      </c>
      <c r="C571" s="67" t="str">
        <v/>
      </c>
      <c r="D571" s="67" t="str">
        <v/>
      </c>
      <c r="E571" s="67" t="str">
        <v/>
      </c>
      <c r="F571" s="67" t="str">
        <v/>
      </c>
      <c r="G571" s="67" t="str">
        <v/>
      </c>
      <c r="H571" s="67" t="str">
        <v/>
      </c>
      <c r="I571" s="67" t="str">
        <v/>
      </c>
      <c r="J571" s="67" t="str">
        <v/>
      </c>
      <c r="K571" s="68" t="str">
        <v/>
      </c>
    </row>
    <row r="572" spans="2:11">
      <c r="B572" s="66" t="str">
        <v/>
      </c>
      <c r="C572" s="67" t="str">
        <v/>
      </c>
      <c r="D572" s="67" t="str">
        <v/>
      </c>
      <c r="E572" s="67" t="str">
        <v/>
      </c>
      <c r="F572" s="67" t="str">
        <v/>
      </c>
      <c r="G572" s="67" t="str">
        <v/>
      </c>
      <c r="H572" s="67" t="str">
        <v/>
      </c>
      <c r="I572" s="67" t="str">
        <v/>
      </c>
      <c r="J572" s="67" t="str">
        <v/>
      </c>
      <c r="K572" s="68" t="str">
        <v/>
      </c>
    </row>
    <row r="573" spans="2:11">
      <c r="B573" s="66" t="str">
        <v/>
      </c>
      <c r="C573" s="67" t="str">
        <v/>
      </c>
      <c r="D573" s="67" t="str">
        <v/>
      </c>
      <c r="E573" s="67" t="str">
        <v/>
      </c>
      <c r="F573" s="67" t="str">
        <v/>
      </c>
      <c r="G573" s="67" t="str">
        <v/>
      </c>
      <c r="H573" s="67" t="str">
        <v/>
      </c>
      <c r="I573" s="67" t="str">
        <v/>
      </c>
      <c r="J573" s="67" t="str">
        <v/>
      </c>
      <c r="K573" s="68" t="str">
        <v/>
      </c>
    </row>
    <row r="574" spans="2:11">
      <c r="B574" s="66" t="str">
        <v/>
      </c>
      <c r="C574" s="67" t="str">
        <v/>
      </c>
      <c r="D574" s="67" t="str">
        <v/>
      </c>
      <c r="E574" s="67" t="str">
        <v/>
      </c>
      <c r="F574" s="67" t="str">
        <v/>
      </c>
      <c r="G574" s="67" t="str">
        <v/>
      </c>
      <c r="H574" s="67" t="str">
        <v/>
      </c>
      <c r="I574" s="67" t="str">
        <v/>
      </c>
      <c r="J574" s="67" t="str">
        <v/>
      </c>
      <c r="K574" s="68" t="str">
        <v/>
      </c>
    </row>
    <row r="575" spans="2:11">
      <c r="B575" s="66" t="str">
        <v/>
      </c>
      <c r="C575" s="67" t="str">
        <v/>
      </c>
      <c r="D575" s="67" t="str">
        <v/>
      </c>
      <c r="E575" s="67" t="str">
        <v/>
      </c>
      <c r="F575" s="67" t="str">
        <v/>
      </c>
      <c r="G575" s="67" t="str">
        <v/>
      </c>
      <c r="H575" s="67" t="str">
        <v/>
      </c>
      <c r="I575" s="67" t="str">
        <v/>
      </c>
      <c r="J575" s="67" t="str">
        <v/>
      </c>
      <c r="K575" s="68" t="str">
        <v/>
      </c>
    </row>
    <row r="576" spans="2:11">
      <c r="B576" s="66" t="str">
        <v/>
      </c>
      <c r="C576" s="67" t="str">
        <v/>
      </c>
      <c r="D576" s="67" t="str">
        <v/>
      </c>
      <c r="E576" s="67" t="str">
        <v/>
      </c>
      <c r="F576" s="67" t="str">
        <v/>
      </c>
      <c r="G576" s="67" t="str">
        <v/>
      </c>
      <c r="H576" s="67" t="str">
        <v/>
      </c>
      <c r="I576" s="67" t="str">
        <v/>
      </c>
      <c r="J576" s="67" t="str">
        <v/>
      </c>
      <c r="K576" s="68" t="str">
        <v/>
      </c>
    </row>
    <row r="577" spans="2:11">
      <c r="B577" s="66" t="str">
        <v/>
      </c>
      <c r="C577" s="67" t="str">
        <v/>
      </c>
      <c r="D577" s="67" t="str">
        <v/>
      </c>
      <c r="E577" s="67" t="str">
        <v/>
      </c>
      <c r="F577" s="67" t="str">
        <v/>
      </c>
      <c r="G577" s="67" t="str">
        <v/>
      </c>
      <c r="H577" s="67" t="str">
        <v/>
      </c>
      <c r="I577" s="67" t="str">
        <v/>
      </c>
      <c r="J577" s="67" t="str">
        <v/>
      </c>
      <c r="K577" s="68" t="str">
        <v/>
      </c>
    </row>
    <row r="578" spans="2:11">
      <c r="B578" s="66" t="str">
        <v/>
      </c>
      <c r="C578" s="67" t="str">
        <v/>
      </c>
      <c r="D578" s="67" t="str">
        <v/>
      </c>
      <c r="E578" s="67" t="str">
        <v/>
      </c>
      <c r="F578" s="67" t="str">
        <v/>
      </c>
      <c r="G578" s="67" t="str">
        <v/>
      </c>
      <c r="H578" s="67" t="str">
        <v/>
      </c>
      <c r="I578" s="67" t="str">
        <v/>
      </c>
      <c r="J578" s="67" t="str">
        <v/>
      </c>
      <c r="K578" s="68" t="str">
        <v/>
      </c>
    </row>
    <row r="579" spans="2:11">
      <c r="B579" s="66" t="str">
        <v/>
      </c>
      <c r="C579" s="67" t="str">
        <v/>
      </c>
      <c r="D579" s="67" t="str">
        <v/>
      </c>
      <c r="E579" s="67" t="str">
        <v/>
      </c>
      <c r="F579" s="67" t="str">
        <v/>
      </c>
      <c r="G579" s="67" t="str">
        <v/>
      </c>
      <c r="H579" s="67" t="str">
        <v/>
      </c>
      <c r="I579" s="67" t="str">
        <v/>
      </c>
      <c r="J579" s="67" t="str">
        <v/>
      </c>
      <c r="K579" s="68" t="str">
        <v/>
      </c>
    </row>
    <row r="580" spans="2:11">
      <c r="B580" s="66" t="str">
        <v/>
      </c>
      <c r="C580" s="67" t="str">
        <v/>
      </c>
      <c r="D580" s="67" t="str">
        <v/>
      </c>
      <c r="E580" s="67" t="str">
        <v/>
      </c>
      <c r="F580" s="67" t="str">
        <v/>
      </c>
      <c r="G580" s="67" t="str">
        <v/>
      </c>
      <c r="H580" s="67" t="str">
        <v/>
      </c>
      <c r="I580" s="67" t="str">
        <v/>
      </c>
      <c r="J580" s="67" t="str">
        <v/>
      </c>
      <c r="K580" s="68" t="str">
        <v/>
      </c>
    </row>
    <row r="581" spans="2:11">
      <c r="B581" s="66" t="str">
        <v/>
      </c>
      <c r="C581" s="67" t="str">
        <v/>
      </c>
      <c r="D581" s="67" t="str">
        <v/>
      </c>
      <c r="E581" s="67" t="str">
        <v/>
      </c>
      <c r="F581" s="67" t="str">
        <v/>
      </c>
      <c r="G581" s="67" t="str">
        <v/>
      </c>
      <c r="H581" s="67" t="str">
        <v/>
      </c>
      <c r="I581" s="67" t="str">
        <v/>
      </c>
      <c r="J581" s="67" t="str">
        <v/>
      </c>
      <c r="K581" s="68" t="str">
        <v/>
      </c>
    </row>
    <row r="582" spans="2:11">
      <c r="B582" s="66" t="str">
        <v/>
      </c>
      <c r="C582" s="67" t="str">
        <v/>
      </c>
      <c r="D582" s="67" t="str">
        <v/>
      </c>
      <c r="E582" s="67" t="str">
        <v/>
      </c>
      <c r="F582" s="67" t="str">
        <v/>
      </c>
      <c r="G582" s="67" t="str">
        <v/>
      </c>
      <c r="H582" s="67" t="str">
        <v/>
      </c>
      <c r="I582" s="67" t="str">
        <v/>
      </c>
      <c r="J582" s="67" t="str">
        <v/>
      </c>
      <c r="K582" s="68" t="str">
        <v/>
      </c>
    </row>
    <row r="583" spans="2:11">
      <c r="B583" s="66" t="str">
        <v/>
      </c>
      <c r="C583" s="67" t="str">
        <v/>
      </c>
      <c r="D583" s="67" t="str">
        <v/>
      </c>
      <c r="E583" s="67" t="str">
        <v/>
      </c>
      <c r="F583" s="67" t="str">
        <v/>
      </c>
      <c r="G583" s="67" t="str">
        <v/>
      </c>
      <c r="H583" s="67" t="str">
        <v/>
      </c>
      <c r="I583" s="67" t="str">
        <v/>
      </c>
      <c r="J583" s="67" t="str">
        <v/>
      </c>
      <c r="K583" s="68" t="str">
        <v/>
      </c>
    </row>
    <row r="584" spans="2:11">
      <c r="B584" s="66" t="str">
        <v/>
      </c>
      <c r="C584" s="67" t="str">
        <v/>
      </c>
      <c r="D584" s="67" t="str">
        <v/>
      </c>
      <c r="E584" s="67" t="str">
        <v/>
      </c>
      <c r="F584" s="67" t="str">
        <v/>
      </c>
      <c r="G584" s="67" t="str">
        <v/>
      </c>
      <c r="H584" s="67" t="str">
        <v/>
      </c>
      <c r="I584" s="67" t="str">
        <v/>
      </c>
      <c r="J584" s="67" t="str">
        <v/>
      </c>
      <c r="K584" s="68" t="str">
        <v/>
      </c>
    </row>
    <row r="585" spans="2:11">
      <c r="B585" s="66" t="str">
        <v/>
      </c>
      <c r="C585" s="67" t="str">
        <v/>
      </c>
      <c r="D585" s="67" t="str">
        <v/>
      </c>
      <c r="E585" s="67" t="str">
        <v/>
      </c>
      <c r="F585" s="67" t="str">
        <v/>
      </c>
      <c r="G585" s="67" t="str">
        <v/>
      </c>
      <c r="H585" s="67" t="str">
        <v/>
      </c>
      <c r="I585" s="67" t="str">
        <v/>
      </c>
      <c r="J585" s="67" t="str">
        <v/>
      </c>
      <c r="K585" s="68" t="str">
        <v/>
      </c>
    </row>
    <row r="586" spans="2:11">
      <c r="B586" s="66" t="str">
        <v/>
      </c>
      <c r="C586" s="67" t="str">
        <v/>
      </c>
      <c r="D586" s="67" t="str">
        <v/>
      </c>
      <c r="E586" s="67" t="str">
        <v/>
      </c>
      <c r="F586" s="67" t="str">
        <v/>
      </c>
      <c r="G586" s="67" t="str">
        <v/>
      </c>
      <c r="H586" s="67" t="str">
        <v/>
      </c>
      <c r="I586" s="67" t="str">
        <v/>
      </c>
      <c r="J586" s="67" t="str">
        <v/>
      </c>
      <c r="K586" s="68" t="str">
        <v/>
      </c>
    </row>
    <row r="587" spans="2:11">
      <c r="B587" s="66" t="str">
        <v/>
      </c>
      <c r="C587" s="67" t="str">
        <v/>
      </c>
      <c r="D587" s="67" t="str">
        <v/>
      </c>
      <c r="E587" s="67" t="str">
        <v/>
      </c>
      <c r="F587" s="67" t="str">
        <v/>
      </c>
      <c r="G587" s="67" t="str">
        <v/>
      </c>
      <c r="H587" s="67" t="str">
        <v/>
      </c>
      <c r="I587" s="67" t="str">
        <v/>
      </c>
      <c r="J587" s="67" t="str">
        <v/>
      </c>
      <c r="K587" s="68" t="str">
        <v/>
      </c>
    </row>
    <row r="588" spans="2:11">
      <c r="B588" s="66" t="str">
        <v/>
      </c>
      <c r="C588" s="67" t="str">
        <v/>
      </c>
      <c r="D588" s="67" t="str">
        <v/>
      </c>
      <c r="E588" s="67" t="str">
        <v/>
      </c>
      <c r="F588" s="67" t="str">
        <v/>
      </c>
      <c r="G588" s="67" t="str">
        <v/>
      </c>
      <c r="H588" s="67" t="str">
        <v/>
      </c>
      <c r="I588" s="67" t="str">
        <v/>
      </c>
      <c r="J588" s="67" t="str">
        <v/>
      </c>
      <c r="K588" s="68" t="str">
        <v/>
      </c>
    </row>
    <row r="589" spans="2:11">
      <c r="B589" s="66" t="str">
        <v/>
      </c>
      <c r="C589" s="67" t="str">
        <v/>
      </c>
      <c r="D589" s="67" t="str">
        <v/>
      </c>
      <c r="E589" s="67" t="str">
        <v/>
      </c>
      <c r="F589" s="67" t="str">
        <v/>
      </c>
      <c r="G589" s="67" t="str">
        <v/>
      </c>
      <c r="H589" s="67" t="str">
        <v/>
      </c>
      <c r="I589" s="67" t="str">
        <v/>
      </c>
      <c r="J589" s="67" t="str">
        <v/>
      </c>
      <c r="K589" s="68" t="str">
        <v/>
      </c>
    </row>
    <row r="590" spans="2:11">
      <c r="B590" s="66" t="str">
        <v/>
      </c>
      <c r="C590" s="67" t="str">
        <v/>
      </c>
      <c r="D590" s="67" t="str">
        <v/>
      </c>
      <c r="E590" s="67" t="str">
        <v/>
      </c>
      <c r="F590" s="67" t="str">
        <v/>
      </c>
      <c r="G590" s="67" t="str">
        <v/>
      </c>
      <c r="H590" s="67" t="str">
        <v/>
      </c>
      <c r="I590" s="67" t="str">
        <v/>
      </c>
      <c r="J590" s="67" t="str">
        <v/>
      </c>
      <c r="K590" s="68" t="str">
        <v/>
      </c>
    </row>
    <row r="591" spans="2:11">
      <c r="B591" s="66" t="str">
        <v/>
      </c>
      <c r="C591" s="67" t="str">
        <v/>
      </c>
      <c r="D591" s="67" t="str">
        <v/>
      </c>
      <c r="E591" s="67" t="str">
        <v/>
      </c>
      <c r="F591" s="67" t="str">
        <v/>
      </c>
      <c r="G591" s="67" t="str">
        <v/>
      </c>
      <c r="H591" s="67" t="str">
        <v/>
      </c>
      <c r="I591" s="67" t="str">
        <v/>
      </c>
      <c r="J591" s="67" t="str">
        <v/>
      </c>
      <c r="K591" s="68" t="str">
        <v/>
      </c>
    </row>
    <row r="592" spans="2:11">
      <c r="B592" s="66" t="str">
        <v/>
      </c>
      <c r="C592" s="67" t="str">
        <v/>
      </c>
      <c r="D592" s="67" t="str">
        <v/>
      </c>
      <c r="E592" s="67" t="str">
        <v/>
      </c>
      <c r="F592" s="67" t="str">
        <v/>
      </c>
      <c r="G592" s="67" t="str">
        <v/>
      </c>
      <c r="H592" s="67" t="str">
        <v/>
      </c>
      <c r="I592" s="67" t="str">
        <v/>
      </c>
      <c r="J592" s="67" t="str">
        <v/>
      </c>
      <c r="K592" s="68" t="str">
        <v/>
      </c>
    </row>
    <row r="593" spans="2:11">
      <c r="B593" s="66" t="str">
        <v/>
      </c>
      <c r="C593" s="67" t="str">
        <v/>
      </c>
      <c r="D593" s="67" t="str">
        <v/>
      </c>
      <c r="E593" s="67" t="str">
        <v/>
      </c>
      <c r="F593" s="67" t="str">
        <v/>
      </c>
      <c r="G593" s="67" t="str">
        <v/>
      </c>
      <c r="H593" s="67" t="str">
        <v/>
      </c>
      <c r="I593" s="67" t="str">
        <v/>
      </c>
      <c r="J593" s="67" t="str">
        <v/>
      </c>
      <c r="K593" s="68" t="str">
        <v/>
      </c>
    </row>
    <row r="594" spans="2:11">
      <c r="B594" s="66" t="str">
        <v/>
      </c>
      <c r="C594" s="67" t="str">
        <v/>
      </c>
      <c r="D594" s="67" t="str">
        <v/>
      </c>
      <c r="E594" s="67" t="str">
        <v/>
      </c>
      <c r="F594" s="67" t="str">
        <v/>
      </c>
      <c r="G594" s="67" t="str">
        <v/>
      </c>
      <c r="H594" s="67" t="str">
        <v/>
      </c>
      <c r="I594" s="67" t="str">
        <v/>
      </c>
      <c r="J594" s="67" t="str">
        <v/>
      </c>
      <c r="K594" s="68" t="str">
        <v/>
      </c>
    </row>
    <row r="595" spans="2:11">
      <c r="B595" s="66" t="str">
        <v/>
      </c>
      <c r="C595" s="67" t="str">
        <v/>
      </c>
      <c r="D595" s="67" t="str">
        <v/>
      </c>
      <c r="E595" s="67" t="str">
        <v/>
      </c>
      <c r="F595" s="67" t="str">
        <v/>
      </c>
      <c r="G595" s="67" t="str">
        <v/>
      </c>
      <c r="H595" s="67" t="str">
        <v/>
      </c>
      <c r="I595" s="67" t="str">
        <v/>
      </c>
      <c r="J595" s="67" t="str">
        <v/>
      </c>
      <c r="K595" s="68" t="str">
        <v/>
      </c>
    </row>
    <row r="596" spans="2:11">
      <c r="B596" s="66" t="str">
        <v/>
      </c>
      <c r="C596" s="67" t="str">
        <v/>
      </c>
      <c r="D596" s="67" t="str">
        <v/>
      </c>
      <c r="E596" s="67" t="str">
        <v/>
      </c>
      <c r="F596" s="67" t="str">
        <v/>
      </c>
      <c r="G596" s="67" t="str">
        <v/>
      </c>
      <c r="H596" s="67" t="str">
        <v/>
      </c>
      <c r="I596" s="67" t="str">
        <v/>
      </c>
      <c r="J596" s="67" t="str">
        <v/>
      </c>
      <c r="K596" s="68" t="str">
        <v/>
      </c>
    </row>
    <row r="597" spans="2:11">
      <c r="B597" s="66" t="str">
        <v/>
      </c>
      <c r="C597" s="67" t="str">
        <v/>
      </c>
      <c r="D597" s="67" t="str">
        <v/>
      </c>
      <c r="E597" s="67" t="str">
        <v/>
      </c>
      <c r="F597" s="67" t="str">
        <v/>
      </c>
      <c r="G597" s="67" t="str">
        <v/>
      </c>
      <c r="H597" s="67" t="str">
        <v/>
      </c>
      <c r="I597" s="67" t="str">
        <v/>
      </c>
      <c r="J597" s="67" t="str">
        <v/>
      </c>
      <c r="K597" s="68" t="str">
        <v/>
      </c>
    </row>
    <row r="598" spans="2:11">
      <c r="B598" s="66" t="str">
        <v/>
      </c>
      <c r="C598" s="67" t="str">
        <v/>
      </c>
      <c r="D598" s="67" t="str">
        <v/>
      </c>
      <c r="E598" s="67" t="str">
        <v/>
      </c>
      <c r="F598" s="67" t="str">
        <v/>
      </c>
      <c r="G598" s="67" t="str">
        <v/>
      </c>
      <c r="H598" s="67" t="str">
        <v/>
      </c>
      <c r="I598" s="67" t="str">
        <v/>
      </c>
      <c r="J598" s="67" t="str">
        <v/>
      </c>
      <c r="K598" s="68" t="str">
        <v/>
      </c>
    </row>
    <row r="599" spans="2:11">
      <c r="B599" s="66" t="str">
        <v/>
      </c>
      <c r="C599" s="67" t="str">
        <v/>
      </c>
      <c r="D599" s="67" t="str">
        <v/>
      </c>
      <c r="E599" s="67" t="str">
        <v/>
      </c>
      <c r="F599" s="67" t="str">
        <v/>
      </c>
      <c r="G599" s="67" t="str">
        <v/>
      </c>
      <c r="H599" s="67" t="str">
        <v/>
      </c>
      <c r="I599" s="67" t="str">
        <v/>
      </c>
      <c r="J599" s="67" t="str">
        <v/>
      </c>
      <c r="K599" s="68" t="str">
        <v/>
      </c>
    </row>
    <row r="600" spans="2:11">
      <c r="B600" s="66" t="str">
        <v/>
      </c>
      <c r="C600" s="67" t="str">
        <v/>
      </c>
      <c r="D600" s="67" t="str">
        <v/>
      </c>
      <c r="E600" s="67" t="str">
        <v/>
      </c>
      <c r="F600" s="67" t="str">
        <v/>
      </c>
      <c r="G600" s="67" t="str">
        <v/>
      </c>
      <c r="H600" s="67" t="str">
        <v/>
      </c>
      <c r="I600" s="67" t="str">
        <v/>
      </c>
      <c r="J600" s="67" t="str">
        <v/>
      </c>
      <c r="K600" s="68" t="str">
        <v/>
      </c>
    </row>
    <row r="601" spans="2:11">
      <c r="B601" s="66" t="str">
        <v/>
      </c>
      <c r="C601" s="67" t="str">
        <v/>
      </c>
      <c r="D601" s="67" t="str">
        <v/>
      </c>
      <c r="E601" s="67" t="str">
        <v/>
      </c>
      <c r="F601" s="67" t="str">
        <v/>
      </c>
      <c r="G601" s="67" t="str">
        <v/>
      </c>
      <c r="H601" s="67" t="str">
        <v/>
      </c>
      <c r="I601" s="67" t="str">
        <v/>
      </c>
      <c r="J601" s="67" t="str">
        <v/>
      </c>
      <c r="K601" s="68" t="str">
        <v/>
      </c>
    </row>
    <row r="602" spans="2:11">
      <c r="B602" s="66" t="str">
        <v/>
      </c>
      <c r="C602" s="67" t="str">
        <v/>
      </c>
      <c r="D602" s="67" t="str">
        <v/>
      </c>
      <c r="E602" s="67" t="str">
        <v/>
      </c>
      <c r="F602" s="67" t="str">
        <v/>
      </c>
      <c r="G602" s="67" t="str">
        <v/>
      </c>
      <c r="H602" s="67" t="str">
        <v/>
      </c>
      <c r="I602" s="67" t="str">
        <v/>
      </c>
      <c r="J602" s="67" t="str">
        <v/>
      </c>
      <c r="K602" s="68" t="str">
        <v/>
      </c>
    </row>
    <row r="603" spans="2:11">
      <c r="B603" s="66" t="str">
        <v/>
      </c>
      <c r="C603" s="67" t="str">
        <v/>
      </c>
      <c r="D603" s="67" t="str">
        <v/>
      </c>
      <c r="E603" s="67" t="str">
        <v/>
      </c>
      <c r="F603" s="67" t="str">
        <v/>
      </c>
      <c r="G603" s="67" t="str">
        <v/>
      </c>
      <c r="H603" s="67" t="str">
        <v/>
      </c>
      <c r="I603" s="67" t="str">
        <v/>
      </c>
      <c r="J603" s="67" t="str">
        <v/>
      </c>
      <c r="K603" s="68" t="str">
        <v/>
      </c>
    </row>
    <row r="604" spans="2:11">
      <c r="B604" s="66" t="str">
        <v/>
      </c>
      <c r="C604" s="67" t="str">
        <v/>
      </c>
      <c r="D604" s="67" t="str">
        <v/>
      </c>
      <c r="E604" s="67" t="str">
        <v/>
      </c>
      <c r="F604" s="67" t="str">
        <v/>
      </c>
      <c r="G604" s="67" t="str">
        <v/>
      </c>
      <c r="H604" s="67" t="str">
        <v/>
      </c>
      <c r="I604" s="67" t="str">
        <v/>
      </c>
      <c r="J604" s="67" t="str">
        <v/>
      </c>
      <c r="K604" s="68" t="str">
        <v/>
      </c>
    </row>
    <row r="605" spans="2:11">
      <c r="B605" s="66" t="str">
        <v/>
      </c>
      <c r="C605" s="67" t="str">
        <v/>
      </c>
      <c r="D605" s="67" t="str">
        <v/>
      </c>
      <c r="E605" s="67" t="str">
        <v/>
      </c>
      <c r="F605" s="67" t="str">
        <v/>
      </c>
      <c r="G605" s="67" t="str">
        <v/>
      </c>
      <c r="H605" s="67" t="str">
        <v/>
      </c>
      <c r="I605" s="67" t="str">
        <v/>
      </c>
      <c r="J605" s="67" t="str">
        <v/>
      </c>
      <c r="K605" s="68" t="str">
        <v/>
      </c>
    </row>
    <row r="606" spans="2:11">
      <c r="B606" s="66" t="str">
        <v/>
      </c>
      <c r="C606" s="67" t="str">
        <v/>
      </c>
      <c r="D606" s="67" t="str">
        <v/>
      </c>
      <c r="E606" s="67" t="str">
        <v/>
      </c>
      <c r="F606" s="67" t="str">
        <v/>
      </c>
      <c r="G606" s="67" t="str">
        <v/>
      </c>
      <c r="H606" s="67" t="str">
        <v/>
      </c>
      <c r="I606" s="67" t="str">
        <v/>
      </c>
      <c r="J606" s="67" t="str">
        <v/>
      </c>
      <c r="K606" s="68" t="str">
        <v/>
      </c>
    </row>
    <row r="607" spans="2:11">
      <c r="B607" s="66" t="str">
        <v/>
      </c>
      <c r="C607" s="67" t="str">
        <v/>
      </c>
      <c r="D607" s="67" t="str">
        <v/>
      </c>
      <c r="E607" s="67" t="str">
        <v/>
      </c>
      <c r="F607" s="67" t="str">
        <v/>
      </c>
      <c r="G607" s="67" t="str">
        <v/>
      </c>
      <c r="H607" s="67" t="str">
        <v/>
      </c>
      <c r="I607" s="67" t="str">
        <v/>
      </c>
      <c r="J607" s="67" t="str">
        <v/>
      </c>
      <c r="K607" s="68" t="str">
        <v/>
      </c>
    </row>
    <row r="608" spans="2:11">
      <c r="B608" s="66" t="str">
        <v/>
      </c>
      <c r="C608" s="67" t="str">
        <v/>
      </c>
      <c r="D608" s="67" t="str">
        <v/>
      </c>
      <c r="E608" s="67" t="str">
        <v/>
      </c>
      <c r="F608" s="67" t="str">
        <v/>
      </c>
      <c r="G608" s="67" t="str">
        <v/>
      </c>
      <c r="H608" s="67" t="str">
        <v/>
      </c>
      <c r="I608" s="67" t="str">
        <v/>
      </c>
      <c r="J608" s="67" t="str">
        <v/>
      </c>
      <c r="K608" s="68" t="str">
        <v/>
      </c>
    </row>
    <row r="609" spans="2:11">
      <c r="B609" s="66" t="str">
        <v/>
      </c>
      <c r="C609" s="67" t="str">
        <v/>
      </c>
      <c r="D609" s="67" t="str">
        <v/>
      </c>
      <c r="E609" s="67" t="str">
        <v/>
      </c>
      <c r="F609" s="67" t="str">
        <v/>
      </c>
      <c r="G609" s="67" t="str">
        <v/>
      </c>
      <c r="H609" s="67" t="str">
        <v/>
      </c>
      <c r="I609" s="67" t="str">
        <v/>
      </c>
      <c r="J609" s="67" t="str">
        <v/>
      </c>
      <c r="K609" s="68" t="str">
        <v/>
      </c>
    </row>
    <row r="610" spans="2:11">
      <c r="B610" s="66" t="str">
        <v/>
      </c>
      <c r="C610" s="67" t="str">
        <v/>
      </c>
      <c r="D610" s="67" t="str">
        <v/>
      </c>
      <c r="E610" s="67" t="str">
        <v/>
      </c>
      <c r="F610" s="67" t="str">
        <v/>
      </c>
      <c r="G610" s="67" t="str">
        <v/>
      </c>
      <c r="H610" s="67" t="str">
        <v/>
      </c>
      <c r="I610" s="67" t="str">
        <v/>
      </c>
      <c r="J610" s="67" t="str">
        <v/>
      </c>
      <c r="K610" s="68" t="str">
        <v/>
      </c>
    </row>
    <row r="611" spans="2:11">
      <c r="B611" s="66" t="str">
        <v/>
      </c>
      <c r="C611" s="67" t="str">
        <v/>
      </c>
      <c r="D611" s="67" t="str">
        <v/>
      </c>
      <c r="E611" s="67" t="str">
        <v/>
      </c>
      <c r="F611" s="67" t="str">
        <v/>
      </c>
      <c r="G611" s="67" t="str">
        <v/>
      </c>
      <c r="H611" s="67" t="str">
        <v/>
      </c>
      <c r="I611" s="67" t="str">
        <v/>
      </c>
      <c r="J611" s="67" t="str">
        <v/>
      </c>
      <c r="K611" s="68" t="str">
        <v/>
      </c>
    </row>
    <row r="612" spans="2:11">
      <c r="B612" s="66" t="str">
        <v/>
      </c>
      <c r="C612" s="67" t="str">
        <v/>
      </c>
      <c r="D612" s="67" t="str">
        <v/>
      </c>
      <c r="E612" s="67" t="str">
        <v/>
      </c>
      <c r="F612" s="67" t="str">
        <v/>
      </c>
      <c r="G612" s="67" t="str">
        <v/>
      </c>
      <c r="H612" s="67" t="str">
        <v/>
      </c>
      <c r="I612" s="67" t="str">
        <v/>
      </c>
      <c r="J612" s="67" t="str">
        <v/>
      </c>
      <c r="K612" s="68" t="str">
        <v/>
      </c>
    </row>
    <row r="613" spans="2:11">
      <c r="B613" s="66" t="str">
        <v/>
      </c>
      <c r="C613" s="67" t="str">
        <v/>
      </c>
      <c r="D613" s="67" t="str">
        <v/>
      </c>
      <c r="E613" s="67" t="str">
        <v/>
      </c>
      <c r="F613" s="67" t="str">
        <v/>
      </c>
      <c r="G613" s="67" t="str">
        <v/>
      </c>
      <c r="H613" s="67" t="str">
        <v/>
      </c>
      <c r="I613" s="67" t="str">
        <v/>
      </c>
      <c r="J613" s="67" t="str">
        <v/>
      </c>
      <c r="K613" s="68" t="str">
        <v/>
      </c>
    </row>
    <row r="614" spans="2:11">
      <c r="B614" s="66" t="str">
        <v/>
      </c>
      <c r="C614" s="67" t="str">
        <v/>
      </c>
      <c r="D614" s="67" t="str">
        <v/>
      </c>
      <c r="E614" s="67" t="str">
        <v/>
      </c>
      <c r="F614" s="67" t="str">
        <v/>
      </c>
      <c r="G614" s="67" t="str">
        <v/>
      </c>
      <c r="H614" s="67" t="str">
        <v/>
      </c>
      <c r="I614" s="67" t="str">
        <v/>
      </c>
      <c r="J614" s="67" t="str">
        <v/>
      </c>
      <c r="K614" s="68" t="str">
        <v/>
      </c>
    </row>
    <row r="615" spans="2:11">
      <c r="B615" s="66" t="str">
        <v/>
      </c>
      <c r="C615" s="67" t="str">
        <v/>
      </c>
      <c r="D615" s="67" t="str">
        <v/>
      </c>
      <c r="E615" s="67" t="str">
        <v/>
      </c>
      <c r="F615" s="67" t="str">
        <v/>
      </c>
      <c r="G615" s="67" t="str">
        <v/>
      </c>
      <c r="H615" s="67" t="str">
        <v/>
      </c>
      <c r="I615" s="67" t="str">
        <v/>
      </c>
      <c r="J615" s="67" t="str">
        <v/>
      </c>
      <c r="K615" s="68" t="str">
        <v/>
      </c>
    </row>
    <row r="616" spans="2:11">
      <c r="B616" s="66" t="str">
        <v/>
      </c>
      <c r="C616" s="67" t="str">
        <v/>
      </c>
      <c r="D616" s="67" t="str">
        <v/>
      </c>
      <c r="E616" s="67" t="str">
        <v/>
      </c>
      <c r="F616" s="67" t="str">
        <v/>
      </c>
      <c r="G616" s="67" t="str">
        <v/>
      </c>
      <c r="H616" s="67" t="str">
        <v/>
      </c>
      <c r="I616" s="67" t="str">
        <v/>
      </c>
      <c r="J616" s="67" t="str">
        <v/>
      </c>
      <c r="K616" s="68" t="str">
        <v/>
      </c>
    </row>
    <row r="617" spans="2:11">
      <c r="B617" s="66" t="str">
        <v/>
      </c>
      <c r="C617" s="67" t="str">
        <v/>
      </c>
      <c r="D617" s="67" t="str">
        <v/>
      </c>
      <c r="E617" s="67" t="str">
        <v/>
      </c>
      <c r="F617" s="67" t="str">
        <v/>
      </c>
      <c r="G617" s="67" t="str">
        <v/>
      </c>
      <c r="H617" s="67" t="str">
        <v/>
      </c>
      <c r="I617" s="67" t="str">
        <v/>
      </c>
      <c r="J617" s="67" t="str">
        <v/>
      </c>
      <c r="K617" s="68" t="str">
        <v/>
      </c>
    </row>
    <row r="618" spans="2:11">
      <c r="B618" s="66" t="str">
        <v/>
      </c>
      <c r="C618" s="67" t="str">
        <v/>
      </c>
      <c r="D618" s="67" t="str">
        <v/>
      </c>
      <c r="E618" s="67" t="str">
        <v/>
      </c>
      <c r="F618" s="67" t="str">
        <v/>
      </c>
      <c r="G618" s="67" t="str">
        <v/>
      </c>
      <c r="H618" s="67" t="str">
        <v/>
      </c>
      <c r="I618" s="67" t="str">
        <v/>
      </c>
      <c r="J618" s="67" t="str">
        <v/>
      </c>
      <c r="K618" s="68" t="str">
        <v/>
      </c>
    </row>
    <row r="619" spans="2:11">
      <c r="B619" s="66" t="str">
        <v/>
      </c>
      <c r="C619" s="67" t="str">
        <v/>
      </c>
      <c r="D619" s="67" t="str">
        <v/>
      </c>
      <c r="E619" s="67" t="str">
        <v/>
      </c>
      <c r="F619" s="67" t="str">
        <v/>
      </c>
      <c r="G619" s="67" t="str">
        <v/>
      </c>
      <c r="H619" s="67" t="str">
        <v/>
      </c>
      <c r="I619" s="67" t="str">
        <v/>
      </c>
      <c r="J619" s="67" t="str">
        <v/>
      </c>
      <c r="K619" s="68" t="str">
        <v/>
      </c>
    </row>
    <row r="620" spans="2:11">
      <c r="B620" s="66" t="str">
        <v/>
      </c>
      <c r="C620" s="67" t="str">
        <v/>
      </c>
      <c r="D620" s="67" t="str">
        <v/>
      </c>
      <c r="E620" s="67" t="str">
        <v/>
      </c>
      <c r="F620" s="67" t="str">
        <v/>
      </c>
      <c r="G620" s="67" t="str">
        <v/>
      </c>
      <c r="H620" s="67" t="str">
        <v/>
      </c>
      <c r="I620" s="67" t="str">
        <v/>
      </c>
      <c r="J620" s="67" t="str">
        <v/>
      </c>
      <c r="K620" s="68" t="str">
        <v/>
      </c>
    </row>
    <row r="621" spans="2:11">
      <c r="B621" s="66" t="str">
        <v/>
      </c>
      <c r="C621" s="67" t="str">
        <v/>
      </c>
      <c r="D621" s="67" t="str">
        <v/>
      </c>
      <c r="E621" s="67" t="str">
        <v/>
      </c>
      <c r="F621" s="67" t="str">
        <v/>
      </c>
      <c r="G621" s="67" t="str">
        <v/>
      </c>
      <c r="H621" s="67" t="str">
        <v/>
      </c>
      <c r="I621" s="67" t="str">
        <v/>
      </c>
      <c r="J621" s="67" t="str">
        <v/>
      </c>
      <c r="K621" s="68" t="str">
        <v/>
      </c>
    </row>
    <row r="622" spans="2:11">
      <c r="B622" s="66" t="str">
        <v/>
      </c>
      <c r="C622" s="67" t="str">
        <v/>
      </c>
      <c r="D622" s="67" t="str">
        <v/>
      </c>
      <c r="E622" s="67" t="str">
        <v/>
      </c>
      <c r="F622" s="67" t="str">
        <v/>
      </c>
      <c r="G622" s="67" t="str">
        <v/>
      </c>
      <c r="H622" s="67" t="str">
        <v/>
      </c>
      <c r="I622" s="67" t="str">
        <v/>
      </c>
      <c r="J622" s="67" t="str">
        <v/>
      </c>
      <c r="K622" s="68" t="str">
        <v/>
      </c>
    </row>
    <row r="623" spans="2:11">
      <c r="B623" s="66" t="str">
        <v/>
      </c>
      <c r="C623" s="67" t="str">
        <v/>
      </c>
      <c r="D623" s="67" t="str">
        <v/>
      </c>
      <c r="E623" s="67" t="str">
        <v/>
      </c>
      <c r="F623" s="67" t="str">
        <v/>
      </c>
      <c r="G623" s="67" t="str">
        <v/>
      </c>
      <c r="H623" s="67" t="str">
        <v/>
      </c>
      <c r="I623" s="67" t="str">
        <v/>
      </c>
      <c r="J623" s="67" t="str">
        <v/>
      </c>
      <c r="K623" s="68" t="str">
        <v/>
      </c>
    </row>
    <row r="624" spans="2:11">
      <c r="B624" s="66" t="str">
        <v/>
      </c>
      <c r="C624" s="67" t="str">
        <v/>
      </c>
      <c r="D624" s="67" t="str">
        <v/>
      </c>
      <c r="E624" s="67" t="str">
        <v/>
      </c>
      <c r="F624" s="67" t="str">
        <v/>
      </c>
      <c r="G624" s="67" t="str">
        <v/>
      </c>
      <c r="H624" s="67" t="str">
        <v/>
      </c>
      <c r="I624" s="67" t="str">
        <v/>
      </c>
      <c r="J624" s="67" t="str">
        <v/>
      </c>
      <c r="K624" s="68" t="str">
        <v/>
      </c>
    </row>
    <row r="625" spans="2:11">
      <c r="B625" s="66" t="str">
        <v/>
      </c>
      <c r="C625" s="67" t="str">
        <v/>
      </c>
      <c r="D625" s="67" t="str">
        <v/>
      </c>
      <c r="E625" s="67" t="str">
        <v/>
      </c>
      <c r="F625" s="67" t="str">
        <v/>
      </c>
      <c r="G625" s="67" t="str">
        <v/>
      </c>
      <c r="H625" s="67" t="str">
        <v/>
      </c>
      <c r="I625" s="67" t="str">
        <v/>
      </c>
      <c r="J625" s="67" t="str">
        <v/>
      </c>
      <c r="K625" s="68" t="str">
        <v/>
      </c>
    </row>
    <row r="626" spans="2:11">
      <c r="B626" s="66" t="str">
        <v/>
      </c>
      <c r="C626" s="67" t="str">
        <v/>
      </c>
      <c r="D626" s="67" t="str">
        <v/>
      </c>
      <c r="E626" s="67" t="str">
        <v/>
      </c>
      <c r="F626" s="67" t="str">
        <v/>
      </c>
      <c r="G626" s="67" t="str">
        <v/>
      </c>
      <c r="H626" s="67" t="str">
        <v/>
      </c>
      <c r="I626" s="67" t="str">
        <v/>
      </c>
      <c r="J626" s="67" t="str">
        <v/>
      </c>
      <c r="K626" s="68" t="str">
        <v/>
      </c>
    </row>
    <row r="627" spans="2:11">
      <c r="B627" s="66" t="str">
        <v/>
      </c>
      <c r="C627" s="67" t="str">
        <v/>
      </c>
      <c r="D627" s="67" t="str">
        <v/>
      </c>
      <c r="E627" s="67" t="str">
        <v/>
      </c>
      <c r="F627" s="67" t="str">
        <v/>
      </c>
      <c r="G627" s="67" t="str">
        <v/>
      </c>
      <c r="H627" s="67" t="str">
        <v/>
      </c>
      <c r="I627" s="67" t="str">
        <v/>
      </c>
      <c r="J627" s="67" t="str">
        <v/>
      </c>
      <c r="K627" s="68" t="str">
        <v/>
      </c>
    </row>
    <row r="628" spans="2:11">
      <c r="B628" s="66" t="str">
        <v/>
      </c>
      <c r="C628" s="67" t="str">
        <v/>
      </c>
      <c r="D628" s="67" t="str">
        <v/>
      </c>
      <c r="E628" s="67" t="str">
        <v/>
      </c>
      <c r="F628" s="67" t="str">
        <v/>
      </c>
      <c r="G628" s="67" t="str">
        <v/>
      </c>
      <c r="H628" s="67" t="str">
        <v/>
      </c>
      <c r="I628" s="67" t="str">
        <v/>
      </c>
      <c r="J628" s="67" t="str">
        <v/>
      </c>
      <c r="K628" s="68" t="str">
        <v/>
      </c>
    </row>
    <row r="629" spans="2:11">
      <c r="B629" s="66" t="str">
        <v/>
      </c>
      <c r="C629" s="67" t="str">
        <v/>
      </c>
      <c r="D629" s="67" t="str">
        <v/>
      </c>
      <c r="E629" s="67" t="str">
        <v/>
      </c>
      <c r="F629" s="67" t="str">
        <v/>
      </c>
      <c r="G629" s="67" t="str">
        <v/>
      </c>
      <c r="H629" s="67" t="str">
        <v/>
      </c>
      <c r="I629" s="67" t="str">
        <v/>
      </c>
      <c r="J629" s="67" t="str">
        <v/>
      </c>
      <c r="K629" s="68" t="str">
        <v/>
      </c>
    </row>
    <row r="630" spans="2:11">
      <c r="B630" s="66" t="str">
        <v/>
      </c>
      <c r="C630" s="67" t="str">
        <v/>
      </c>
      <c r="D630" s="67" t="str">
        <v/>
      </c>
      <c r="E630" s="67" t="str">
        <v/>
      </c>
      <c r="F630" s="67" t="str">
        <v/>
      </c>
      <c r="G630" s="67" t="str">
        <v/>
      </c>
      <c r="H630" s="67" t="str">
        <v/>
      </c>
      <c r="I630" s="67" t="str">
        <v/>
      </c>
      <c r="J630" s="67" t="str">
        <v/>
      </c>
      <c r="K630" s="68" t="str">
        <v/>
      </c>
    </row>
    <row r="631" spans="2:11">
      <c r="B631" s="66" t="str">
        <v/>
      </c>
      <c r="C631" s="67" t="str">
        <v/>
      </c>
      <c r="D631" s="67" t="str">
        <v/>
      </c>
      <c r="E631" s="67" t="str">
        <v/>
      </c>
      <c r="F631" s="67" t="str">
        <v/>
      </c>
      <c r="G631" s="67" t="str">
        <v/>
      </c>
      <c r="H631" s="67" t="str">
        <v/>
      </c>
      <c r="I631" s="67" t="str">
        <v/>
      </c>
      <c r="J631" s="67" t="str">
        <v/>
      </c>
      <c r="K631" s="68" t="str">
        <v/>
      </c>
    </row>
    <row r="632" spans="2:11">
      <c r="B632" s="66" t="str">
        <v/>
      </c>
      <c r="C632" s="67" t="str">
        <v/>
      </c>
      <c r="D632" s="67" t="str">
        <v/>
      </c>
      <c r="E632" s="67" t="str">
        <v/>
      </c>
      <c r="F632" s="67" t="str">
        <v/>
      </c>
      <c r="G632" s="67" t="str">
        <v/>
      </c>
      <c r="H632" s="67" t="str">
        <v/>
      </c>
      <c r="I632" s="67" t="str">
        <v/>
      </c>
      <c r="J632" s="67" t="str">
        <v/>
      </c>
      <c r="K632" s="68" t="str">
        <v/>
      </c>
    </row>
    <row r="633" spans="2:11">
      <c r="B633" s="66" t="str">
        <v/>
      </c>
      <c r="C633" s="67" t="str">
        <v/>
      </c>
      <c r="D633" s="67" t="str">
        <v/>
      </c>
      <c r="E633" s="67" t="str">
        <v/>
      </c>
      <c r="F633" s="67" t="str">
        <v/>
      </c>
      <c r="G633" s="67" t="str">
        <v/>
      </c>
      <c r="H633" s="67" t="str">
        <v/>
      </c>
      <c r="I633" s="67" t="str">
        <v/>
      </c>
      <c r="J633" s="67" t="str">
        <v/>
      </c>
      <c r="K633" s="68" t="str">
        <v/>
      </c>
    </row>
    <row r="634" spans="2:11">
      <c r="B634" s="66" t="str">
        <v/>
      </c>
      <c r="C634" s="67" t="str">
        <v/>
      </c>
      <c r="D634" s="67" t="str">
        <v/>
      </c>
      <c r="E634" s="67" t="str">
        <v/>
      </c>
      <c r="F634" s="67" t="str">
        <v/>
      </c>
      <c r="G634" s="67" t="str">
        <v/>
      </c>
      <c r="H634" s="67" t="str">
        <v/>
      </c>
      <c r="I634" s="67" t="str">
        <v/>
      </c>
      <c r="J634" s="67" t="str">
        <v/>
      </c>
      <c r="K634" s="68" t="str">
        <v/>
      </c>
    </row>
    <row r="635" spans="2:11">
      <c r="B635" s="66" t="str">
        <v/>
      </c>
      <c r="C635" s="67" t="str">
        <v/>
      </c>
      <c r="D635" s="67" t="str">
        <v/>
      </c>
      <c r="E635" s="67" t="str">
        <v/>
      </c>
      <c r="F635" s="67" t="str">
        <v/>
      </c>
      <c r="G635" s="67" t="str">
        <v/>
      </c>
      <c r="H635" s="67" t="str">
        <v/>
      </c>
      <c r="I635" s="67" t="str">
        <v/>
      </c>
      <c r="J635" s="67" t="str">
        <v/>
      </c>
      <c r="K635" s="68" t="str">
        <v/>
      </c>
    </row>
    <row r="636" spans="2:11">
      <c r="B636" s="66" t="str">
        <v/>
      </c>
      <c r="C636" s="67" t="str">
        <v/>
      </c>
      <c r="D636" s="67" t="str">
        <v/>
      </c>
      <c r="E636" s="67" t="str">
        <v/>
      </c>
      <c r="F636" s="67" t="str">
        <v/>
      </c>
      <c r="G636" s="67" t="str">
        <v/>
      </c>
      <c r="H636" s="67" t="str">
        <v/>
      </c>
      <c r="I636" s="67" t="str">
        <v/>
      </c>
      <c r="J636" s="67" t="str">
        <v/>
      </c>
      <c r="K636" s="68" t="str">
        <v/>
      </c>
    </row>
    <row r="637" spans="2:11">
      <c r="B637" s="66" t="str">
        <v/>
      </c>
      <c r="C637" s="67" t="str">
        <v/>
      </c>
      <c r="D637" s="67" t="str">
        <v/>
      </c>
      <c r="E637" s="67" t="str">
        <v/>
      </c>
      <c r="F637" s="67" t="str">
        <v/>
      </c>
      <c r="G637" s="67" t="str">
        <v/>
      </c>
      <c r="H637" s="67" t="str">
        <v/>
      </c>
      <c r="I637" s="67" t="str">
        <v/>
      </c>
      <c r="J637" s="67" t="str">
        <v/>
      </c>
      <c r="K637" s="68" t="str">
        <v/>
      </c>
    </row>
    <row r="638" spans="2:11">
      <c r="B638" s="66" t="str">
        <v/>
      </c>
      <c r="C638" s="67" t="str">
        <v/>
      </c>
      <c r="D638" s="67" t="str">
        <v/>
      </c>
      <c r="E638" s="67" t="str">
        <v/>
      </c>
      <c r="F638" s="67" t="str">
        <v/>
      </c>
      <c r="G638" s="67" t="str">
        <v/>
      </c>
      <c r="H638" s="67" t="str">
        <v/>
      </c>
      <c r="I638" s="67" t="str">
        <v/>
      </c>
      <c r="J638" s="67" t="str">
        <v/>
      </c>
      <c r="K638" s="68" t="str">
        <v/>
      </c>
    </row>
    <row r="639" spans="2:11">
      <c r="B639" s="66" t="str">
        <v/>
      </c>
      <c r="C639" s="67" t="str">
        <v/>
      </c>
      <c r="D639" s="67" t="str">
        <v/>
      </c>
      <c r="E639" s="67" t="str">
        <v/>
      </c>
      <c r="F639" s="67" t="str">
        <v/>
      </c>
      <c r="G639" s="67" t="str">
        <v/>
      </c>
      <c r="H639" s="67" t="str">
        <v/>
      </c>
      <c r="I639" s="67" t="str">
        <v/>
      </c>
      <c r="J639" s="67" t="str">
        <v/>
      </c>
      <c r="K639" s="68" t="str">
        <v/>
      </c>
    </row>
    <row r="640" spans="2:11">
      <c r="B640" s="66" t="str">
        <v/>
      </c>
      <c r="C640" s="67" t="str">
        <v/>
      </c>
      <c r="D640" s="67" t="str">
        <v/>
      </c>
      <c r="E640" s="67" t="str">
        <v/>
      </c>
      <c r="F640" s="67" t="str">
        <v/>
      </c>
      <c r="G640" s="67" t="str">
        <v/>
      </c>
      <c r="H640" s="67" t="str">
        <v/>
      </c>
      <c r="I640" s="67" t="str">
        <v/>
      </c>
      <c r="J640" s="67" t="str">
        <v/>
      </c>
      <c r="K640" s="68" t="str">
        <v/>
      </c>
    </row>
    <row r="641" spans="2:11">
      <c r="B641" s="66" t="str">
        <v/>
      </c>
      <c r="C641" s="67" t="str">
        <v/>
      </c>
      <c r="D641" s="67" t="str">
        <v/>
      </c>
      <c r="E641" s="67" t="str">
        <v/>
      </c>
      <c r="F641" s="67" t="str">
        <v/>
      </c>
      <c r="G641" s="67" t="str">
        <v/>
      </c>
      <c r="H641" s="67" t="str">
        <v/>
      </c>
      <c r="I641" s="67" t="str">
        <v/>
      </c>
      <c r="J641" s="67" t="str">
        <v/>
      </c>
      <c r="K641" s="68" t="str">
        <v/>
      </c>
    </row>
    <row r="642" spans="2:11">
      <c r="B642" s="66" t="str">
        <v/>
      </c>
      <c r="C642" s="67" t="str">
        <v/>
      </c>
      <c r="D642" s="67" t="str">
        <v/>
      </c>
      <c r="E642" s="67" t="str">
        <v/>
      </c>
      <c r="F642" s="67" t="str">
        <v/>
      </c>
      <c r="G642" s="67" t="str">
        <v/>
      </c>
      <c r="H642" s="67" t="str">
        <v/>
      </c>
      <c r="I642" s="67" t="str">
        <v/>
      </c>
      <c r="J642" s="67" t="str">
        <v/>
      </c>
      <c r="K642" s="68" t="str">
        <v/>
      </c>
    </row>
    <row r="643" spans="2:11">
      <c r="B643" s="66" t="str">
        <v/>
      </c>
      <c r="C643" s="67" t="str">
        <v/>
      </c>
      <c r="D643" s="67" t="str">
        <v/>
      </c>
      <c r="E643" s="67" t="str">
        <v/>
      </c>
      <c r="F643" s="67" t="str">
        <v/>
      </c>
      <c r="G643" s="67" t="str">
        <v/>
      </c>
      <c r="H643" s="67" t="str">
        <v/>
      </c>
      <c r="I643" s="67" t="str">
        <v/>
      </c>
      <c r="J643" s="67" t="str">
        <v/>
      </c>
      <c r="K643" s="68" t="str">
        <v/>
      </c>
    </row>
    <row r="644" spans="2:11">
      <c r="B644" s="66" t="str">
        <v/>
      </c>
      <c r="C644" s="67" t="str">
        <v/>
      </c>
      <c r="D644" s="67" t="str">
        <v/>
      </c>
      <c r="E644" s="67" t="str">
        <v/>
      </c>
      <c r="F644" s="67" t="str">
        <v/>
      </c>
      <c r="G644" s="67" t="str">
        <v/>
      </c>
      <c r="H644" s="67" t="str">
        <v/>
      </c>
      <c r="I644" s="67" t="str">
        <v/>
      </c>
      <c r="J644" s="67" t="str">
        <v/>
      </c>
      <c r="K644" s="68" t="str">
        <v/>
      </c>
    </row>
    <row r="645" spans="2:11">
      <c r="B645" s="66" t="str">
        <v/>
      </c>
      <c r="C645" s="67" t="str">
        <v/>
      </c>
      <c r="D645" s="67" t="str">
        <v/>
      </c>
      <c r="E645" s="67" t="str">
        <v/>
      </c>
      <c r="F645" s="67" t="str">
        <v/>
      </c>
      <c r="G645" s="67" t="str">
        <v/>
      </c>
      <c r="H645" s="67" t="str">
        <v/>
      </c>
      <c r="I645" s="67" t="str">
        <v/>
      </c>
      <c r="J645" s="67" t="str">
        <v/>
      </c>
      <c r="K645" s="68" t="str">
        <v/>
      </c>
    </row>
    <row r="646" spans="2:11">
      <c r="B646" s="66" t="str">
        <v/>
      </c>
      <c r="C646" s="67" t="str">
        <v/>
      </c>
      <c r="D646" s="67" t="str">
        <v/>
      </c>
      <c r="E646" s="67" t="str">
        <v/>
      </c>
      <c r="F646" s="67" t="str">
        <v/>
      </c>
      <c r="G646" s="67" t="str">
        <v/>
      </c>
      <c r="H646" s="67" t="str">
        <v/>
      </c>
      <c r="I646" s="67" t="str">
        <v/>
      </c>
      <c r="J646" s="67" t="str">
        <v/>
      </c>
      <c r="K646" s="68" t="str">
        <v/>
      </c>
    </row>
    <row r="647" spans="2:11">
      <c r="B647" s="66" t="str">
        <v/>
      </c>
      <c r="C647" s="67" t="str">
        <v/>
      </c>
      <c r="D647" s="67" t="str">
        <v/>
      </c>
      <c r="E647" s="67" t="str">
        <v/>
      </c>
      <c r="F647" s="67" t="str">
        <v/>
      </c>
      <c r="G647" s="67" t="str">
        <v/>
      </c>
      <c r="H647" s="67" t="str">
        <v/>
      </c>
      <c r="I647" s="67" t="str">
        <v/>
      </c>
      <c r="J647" s="67" t="str">
        <v/>
      </c>
      <c r="K647" s="68" t="str">
        <v/>
      </c>
    </row>
    <row r="648" spans="2:11">
      <c r="B648" s="66" t="str">
        <v/>
      </c>
      <c r="C648" s="67" t="str">
        <v/>
      </c>
      <c r="D648" s="67" t="str">
        <v/>
      </c>
      <c r="E648" s="67" t="str">
        <v/>
      </c>
      <c r="F648" s="67" t="str">
        <v/>
      </c>
      <c r="G648" s="67" t="str">
        <v/>
      </c>
      <c r="H648" s="67" t="str">
        <v/>
      </c>
      <c r="I648" s="67" t="str">
        <v/>
      </c>
      <c r="J648" s="67" t="str">
        <v/>
      </c>
      <c r="K648" s="68" t="str">
        <v/>
      </c>
    </row>
    <row r="649" spans="2:11">
      <c r="B649" s="66" t="str">
        <v/>
      </c>
      <c r="C649" s="67" t="str">
        <v/>
      </c>
      <c r="D649" s="67" t="str">
        <v/>
      </c>
      <c r="E649" s="67" t="str">
        <v/>
      </c>
      <c r="F649" s="67" t="str">
        <v/>
      </c>
      <c r="G649" s="67" t="str">
        <v/>
      </c>
      <c r="H649" s="67" t="str">
        <v/>
      </c>
      <c r="I649" s="67" t="str">
        <v/>
      </c>
      <c r="J649" s="67" t="str">
        <v/>
      </c>
      <c r="K649" s="68" t="str">
        <v/>
      </c>
    </row>
    <row r="650" spans="2:11">
      <c r="B650" s="66" t="str">
        <v/>
      </c>
      <c r="C650" s="67" t="str">
        <v/>
      </c>
      <c r="D650" s="67" t="str">
        <v/>
      </c>
      <c r="E650" s="67" t="str">
        <v/>
      </c>
      <c r="F650" s="67" t="str">
        <v/>
      </c>
      <c r="G650" s="67" t="str">
        <v/>
      </c>
      <c r="H650" s="67" t="str">
        <v/>
      </c>
      <c r="I650" s="67" t="str">
        <v/>
      </c>
      <c r="J650" s="67" t="str">
        <v/>
      </c>
      <c r="K650" s="68" t="str">
        <v/>
      </c>
    </row>
    <row r="651" spans="2:11">
      <c r="B651" s="66" t="str">
        <v/>
      </c>
      <c r="C651" s="67" t="str">
        <v/>
      </c>
      <c r="D651" s="67" t="str">
        <v/>
      </c>
      <c r="E651" s="67" t="str">
        <v/>
      </c>
      <c r="F651" s="67" t="str">
        <v/>
      </c>
      <c r="G651" s="67" t="str">
        <v/>
      </c>
      <c r="H651" s="67" t="str">
        <v/>
      </c>
      <c r="I651" s="67" t="str">
        <v/>
      </c>
      <c r="J651" s="67" t="str">
        <v/>
      </c>
      <c r="K651" s="68" t="str">
        <v/>
      </c>
    </row>
    <row r="652" spans="2:11">
      <c r="B652" s="66" t="str">
        <v/>
      </c>
      <c r="C652" s="67" t="str">
        <v/>
      </c>
      <c r="D652" s="67" t="str">
        <v/>
      </c>
      <c r="E652" s="67" t="str">
        <v/>
      </c>
      <c r="F652" s="67" t="str">
        <v/>
      </c>
      <c r="G652" s="67" t="str">
        <v/>
      </c>
      <c r="H652" s="67" t="str">
        <v/>
      </c>
      <c r="I652" s="67" t="str">
        <v/>
      </c>
      <c r="J652" s="67" t="str">
        <v/>
      </c>
      <c r="K652" s="68" t="str">
        <v/>
      </c>
    </row>
    <row r="653" spans="2:11">
      <c r="B653" s="66" t="str">
        <v/>
      </c>
      <c r="C653" s="67" t="str">
        <v/>
      </c>
      <c r="D653" s="67" t="str">
        <v/>
      </c>
      <c r="E653" s="67" t="str">
        <v/>
      </c>
      <c r="F653" s="67" t="str">
        <v/>
      </c>
      <c r="G653" s="67" t="str">
        <v/>
      </c>
      <c r="H653" s="67" t="str">
        <v/>
      </c>
      <c r="I653" s="67" t="str">
        <v/>
      </c>
      <c r="J653" s="67" t="str">
        <v/>
      </c>
      <c r="K653" s="68" t="str">
        <v/>
      </c>
    </row>
    <row r="654" spans="2:11">
      <c r="B654" s="66" t="str">
        <v/>
      </c>
      <c r="C654" s="67" t="str">
        <v/>
      </c>
      <c r="D654" s="67" t="str">
        <v/>
      </c>
      <c r="E654" s="67" t="str">
        <v/>
      </c>
      <c r="F654" s="67" t="str">
        <v/>
      </c>
      <c r="G654" s="67" t="str">
        <v/>
      </c>
      <c r="H654" s="67" t="str">
        <v/>
      </c>
      <c r="I654" s="67" t="str">
        <v/>
      </c>
      <c r="J654" s="67" t="str">
        <v/>
      </c>
      <c r="K654" s="68" t="str">
        <v/>
      </c>
    </row>
    <row r="655" spans="2:11">
      <c r="B655" s="66" t="str">
        <v/>
      </c>
      <c r="C655" s="67" t="str">
        <v/>
      </c>
      <c r="D655" s="67" t="str">
        <v/>
      </c>
      <c r="E655" s="67" t="str">
        <v/>
      </c>
      <c r="F655" s="67" t="str">
        <v/>
      </c>
      <c r="G655" s="67" t="str">
        <v/>
      </c>
      <c r="H655" s="67" t="str">
        <v/>
      </c>
      <c r="I655" s="67" t="str">
        <v/>
      </c>
      <c r="J655" s="67" t="str">
        <v/>
      </c>
      <c r="K655" s="68" t="str">
        <v/>
      </c>
    </row>
    <row r="656" spans="2:11">
      <c r="B656" s="66" t="str">
        <v/>
      </c>
      <c r="C656" s="67" t="str">
        <v/>
      </c>
      <c r="D656" s="67" t="str">
        <v/>
      </c>
      <c r="E656" s="67" t="str">
        <v/>
      </c>
      <c r="F656" s="67" t="str">
        <v/>
      </c>
      <c r="G656" s="67" t="str">
        <v/>
      </c>
      <c r="H656" s="67" t="str">
        <v/>
      </c>
      <c r="I656" s="67" t="str">
        <v/>
      </c>
      <c r="J656" s="67" t="str">
        <v/>
      </c>
      <c r="K656" s="68" t="str">
        <v/>
      </c>
    </row>
    <row r="657" spans="2:11">
      <c r="B657" s="66" t="str">
        <v/>
      </c>
      <c r="C657" s="67" t="str">
        <v/>
      </c>
      <c r="D657" s="67" t="str">
        <v/>
      </c>
      <c r="E657" s="67" t="str">
        <v/>
      </c>
      <c r="F657" s="67" t="str">
        <v/>
      </c>
      <c r="G657" s="67" t="str">
        <v/>
      </c>
      <c r="H657" s="67" t="str">
        <v/>
      </c>
      <c r="I657" s="67" t="str">
        <v/>
      </c>
      <c r="J657" s="67" t="str">
        <v/>
      </c>
      <c r="K657" s="68" t="str">
        <v/>
      </c>
    </row>
    <row r="658" spans="2:11">
      <c r="B658" s="66" t="str">
        <v/>
      </c>
      <c r="C658" s="67" t="str">
        <v/>
      </c>
      <c r="D658" s="67" t="str">
        <v/>
      </c>
      <c r="E658" s="67" t="str">
        <v/>
      </c>
      <c r="F658" s="67" t="str">
        <v/>
      </c>
      <c r="G658" s="67" t="str">
        <v/>
      </c>
      <c r="H658" s="67" t="str">
        <v/>
      </c>
      <c r="I658" s="67" t="str">
        <v/>
      </c>
      <c r="J658" s="67" t="str">
        <v/>
      </c>
      <c r="K658" s="68" t="str">
        <v/>
      </c>
    </row>
    <row r="659" spans="2:11">
      <c r="B659" s="66" t="str">
        <v/>
      </c>
      <c r="C659" s="67" t="str">
        <v/>
      </c>
      <c r="D659" s="67" t="str">
        <v/>
      </c>
      <c r="E659" s="67" t="str">
        <v/>
      </c>
      <c r="F659" s="67" t="str">
        <v/>
      </c>
      <c r="G659" s="67" t="str">
        <v/>
      </c>
      <c r="H659" s="67" t="str">
        <v/>
      </c>
      <c r="I659" s="67" t="str">
        <v/>
      </c>
      <c r="J659" s="67" t="str">
        <v/>
      </c>
      <c r="K659" s="68" t="str">
        <v/>
      </c>
    </row>
    <row r="660" spans="2:11">
      <c r="B660" s="66" t="str">
        <v/>
      </c>
      <c r="C660" s="67" t="str">
        <v/>
      </c>
      <c r="D660" s="67" t="str">
        <v/>
      </c>
      <c r="E660" s="67" t="str">
        <v/>
      </c>
      <c r="F660" s="67" t="str">
        <v/>
      </c>
      <c r="G660" s="67" t="str">
        <v/>
      </c>
      <c r="H660" s="67" t="str">
        <v/>
      </c>
      <c r="I660" s="67" t="str">
        <v/>
      </c>
      <c r="J660" s="67" t="str">
        <v/>
      </c>
      <c r="K660" s="68" t="str">
        <v/>
      </c>
    </row>
    <row r="661" spans="2:11">
      <c r="B661" s="66" t="str">
        <v/>
      </c>
      <c r="C661" s="67" t="str">
        <v/>
      </c>
      <c r="D661" s="67" t="str">
        <v/>
      </c>
      <c r="E661" s="67" t="str">
        <v/>
      </c>
      <c r="F661" s="67" t="str">
        <v/>
      </c>
      <c r="G661" s="67" t="str">
        <v/>
      </c>
      <c r="H661" s="67" t="str">
        <v/>
      </c>
      <c r="I661" s="67" t="str">
        <v/>
      </c>
      <c r="J661" s="67" t="str">
        <v/>
      </c>
      <c r="K661" s="68" t="str">
        <v/>
      </c>
    </row>
    <row r="662" spans="2:11">
      <c r="B662" s="66" t="str">
        <v/>
      </c>
      <c r="C662" s="67" t="str">
        <v/>
      </c>
      <c r="D662" s="67" t="str">
        <v/>
      </c>
      <c r="E662" s="67" t="str">
        <v/>
      </c>
      <c r="F662" s="67" t="str">
        <v/>
      </c>
      <c r="G662" s="67" t="str">
        <v/>
      </c>
      <c r="H662" s="67" t="str">
        <v/>
      </c>
      <c r="I662" s="67" t="str">
        <v/>
      </c>
      <c r="J662" s="67" t="str">
        <v/>
      </c>
      <c r="K662" s="68" t="str">
        <v/>
      </c>
    </row>
    <row r="663" spans="2:11">
      <c r="B663" s="66" t="str">
        <v/>
      </c>
      <c r="C663" s="67" t="str">
        <v/>
      </c>
      <c r="D663" s="67" t="str">
        <v/>
      </c>
      <c r="E663" s="67" t="str">
        <v/>
      </c>
      <c r="F663" s="67" t="str">
        <v/>
      </c>
      <c r="G663" s="67" t="str">
        <v/>
      </c>
      <c r="H663" s="67" t="str">
        <v/>
      </c>
      <c r="I663" s="67" t="str">
        <v/>
      </c>
      <c r="J663" s="67" t="str">
        <v/>
      </c>
      <c r="K663" s="68" t="str">
        <v/>
      </c>
    </row>
    <row r="664" spans="2:11">
      <c r="B664" s="66" t="str">
        <v/>
      </c>
      <c r="C664" s="67" t="str">
        <v/>
      </c>
      <c r="D664" s="67" t="str">
        <v/>
      </c>
      <c r="E664" s="67" t="str">
        <v/>
      </c>
      <c r="F664" s="67" t="str">
        <v/>
      </c>
      <c r="G664" s="67" t="str">
        <v/>
      </c>
      <c r="H664" s="67" t="str">
        <v/>
      </c>
      <c r="I664" s="67" t="str">
        <v/>
      </c>
      <c r="J664" s="67" t="str">
        <v/>
      </c>
      <c r="K664" s="68" t="str">
        <v/>
      </c>
    </row>
    <row r="665" spans="2:11">
      <c r="B665" s="66" t="str">
        <v/>
      </c>
      <c r="C665" s="67" t="str">
        <v/>
      </c>
      <c r="D665" s="67" t="str">
        <v/>
      </c>
      <c r="E665" s="67" t="str">
        <v/>
      </c>
      <c r="F665" s="67" t="str">
        <v/>
      </c>
      <c r="G665" s="67" t="str">
        <v/>
      </c>
      <c r="H665" s="67" t="str">
        <v/>
      </c>
      <c r="I665" s="67" t="str">
        <v/>
      </c>
      <c r="J665" s="67" t="str">
        <v/>
      </c>
      <c r="K665" s="68" t="str">
        <v/>
      </c>
    </row>
    <row r="666" spans="2:11">
      <c r="B666" s="66" t="str">
        <v/>
      </c>
      <c r="C666" s="67" t="str">
        <v/>
      </c>
      <c r="D666" s="67" t="str">
        <v/>
      </c>
      <c r="E666" s="67" t="str">
        <v/>
      </c>
      <c r="F666" s="67" t="str">
        <v/>
      </c>
      <c r="G666" s="67" t="str">
        <v/>
      </c>
      <c r="H666" s="67" t="str">
        <v/>
      </c>
      <c r="I666" s="67" t="str">
        <v/>
      </c>
      <c r="J666" s="67" t="str">
        <v/>
      </c>
      <c r="K666" s="68" t="str">
        <v/>
      </c>
    </row>
    <row r="667" spans="2:11">
      <c r="B667" s="66" t="str">
        <v/>
      </c>
      <c r="C667" s="67" t="str">
        <v/>
      </c>
      <c r="D667" s="67" t="str">
        <v/>
      </c>
      <c r="E667" s="67" t="str">
        <v/>
      </c>
      <c r="F667" s="67" t="str">
        <v/>
      </c>
      <c r="G667" s="67" t="str">
        <v/>
      </c>
      <c r="H667" s="67" t="str">
        <v/>
      </c>
      <c r="I667" s="67" t="str">
        <v/>
      </c>
      <c r="J667" s="67" t="str">
        <v/>
      </c>
      <c r="K667" s="68" t="str">
        <v/>
      </c>
    </row>
    <row r="668" spans="2:11">
      <c r="B668" s="66" t="str">
        <v/>
      </c>
      <c r="C668" s="67" t="str">
        <v/>
      </c>
      <c r="D668" s="67" t="str">
        <v/>
      </c>
      <c r="E668" s="67" t="str">
        <v/>
      </c>
      <c r="F668" s="67" t="str">
        <v/>
      </c>
      <c r="G668" s="67" t="str">
        <v/>
      </c>
      <c r="H668" s="67" t="str">
        <v/>
      </c>
      <c r="I668" s="67" t="str">
        <v/>
      </c>
      <c r="J668" s="67" t="str">
        <v/>
      </c>
      <c r="K668" s="68" t="str">
        <v/>
      </c>
    </row>
    <row r="669" spans="2:11">
      <c r="B669" s="66" t="str">
        <v/>
      </c>
      <c r="C669" s="67" t="str">
        <v/>
      </c>
      <c r="D669" s="67" t="str">
        <v/>
      </c>
      <c r="E669" s="67" t="str">
        <v/>
      </c>
      <c r="F669" s="67" t="str">
        <v/>
      </c>
      <c r="G669" s="67" t="str">
        <v/>
      </c>
      <c r="H669" s="67" t="str">
        <v/>
      </c>
      <c r="I669" s="67" t="str">
        <v/>
      </c>
      <c r="J669" s="67" t="str">
        <v/>
      </c>
      <c r="K669" s="68" t="str">
        <v/>
      </c>
    </row>
    <row r="670" spans="2:11">
      <c r="B670" s="66" t="str">
        <v/>
      </c>
      <c r="C670" s="67" t="str">
        <v/>
      </c>
      <c r="D670" s="67" t="str">
        <v/>
      </c>
      <c r="E670" s="67" t="str">
        <v/>
      </c>
      <c r="F670" s="67" t="str">
        <v/>
      </c>
      <c r="G670" s="67" t="str">
        <v/>
      </c>
      <c r="H670" s="67" t="str">
        <v/>
      </c>
      <c r="I670" s="67" t="str">
        <v/>
      </c>
      <c r="J670" s="67" t="str">
        <v/>
      </c>
      <c r="K670" s="68" t="str">
        <v/>
      </c>
    </row>
    <row r="671" spans="2:11">
      <c r="B671" s="66" t="str">
        <v/>
      </c>
      <c r="C671" s="67" t="str">
        <v/>
      </c>
      <c r="D671" s="67" t="str">
        <v/>
      </c>
      <c r="E671" s="67" t="str">
        <v/>
      </c>
      <c r="F671" s="67" t="str">
        <v/>
      </c>
      <c r="G671" s="67" t="str">
        <v/>
      </c>
      <c r="H671" s="67" t="str">
        <v/>
      </c>
      <c r="I671" s="67" t="str">
        <v/>
      </c>
      <c r="J671" s="67" t="str">
        <v/>
      </c>
      <c r="K671" s="68" t="str">
        <v/>
      </c>
    </row>
    <row r="672" spans="2:11">
      <c r="B672" s="66" t="str">
        <v/>
      </c>
      <c r="C672" s="67" t="str">
        <v/>
      </c>
      <c r="D672" s="67" t="str">
        <v/>
      </c>
      <c r="E672" s="67" t="str">
        <v/>
      </c>
      <c r="F672" s="67" t="str">
        <v/>
      </c>
      <c r="G672" s="67" t="str">
        <v/>
      </c>
      <c r="H672" s="67" t="str">
        <v/>
      </c>
      <c r="I672" s="67" t="str">
        <v/>
      </c>
      <c r="J672" s="67" t="str">
        <v/>
      </c>
      <c r="K672" s="68" t="str">
        <v/>
      </c>
    </row>
    <row r="673" spans="2:11">
      <c r="B673" s="66" t="str">
        <v/>
      </c>
      <c r="C673" s="67" t="str">
        <v/>
      </c>
      <c r="D673" s="67" t="str">
        <v/>
      </c>
      <c r="E673" s="67" t="str">
        <v/>
      </c>
      <c r="F673" s="67" t="str">
        <v/>
      </c>
      <c r="G673" s="67" t="str">
        <v/>
      </c>
      <c r="H673" s="67" t="str">
        <v/>
      </c>
      <c r="I673" s="67" t="str">
        <v/>
      </c>
      <c r="J673" s="67" t="str">
        <v/>
      </c>
      <c r="K673" s="68" t="str">
        <v/>
      </c>
    </row>
    <row r="674" spans="2:11">
      <c r="B674" s="66" t="str">
        <v/>
      </c>
      <c r="C674" s="67" t="str">
        <v/>
      </c>
      <c r="D674" s="67" t="str">
        <v/>
      </c>
      <c r="E674" s="67" t="str">
        <v/>
      </c>
      <c r="F674" s="67" t="str">
        <v/>
      </c>
      <c r="G674" s="67" t="str">
        <v/>
      </c>
      <c r="H674" s="67" t="str">
        <v/>
      </c>
      <c r="I674" s="67" t="str">
        <v/>
      </c>
      <c r="J674" s="67" t="str">
        <v/>
      </c>
      <c r="K674" s="68" t="str">
        <v/>
      </c>
    </row>
    <row r="675" spans="2:11">
      <c r="B675" s="66" t="str">
        <v/>
      </c>
      <c r="C675" s="67" t="str">
        <v/>
      </c>
      <c r="D675" s="67" t="str">
        <v/>
      </c>
      <c r="E675" s="67" t="str">
        <v/>
      </c>
      <c r="F675" s="67" t="str">
        <v/>
      </c>
      <c r="G675" s="67" t="str">
        <v/>
      </c>
      <c r="H675" s="67" t="str">
        <v/>
      </c>
      <c r="I675" s="67" t="str">
        <v/>
      </c>
      <c r="J675" s="67" t="str">
        <v/>
      </c>
      <c r="K675" s="68" t="str">
        <v/>
      </c>
    </row>
    <row r="676" spans="2:11">
      <c r="B676" s="66" t="str">
        <v/>
      </c>
      <c r="C676" s="67" t="str">
        <v/>
      </c>
      <c r="D676" s="67" t="str">
        <v/>
      </c>
      <c r="E676" s="67" t="str">
        <v/>
      </c>
      <c r="F676" s="67" t="str">
        <v/>
      </c>
      <c r="G676" s="67" t="str">
        <v/>
      </c>
      <c r="H676" s="67" t="str">
        <v/>
      </c>
      <c r="I676" s="67" t="str">
        <v/>
      </c>
      <c r="J676" s="67" t="str">
        <v/>
      </c>
      <c r="K676" s="68" t="str">
        <v/>
      </c>
    </row>
    <row r="677" spans="2:11">
      <c r="B677" s="66" t="str">
        <v/>
      </c>
      <c r="C677" s="67" t="str">
        <v/>
      </c>
      <c r="D677" s="67" t="str">
        <v/>
      </c>
      <c r="E677" s="67" t="str">
        <v/>
      </c>
      <c r="F677" s="67" t="str">
        <v/>
      </c>
      <c r="G677" s="67" t="str">
        <v/>
      </c>
      <c r="H677" s="67" t="str">
        <v/>
      </c>
      <c r="I677" s="67" t="str">
        <v/>
      </c>
      <c r="J677" s="67" t="str">
        <v/>
      </c>
      <c r="K677" s="68" t="str">
        <v/>
      </c>
    </row>
    <row r="678" spans="2:11">
      <c r="B678" s="66" t="str">
        <v/>
      </c>
      <c r="C678" s="67" t="str">
        <v/>
      </c>
      <c r="D678" s="67" t="str">
        <v/>
      </c>
      <c r="E678" s="67" t="str">
        <v/>
      </c>
      <c r="F678" s="67" t="str">
        <v/>
      </c>
      <c r="G678" s="67" t="str">
        <v/>
      </c>
      <c r="H678" s="67" t="str">
        <v/>
      </c>
      <c r="I678" s="67" t="str">
        <v/>
      </c>
      <c r="J678" s="67" t="str">
        <v/>
      </c>
      <c r="K678" s="68" t="str">
        <v/>
      </c>
    </row>
    <row r="679" spans="2:11">
      <c r="B679" s="66" t="str">
        <v/>
      </c>
      <c r="C679" s="67" t="str">
        <v/>
      </c>
      <c r="D679" s="67" t="str">
        <v/>
      </c>
      <c r="E679" s="67" t="str">
        <v/>
      </c>
      <c r="F679" s="67" t="str">
        <v/>
      </c>
      <c r="G679" s="67" t="str">
        <v/>
      </c>
      <c r="H679" s="67" t="str">
        <v/>
      </c>
      <c r="I679" s="67" t="str">
        <v/>
      </c>
      <c r="J679" s="67" t="str">
        <v/>
      </c>
      <c r="K679" s="68" t="str">
        <v/>
      </c>
    </row>
    <row r="680" spans="2:11">
      <c r="B680" s="66" t="str">
        <v/>
      </c>
      <c r="C680" s="67" t="str">
        <v/>
      </c>
      <c r="D680" s="67" t="str">
        <v/>
      </c>
      <c r="E680" s="67" t="str">
        <v/>
      </c>
      <c r="F680" s="67" t="str">
        <v/>
      </c>
      <c r="G680" s="67" t="str">
        <v/>
      </c>
      <c r="H680" s="67" t="str">
        <v/>
      </c>
      <c r="I680" s="67" t="str">
        <v/>
      </c>
      <c r="J680" s="67" t="str">
        <v/>
      </c>
      <c r="K680" s="68" t="str">
        <v/>
      </c>
    </row>
    <row r="681" spans="2:11">
      <c r="B681" s="66" t="str">
        <v/>
      </c>
      <c r="C681" s="67" t="str">
        <v/>
      </c>
      <c r="D681" s="67" t="str">
        <v/>
      </c>
      <c r="E681" s="67" t="str">
        <v/>
      </c>
      <c r="F681" s="67" t="str">
        <v/>
      </c>
      <c r="G681" s="67" t="str">
        <v/>
      </c>
      <c r="H681" s="67" t="str">
        <v/>
      </c>
      <c r="I681" s="67" t="str">
        <v/>
      </c>
      <c r="J681" s="67" t="str">
        <v/>
      </c>
      <c r="K681" s="68" t="str">
        <v/>
      </c>
    </row>
    <row r="682" spans="2:11">
      <c r="B682" s="66" t="str">
        <v/>
      </c>
      <c r="C682" s="67" t="str">
        <v/>
      </c>
      <c r="D682" s="67" t="str">
        <v/>
      </c>
      <c r="E682" s="67" t="str">
        <v/>
      </c>
      <c r="F682" s="67" t="str">
        <v/>
      </c>
      <c r="G682" s="67" t="str">
        <v/>
      </c>
      <c r="H682" s="67" t="str">
        <v/>
      </c>
      <c r="I682" s="67" t="str">
        <v/>
      </c>
      <c r="J682" s="67" t="str">
        <v/>
      </c>
      <c r="K682" s="68" t="str">
        <v/>
      </c>
    </row>
    <row r="683" spans="2:11">
      <c r="B683" s="66" t="str">
        <v/>
      </c>
      <c r="C683" s="67" t="str">
        <v/>
      </c>
      <c r="D683" s="67" t="str">
        <v/>
      </c>
      <c r="E683" s="67" t="str">
        <v/>
      </c>
      <c r="F683" s="67" t="str">
        <v/>
      </c>
      <c r="G683" s="67" t="str">
        <v/>
      </c>
      <c r="H683" s="67" t="str">
        <v/>
      </c>
      <c r="I683" s="67" t="str">
        <v/>
      </c>
      <c r="J683" s="67" t="str">
        <v/>
      </c>
      <c r="K683" s="68" t="str">
        <v/>
      </c>
    </row>
    <row r="684" spans="2:11">
      <c r="B684" s="66" t="str">
        <v/>
      </c>
      <c r="C684" s="67" t="str">
        <v/>
      </c>
      <c r="D684" s="67" t="str">
        <v/>
      </c>
      <c r="E684" s="67" t="str">
        <v/>
      </c>
      <c r="F684" s="67" t="str">
        <v/>
      </c>
      <c r="G684" s="67" t="str">
        <v/>
      </c>
      <c r="H684" s="67" t="str">
        <v/>
      </c>
      <c r="I684" s="67" t="str">
        <v/>
      </c>
      <c r="J684" s="67" t="str">
        <v/>
      </c>
      <c r="K684" s="68" t="str">
        <v/>
      </c>
    </row>
    <row r="685" spans="2:11">
      <c r="B685" s="66" t="str">
        <v/>
      </c>
      <c r="C685" s="67" t="str">
        <v/>
      </c>
      <c r="D685" s="67" t="str">
        <v/>
      </c>
      <c r="E685" s="67" t="str">
        <v/>
      </c>
      <c r="F685" s="67" t="str">
        <v/>
      </c>
      <c r="G685" s="67" t="str">
        <v/>
      </c>
      <c r="H685" s="67" t="str">
        <v/>
      </c>
      <c r="I685" s="67" t="str">
        <v/>
      </c>
      <c r="J685" s="67" t="str">
        <v/>
      </c>
      <c r="K685" s="68" t="str">
        <v/>
      </c>
    </row>
    <row r="686" spans="2:11">
      <c r="B686" s="66" t="str">
        <v/>
      </c>
      <c r="C686" s="67" t="str">
        <v/>
      </c>
      <c r="D686" s="67" t="str">
        <v/>
      </c>
      <c r="E686" s="67" t="str">
        <v/>
      </c>
      <c r="F686" s="67" t="str">
        <v/>
      </c>
      <c r="G686" s="67" t="str">
        <v/>
      </c>
      <c r="H686" s="67" t="str">
        <v/>
      </c>
      <c r="I686" s="67" t="str">
        <v/>
      </c>
      <c r="J686" s="67" t="str">
        <v/>
      </c>
      <c r="K686" s="68" t="str">
        <v/>
      </c>
    </row>
    <row r="687" spans="2:11">
      <c r="B687" s="66" t="str">
        <v/>
      </c>
      <c r="C687" s="67" t="str">
        <v/>
      </c>
      <c r="D687" s="67" t="str">
        <v/>
      </c>
      <c r="E687" s="67" t="str">
        <v/>
      </c>
      <c r="F687" s="67" t="str">
        <v/>
      </c>
      <c r="G687" s="67" t="str">
        <v/>
      </c>
      <c r="H687" s="67" t="str">
        <v/>
      </c>
      <c r="I687" s="67" t="str">
        <v/>
      </c>
      <c r="J687" s="67" t="str">
        <v/>
      </c>
      <c r="K687" s="68" t="str">
        <v/>
      </c>
    </row>
    <row r="688" spans="2:11">
      <c r="B688" s="66" t="str">
        <v/>
      </c>
      <c r="C688" s="67" t="str">
        <v/>
      </c>
      <c r="D688" s="67" t="str">
        <v/>
      </c>
      <c r="E688" s="67" t="str">
        <v/>
      </c>
      <c r="F688" s="67" t="str">
        <v/>
      </c>
      <c r="G688" s="67" t="str">
        <v/>
      </c>
      <c r="H688" s="67" t="str">
        <v/>
      </c>
      <c r="I688" s="67" t="str">
        <v/>
      </c>
      <c r="J688" s="67" t="str">
        <v/>
      </c>
      <c r="K688" s="68" t="str">
        <v/>
      </c>
    </row>
    <row r="689" spans="2:11">
      <c r="B689" s="66" t="str">
        <v/>
      </c>
      <c r="C689" s="67" t="str">
        <v/>
      </c>
      <c r="D689" s="67" t="str">
        <v/>
      </c>
      <c r="E689" s="67" t="str">
        <v/>
      </c>
      <c r="F689" s="67" t="str">
        <v/>
      </c>
      <c r="G689" s="67" t="str">
        <v/>
      </c>
      <c r="H689" s="67" t="str">
        <v/>
      </c>
      <c r="I689" s="67" t="str">
        <v/>
      </c>
      <c r="J689" s="67" t="str">
        <v/>
      </c>
      <c r="K689" s="68" t="str">
        <v/>
      </c>
    </row>
    <row r="690" spans="2:11">
      <c r="B690" s="66" t="str">
        <v/>
      </c>
      <c r="C690" s="67" t="str">
        <v/>
      </c>
      <c r="D690" s="67" t="str">
        <v/>
      </c>
      <c r="E690" s="67" t="str">
        <v/>
      </c>
      <c r="F690" s="67" t="str">
        <v/>
      </c>
      <c r="G690" s="67" t="str">
        <v/>
      </c>
      <c r="H690" s="67" t="str">
        <v/>
      </c>
      <c r="I690" s="67" t="str">
        <v/>
      </c>
      <c r="J690" s="67" t="str">
        <v/>
      </c>
      <c r="K690" s="68" t="str">
        <v/>
      </c>
    </row>
    <row r="691" spans="2:11">
      <c r="B691" s="66" t="str">
        <v/>
      </c>
      <c r="C691" s="67" t="str">
        <v/>
      </c>
      <c r="D691" s="67" t="str">
        <v/>
      </c>
      <c r="E691" s="67" t="str">
        <v/>
      </c>
      <c r="F691" s="67" t="str">
        <v/>
      </c>
      <c r="G691" s="67" t="str">
        <v/>
      </c>
      <c r="H691" s="67" t="str">
        <v/>
      </c>
      <c r="I691" s="67" t="str">
        <v/>
      </c>
      <c r="J691" s="67" t="str">
        <v/>
      </c>
      <c r="K691" s="68" t="str">
        <v/>
      </c>
    </row>
    <row r="692" spans="2:11">
      <c r="B692" s="66" t="str">
        <v/>
      </c>
      <c r="C692" s="67" t="str">
        <v/>
      </c>
      <c r="D692" s="67" t="str">
        <v/>
      </c>
      <c r="E692" s="67" t="str">
        <v/>
      </c>
      <c r="F692" s="67" t="str">
        <v/>
      </c>
      <c r="G692" s="67" t="str">
        <v/>
      </c>
      <c r="H692" s="67" t="str">
        <v/>
      </c>
      <c r="I692" s="67" t="str">
        <v/>
      </c>
      <c r="J692" s="67" t="str">
        <v/>
      </c>
      <c r="K692" s="68" t="str">
        <v/>
      </c>
    </row>
    <row r="693" spans="2:11">
      <c r="B693" s="66" t="str">
        <v/>
      </c>
      <c r="C693" s="67" t="str">
        <v/>
      </c>
      <c r="D693" s="67" t="str">
        <v/>
      </c>
      <c r="E693" s="67" t="str">
        <v/>
      </c>
      <c r="F693" s="67" t="str">
        <v/>
      </c>
      <c r="G693" s="67" t="str">
        <v/>
      </c>
      <c r="H693" s="67" t="str">
        <v/>
      </c>
      <c r="I693" s="67" t="str">
        <v/>
      </c>
      <c r="J693" s="67" t="str">
        <v/>
      </c>
      <c r="K693" s="68" t="str">
        <v/>
      </c>
    </row>
    <row r="694" spans="2:11">
      <c r="B694" s="66" t="str">
        <v/>
      </c>
      <c r="C694" s="67" t="str">
        <v/>
      </c>
      <c r="D694" s="67" t="str">
        <v/>
      </c>
      <c r="E694" s="67" t="str">
        <v/>
      </c>
      <c r="F694" s="67" t="str">
        <v/>
      </c>
      <c r="G694" s="67" t="str">
        <v/>
      </c>
      <c r="H694" s="67" t="str">
        <v/>
      </c>
      <c r="I694" s="67" t="str">
        <v/>
      </c>
      <c r="J694" s="67" t="str">
        <v/>
      </c>
      <c r="K694" s="68" t="str">
        <v/>
      </c>
    </row>
    <row r="695" spans="2:11">
      <c r="B695" s="66" t="str">
        <v/>
      </c>
      <c r="C695" s="67" t="str">
        <v/>
      </c>
      <c r="D695" s="67" t="str">
        <v/>
      </c>
      <c r="E695" s="67" t="str">
        <v/>
      </c>
      <c r="F695" s="67" t="str">
        <v/>
      </c>
      <c r="G695" s="67" t="str">
        <v/>
      </c>
      <c r="H695" s="67" t="str">
        <v/>
      </c>
      <c r="I695" s="67" t="str">
        <v/>
      </c>
      <c r="J695" s="67" t="str">
        <v/>
      </c>
      <c r="K695" s="68" t="str">
        <v/>
      </c>
    </row>
    <row r="696" spans="2:11">
      <c r="B696" s="66" t="str">
        <v/>
      </c>
      <c r="C696" s="67" t="str">
        <v/>
      </c>
      <c r="D696" s="67" t="str">
        <v/>
      </c>
      <c r="E696" s="67" t="str">
        <v/>
      </c>
      <c r="F696" s="67" t="str">
        <v/>
      </c>
      <c r="G696" s="67" t="str">
        <v/>
      </c>
      <c r="H696" s="67" t="str">
        <v/>
      </c>
      <c r="I696" s="67" t="str">
        <v/>
      </c>
      <c r="J696" s="67" t="str">
        <v/>
      </c>
      <c r="K696" s="68" t="str">
        <v/>
      </c>
    </row>
    <row r="697" spans="2:11">
      <c r="B697" s="66" t="str">
        <v/>
      </c>
      <c r="C697" s="67" t="str">
        <v/>
      </c>
      <c r="D697" s="67" t="str">
        <v/>
      </c>
      <c r="E697" s="67" t="str">
        <v/>
      </c>
      <c r="F697" s="67" t="str">
        <v/>
      </c>
      <c r="G697" s="67" t="str">
        <v/>
      </c>
      <c r="H697" s="67" t="str">
        <v/>
      </c>
      <c r="I697" s="67" t="str">
        <v/>
      </c>
      <c r="J697" s="67" t="str">
        <v/>
      </c>
      <c r="K697" s="68" t="str">
        <v/>
      </c>
    </row>
    <row r="698" spans="2:11">
      <c r="B698" s="66" t="str">
        <v/>
      </c>
      <c r="C698" s="67" t="str">
        <v/>
      </c>
      <c r="D698" s="67" t="str">
        <v/>
      </c>
      <c r="E698" s="67" t="str">
        <v/>
      </c>
      <c r="F698" s="67" t="str">
        <v/>
      </c>
      <c r="G698" s="67" t="str">
        <v/>
      </c>
      <c r="H698" s="67" t="str">
        <v/>
      </c>
      <c r="I698" s="67" t="str">
        <v/>
      </c>
      <c r="J698" s="67" t="str">
        <v/>
      </c>
      <c r="K698" s="68" t="str">
        <v/>
      </c>
    </row>
    <row r="699" spans="2:11">
      <c r="B699" s="66" t="str">
        <v/>
      </c>
      <c r="C699" s="67" t="str">
        <v/>
      </c>
      <c r="D699" s="67" t="str">
        <v/>
      </c>
      <c r="E699" s="67" t="str">
        <v/>
      </c>
      <c r="F699" s="67" t="str">
        <v/>
      </c>
      <c r="G699" s="67" t="str">
        <v/>
      </c>
      <c r="H699" s="67" t="str">
        <v/>
      </c>
      <c r="I699" s="67" t="str">
        <v/>
      </c>
      <c r="J699" s="67" t="str">
        <v/>
      </c>
      <c r="K699" s="68" t="str">
        <v/>
      </c>
    </row>
    <row r="700" spans="2:11">
      <c r="B700" s="66" t="str">
        <v/>
      </c>
      <c r="C700" s="67" t="str">
        <v/>
      </c>
      <c r="D700" s="67" t="str">
        <v/>
      </c>
      <c r="E700" s="67" t="str">
        <v/>
      </c>
      <c r="F700" s="67" t="str">
        <v/>
      </c>
      <c r="G700" s="67" t="str">
        <v/>
      </c>
      <c r="H700" s="67" t="str">
        <v/>
      </c>
      <c r="I700" s="67" t="str">
        <v/>
      </c>
      <c r="J700" s="67" t="str">
        <v/>
      </c>
      <c r="K700" s="68" t="str">
        <v/>
      </c>
    </row>
    <row r="701" spans="2:11">
      <c r="B701" s="66" t="str">
        <v/>
      </c>
      <c r="C701" s="67" t="str">
        <v/>
      </c>
      <c r="D701" s="67" t="str">
        <v/>
      </c>
      <c r="E701" s="67" t="str">
        <v/>
      </c>
      <c r="F701" s="67" t="str">
        <v/>
      </c>
      <c r="G701" s="67" t="str">
        <v/>
      </c>
      <c r="H701" s="67" t="str">
        <v/>
      </c>
      <c r="I701" s="67" t="str">
        <v/>
      </c>
      <c r="J701" s="67" t="str">
        <v/>
      </c>
      <c r="K701" s="68" t="str">
        <v/>
      </c>
    </row>
    <row r="702" spans="2:11">
      <c r="B702" s="66" t="str">
        <v/>
      </c>
      <c r="C702" s="67" t="str">
        <v/>
      </c>
      <c r="D702" s="67" t="str">
        <v/>
      </c>
      <c r="E702" s="67" t="str">
        <v/>
      </c>
      <c r="F702" s="67" t="str">
        <v/>
      </c>
      <c r="G702" s="67" t="str">
        <v/>
      </c>
      <c r="H702" s="67" t="str">
        <v/>
      </c>
      <c r="I702" s="67" t="str">
        <v/>
      </c>
      <c r="J702" s="67" t="str">
        <v/>
      </c>
      <c r="K702" s="68" t="str">
        <v/>
      </c>
    </row>
    <row r="703" spans="2:11">
      <c r="B703" s="66" t="str">
        <v/>
      </c>
      <c r="C703" s="67" t="str">
        <v/>
      </c>
      <c r="D703" s="67" t="str">
        <v/>
      </c>
      <c r="E703" s="67" t="str">
        <v/>
      </c>
      <c r="F703" s="67" t="str">
        <v/>
      </c>
      <c r="G703" s="67" t="str">
        <v/>
      </c>
      <c r="H703" s="67" t="str">
        <v/>
      </c>
      <c r="I703" s="67" t="str">
        <v/>
      </c>
      <c r="J703" s="67" t="str">
        <v/>
      </c>
      <c r="K703" s="68" t="str">
        <v/>
      </c>
    </row>
    <row r="704" spans="2:11">
      <c r="B704" s="66" t="str">
        <v/>
      </c>
      <c r="C704" s="67" t="str">
        <v/>
      </c>
      <c r="D704" s="67" t="str">
        <v/>
      </c>
      <c r="E704" s="67" t="str">
        <v/>
      </c>
      <c r="F704" s="67" t="str">
        <v/>
      </c>
      <c r="G704" s="67" t="str">
        <v/>
      </c>
      <c r="H704" s="67" t="str">
        <v/>
      </c>
      <c r="I704" s="67" t="str">
        <v/>
      </c>
      <c r="J704" s="67" t="str">
        <v/>
      </c>
      <c r="K704" s="68" t="str">
        <v/>
      </c>
    </row>
    <row r="705" spans="2:11">
      <c r="B705" s="66" t="str">
        <v/>
      </c>
      <c r="C705" s="67" t="str">
        <v/>
      </c>
      <c r="D705" s="67" t="str">
        <v/>
      </c>
      <c r="E705" s="67" t="str">
        <v/>
      </c>
      <c r="F705" s="67" t="str">
        <v/>
      </c>
      <c r="G705" s="67" t="str">
        <v/>
      </c>
      <c r="H705" s="67" t="str">
        <v/>
      </c>
      <c r="I705" s="67" t="str">
        <v/>
      </c>
      <c r="J705" s="67" t="str">
        <v/>
      </c>
      <c r="K705" s="68" t="str">
        <v/>
      </c>
    </row>
    <row r="706" spans="2:11">
      <c r="B706" s="66" t="str">
        <v/>
      </c>
      <c r="C706" s="67" t="str">
        <v/>
      </c>
      <c r="D706" s="67" t="str">
        <v/>
      </c>
      <c r="E706" s="67" t="str">
        <v/>
      </c>
      <c r="F706" s="67" t="str">
        <v/>
      </c>
      <c r="G706" s="67" t="str">
        <v/>
      </c>
      <c r="H706" s="67" t="str">
        <v/>
      </c>
      <c r="I706" s="67" t="str">
        <v/>
      </c>
      <c r="J706" s="67" t="str">
        <v/>
      </c>
      <c r="K706" s="68" t="str">
        <v/>
      </c>
    </row>
    <row r="707" spans="2:11">
      <c r="B707" s="66" t="str">
        <v/>
      </c>
      <c r="C707" s="67" t="str">
        <v/>
      </c>
      <c r="D707" s="67" t="str">
        <v/>
      </c>
      <c r="E707" s="67" t="str">
        <v/>
      </c>
      <c r="F707" s="67" t="str">
        <v/>
      </c>
      <c r="G707" s="67" t="str">
        <v/>
      </c>
      <c r="H707" s="67" t="str">
        <v/>
      </c>
      <c r="I707" s="67" t="str">
        <v/>
      </c>
      <c r="J707" s="67" t="str">
        <v/>
      </c>
      <c r="K707" s="68" t="str">
        <v/>
      </c>
    </row>
    <row r="708" spans="2:11">
      <c r="B708" s="66" t="str">
        <v/>
      </c>
      <c r="C708" s="67" t="str">
        <v/>
      </c>
      <c r="D708" s="67" t="str">
        <v/>
      </c>
      <c r="E708" s="67" t="str">
        <v/>
      </c>
      <c r="F708" s="67" t="str">
        <v/>
      </c>
      <c r="G708" s="67" t="str">
        <v/>
      </c>
      <c r="H708" s="67" t="str">
        <v/>
      </c>
      <c r="I708" s="67" t="str">
        <v/>
      </c>
      <c r="J708" s="67" t="str">
        <v/>
      </c>
      <c r="K708" s="68" t="str">
        <v/>
      </c>
    </row>
    <row r="709" spans="2:11">
      <c r="B709" s="66" t="str">
        <v/>
      </c>
      <c r="C709" s="67" t="str">
        <v/>
      </c>
      <c r="D709" s="67" t="str">
        <v/>
      </c>
      <c r="E709" s="67" t="str">
        <v/>
      </c>
      <c r="F709" s="67" t="str">
        <v/>
      </c>
      <c r="G709" s="67" t="str">
        <v/>
      </c>
      <c r="H709" s="67" t="str">
        <v/>
      </c>
      <c r="I709" s="67" t="str">
        <v/>
      </c>
      <c r="J709" s="67" t="str">
        <v/>
      </c>
      <c r="K709" s="68" t="str">
        <v/>
      </c>
    </row>
    <row r="710" spans="2:11">
      <c r="B710" s="66" t="str">
        <v/>
      </c>
      <c r="C710" s="67" t="str">
        <v/>
      </c>
      <c r="D710" s="67" t="str">
        <v/>
      </c>
      <c r="E710" s="67" t="str">
        <v/>
      </c>
      <c r="F710" s="67" t="str">
        <v/>
      </c>
      <c r="G710" s="67" t="str">
        <v/>
      </c>
      <c r="H710" s="67" t="str">
        <v/>
      </c>
      <c r="I710" s="67" t="str">
        <v/>
      </c>
      <c r="J710" s="67" t="str">
        <v/>
      </c>
      <c r="K710" s="68" t="str">
        <v/>
      </c>
    </row>
    <row r="711" spans="2:11">
      <c r="B711" s="66" t="str">
        <v/>
      </c>
      <c r="C711" s="67" t="str">
        <v/>
      </c>
      <c r="D711" s="67" t="str">
        <v/>
      </c>
      <c r="E711" s="67" t="str">
        <v/>
      </c>
      <c r="F711" s="67" t="str">
        <v/>
      </c>
      <c r="G711" s="67" t="str">
        <v/>
      </c>
      <c r="H711" s="67" t="str">
        <v/>
      </c>
      <c r="I711" s="67" t="str">
        <v/>
      </c>
      <c r="J711" s="67" t="str">
        <v/>
      </c>
      <c r="K711" s="68" t="str">
        <v/>
      </c>
    </row>
    <row r="712" spans="2:11">
      <c r="B712" s="66" t="str">
        <v/>
      </c>
      <c r="C712" s="67" t="str">
        <v/>
      </c>
      <c r="D712" s="67" t="str">
        <v/>
      </c>
      <c r="E712" s="67" t="str">
        <v/>
      </c>
      <c r="F712" s="67" t="str">
        <v/>
      </c>
      <c r="G712" s="67" t="str">
        <v/>
      </c>
      <c r="H712" s="67" t="str">
        <v/>
      </c>
      <c r="I712" s="67" t="str">
        <v/>
      </c>
      <c r="J712" s="67" t="str">
        <v/>
      </c>
      <c r="K712" s="68" t="str">
        <v/>
      </c>
    </row>
    <row r="713" spans="2:11">
      <c r="B713" s="66" t="str">
        <v/>
      </c>
      <c r="C713" s="67" t="str">
        <v/>
      </c>
      <c r="D713" s="67" t="str">
        <v/>
      </c>
      <c r="E713" s="67" t="str">
        <v/>
      </c>
      <c r="F713" s="67" t="str">
        <v/>
      </c>
      <c r="G713" s="67" t="str">
        <v/>
      </c>
      <c r="H713" s="67" t="str">
        <v/>
      </c>
      <c r="I713" s="67" t="str">
        <v/>
      </c>
      <c r="J713" s="67" t="str">
        <v/>
      </c>
      <c r="K713" s="68" t="str">
        <v/>
      </c>
    </row>
    <row r="714" spans="2:11">
      <c r="B714" s="66" t="str">
        <v/>
      </c>
      <c r="C714" s="67" t="str">
        <v/>
      </c>
      <c r="D714" s="67" t="str">
        <v/>
      </c>
      <c r="E714" s="67" t="str">
        <v/>
      </c>
      <c r="F714" s="67" t="str">
        <v/>
      </c>
      <c r="G714" s="67" t="str">
        <v/>
      </c>
      <c r="H714" s="67" t="str">
        <v/>
      </c>
      <c r="I714" s="67" t="str">
        <v/>
      </c>
      <c r="J714" s="67" t="str">
        <v/>
      </c>
      <c r="K714" s="68" t="str">
        <v/>
      </c>
    </row>
    <row r="715" spans="2:11">
      <c r="B715" s="66" t="str">
        <v/>
      </c>
      <c r="C715" s="67" t="str">
        <v/>
      </c>
      <c r="D715" s="67" t="str">
        <v/>
      </c>
      <c r="E715" s="67" t="str">
        <v/>
      </c>
      <c r="F715" s="67" t="str">
        <v/>
      </c>
      <c r="G715" s="67" t="str">
        <v/>
      </c>
      <c r="H715" s="67" t="str">
        <v/>
      </c>
      <c r="I715" s="67" t="str">
        <v/>
      </c>
      <c r="J715" s="67" t="str">
        <v/>
      </c>
      <c r="K715" s="68" t="str">
        <v/>
      </c>
    </row>
    <row r="716" spans="2:11">
      <c r="B716" s="66" t="str">
        <v/>
      </c>
      <c r="C716" s="67" t="str">
        <v/>
      </c>
      <c r="D716" s="67" t="str">
        <v/>
      </c>
      <c r="E716" s="67" t="str">
        <v/>
      </c>
      <c r="F716" s="67" t="str">
        <v/>
      </c>
      <c r="G716" s="67" t="str">
        <v/>
      </c>
      <c r="H716" s="67" t="str">
        <v/>
      </c>
      <c r="I716" s="67" t="str">
        <v/>
      </c>
      <c r="J716" s="67" t="str">
        <v/>
      </c>
      <c r="K716" s="68" t="str">
        <v/>
      </c>
    </row>
    <row r="717" spans="2:11">
      <c r="B717" s="66" t="str">
        <v/>
      </c>
      <c r="C717" s="67" t="str">
        <v/>
      </c>
      <c r="D717" s="67" t="str">
        <v/>
      </c>
      <c r="E717" s="67" t="str">
        <v/>
      </c>
      <c r="F717" s="67" t="str">
        <v/>
      </c>
      <c r="G717" s="67" t="str">
        <v/>
      </c>
      <c r="H717" s="67" t="str">
        <v/>
      </c>
      <c r="I717" s="67" t="str">
        <v/>
      </c>
      <c r="J717" s="67" t="str">
        <v/>
      </c>
      <c r="K717" s="68" t="str">
        <v/>
      </c>
    </row>
    <row r="718" spans="2:11">
      <c r="B718" s="66" t="str">
        <v/>
      </c>
      <c r="C718" s="67" t="str">
        <v/>
      </c>
      <c r="D718" s="67" t="str">
        <v/>
      </c>
      <c r="E718" s="67" t="str">
        <v/>
      </c>
      <c r="F718" s="67" t="str">
        <v/>
      </c>
      <c r="G718" s="67" t="str">
        <v/>
      </c>
      <c r="H718" s="67" t="str">
        <v/>
      </c>
      <c r="I718" s="67" t="str">
        <v/>
      </c>
      <c r="J718" s="67" t="str">
        <v/>
      </c>
      <c r="K718" s="68" t="str">
        <v/>
      </c>
    </row>
    <row r="719" spans="2:11">
      <c r="B719" s="66" t="str">
        <v/>
      </c>
      <c r="C719" s="67" t="str">
        <v/>
      </c>
      <c r="D719" s="67" t="str">
        <v/>
      </c>
      <c r="E719" s="67" t="str">
        <v/>
      </c>
      <c r="F719" s="67" t="str">
        <v/>
      </c>
      <c r="G719" s="67" t="str">
        <v/>
      </c>
      <c r="H719" s="67" t="str">
        <v/>
      </c>
      <c r="I719" s="67" t="str">
        <v/>
      </c>
      <c r="J719" s="67" t="str">
        <v/>
      </c>
      <c r="K719" s="68" t="str">
        <v/>
      </c>
    </row>
    <row r="720" spans="2:11">
      <c r="B720" s="66" t="str">
        <v/>
      </c>
      <c r="C720" s="67" t="str">
        <v/>
      </c>
      <c r="D720" s="67" t="str">
        <v/>
      </c>
      <c r="E720" s="67" t="str">
        <v/>
      </c>
      <c r="F720" s="67" t="str">
        <v/>
      </c>
      <c r="G720" s="67" t="str">
        <v/>
      </c>
      <c r="H720" s="67" t="str">
        <v/>
      </c>
      <c r="I720" s="67" t="str">
        <v/>
      </c>
      <c r="J720" s="67" t="str">
        <v/>
      </c>
      <c r="K720" s="68" t="str">
        <v/>
      </c>
    </row>
    <row r="721" spans="2:11">
      <c r="B721" s="66" t="str">
        <v/>
      </c>
      <c r="C721" s="67" t="str">
        <v/>
      </c>
      <c r="D721" s="67" t="str">
        <v/>
      </c>
      <c r="E721" s="67" t="str">
        <v/>
      </c>
      <c r="F721" s="67" t="str">
        <v/>
      </c>
      <c r="G721" s="67" t="str">
        <v/>
      </c>
      <c r="H721" s="67" t="str">
        <v/>
      </c>
      <c r="I721" s="67" t="str">
        <v/>
      </c>
      <c r="J721" s="67" t="str">
        <v/>
      </c>
      <c r="K721" s="68" t="str">
        <v/>
      </c>
    </row>
    <row r="722" spans="2:11">
      <c r="B722" s="66" t="str">
        <v/>
      </c>
      <c r="C722" s="67" t="str">
        <v/>
      </c>
      <c r="D722" s="67" t="str">
        <v/>
      </c>
      <c r="E722" s="67" t="str">
        <v/>
      </c>
      <c r="F722" s="67" t="str">
        <v/>
      </c>
      <c r="G722" s="67" t="str">
        <v/>
      </c>
      <c r="H722" s="67" t="str">
        <v/>
      </c>
      <c r="I722" s="67" t="str">
        <v/>
      </c>
      <c r="J722" s="67" t="str">
        <v/>
      </c>
      <c r="K722" s="68" t="str">
        <v/>
      </c>
    </row>
    <row r="723" spans="2:11">
      <c r="B723" s="66" t="str">
        <v/>
      </c>
      <c r="C723" s="67" t="str">
        <v/>
      </c>
      <c r="D723" s="67" t="str">
        <v/>
      </c>
      <c r="E723" s="67" t="str">
        <v/>
      </c>
      <c r="F723" s="67" t="str">
        <v/>
      </c>
      <c r="G723" s="67" t="str">
        <v/>
      </c>
      <c r="H723" s="67" t="str">
        <v/>
      </c>
      <c r="I723" s="67" t="str">
        <v/>
      </c>
      <c r="J723" s="67" t="str">
        <v/>
      </c>
      <c r="K723" s="68" t="str">
        <v/>
      </c>
    </row>
    <row r="724" spans="2:11">
      <c r="B724" s="66" t="str">
        <v/>
      </c>
      <c r="C724" s="67" t="str">
        <v/>
      </c>
      <c r="D724" s="67" t="str">
        <v/>
      </c>
      <c r="E724" s="67" t="str">
        <v/>
      </c>
      <c r="F724" s="67" t="str">
        <v/>
      </c>
      <c r="G724" s="67" t="str">
        <v/>
      </c>
      <c r="H724" s="67" t="str">
        <v/>
      </c>
      <c r="I724" s="67" t="str">
        <v/>
      </c>
      <c r="J724" s="67" t="str">
        <v/>
      </c>
      <c r="K724" s="68" t="str">
        <v/>
      </c>
    </row>
    <row r="725" spans="2:11">
      <c r="B725" s="66" t="str">
        <v/>
      </c>
      <c r="C725" s="67" t="str">
        <v/>
      </c>
      <c r="D725" s="67" t="str">
        <v/>
      </c>
      <c r="E725" s="67" t="str">
        <v/>
      </c>
      <c r="F725" s="67" t="str">
        <v/>
      </c>
      <c r="G725" s="67" t="str">
        <v/>
      </c>
      <c r="H725" s="67" t="str">
        <v/>
      </c>
      <c r="I725" s="67" t="str">
        <v/>
      </c>
      <c r="J725" s="67" t="str">
        <v/>
      </c>
      <c r="K725" s="68" t="str">
        <v/>
      </c>
    </row>
    <row r="726" spans="2:11">
      <c r="B726" s="66" t="str">
        <v/>
      </c>
      <c r="C726" s="67" t="str">
        <v/>
      </c>
      <c r="D726" s="67" t="str">
        <v/>
      </c>
      <c r="E726" s="67" t="str">
        <v/>
      </c>
      <c r="F726" s="67" t="str">
        <v/>
      </c>
      <c r="G726" s="67" t="str">
        <v/>
      </c>
      <c r="H726" s="67" t="str">
        <v/>
      </c>
      <c r="I726" s="67" t="str">
        <v/>
      </c>
      <c r="J726" s="67" t="str">
        <v/>
      </c>
      <c r="K726" s="68" t="str">
        <v/>
      </c>
    </row>
    <row r="727" spans="2:11">
      <c r="B727" s="66" t="str">
        <v/>
      </c>
      <c r="C727" s="67" t="str">
        <v/>
      </c>
      <c r="D727" s="67" t="str">
        <v/>
      </c>
      <c r="E727" s="67" t="str">
        <v/>
      </c>
      <c r="F727" s="67" t="str">
        <v/>
      </c>
      <c r="G727" s="67" t="str">
        <v/>
      </c>
      <c r="H727" s="67" t="str">
        <v/>
      </c>
      <c r="I727" s="67" t="str">
        <v/>
      </c>
      <c r="J727" s="67" t="str">
        <v/>
      </c>
      <c r="K727" s="68" t="str">
        <v/>
      </c>
    </row>
    <row r="728" spans="2:11">
      <c r="B728" s="66" t="str">
        <v/>
      </c>
      <c r="C728" s="67" t="str">
        <v/>
      </c>
      <c r="D728" s="67" t="str">
        <v/>
      </c>
      <c r="E728" s="67" t="str">
        <v/>
      </c>
      <c r="F728" s="67" t="str">
        <v/>
      </c>
      <c r="G728" s="67" t="str">
        <v/>
      </c>
      <c r="H728" s="67" t="str">
        <v/>
      </c>
      <c r="I728" s="67" t="str">
        <v/>
      </c>
      <c r="J728" s="67" t="str">
        <v/>
      </c>
      <c r="K728" s="68" t="str">
        <v/>
      </c>
    </row>
    <row r="729" spans="2:11">
      <c r="B729" s="66" t="str">
        <v/>
      </c>
      <c r="C729" s="67" t="str">
        <v/>
      </c>
      <c r="D729" s="67" t="str">
        <v/>
      </c>
      <c r="E729" s="67" t="str">
        <v/>
      </c>
      <c r="F729" s="67" t="str">
        <v/>
      </c>
      <c r="G729" s="67" t="str">
        <v/>
      </c>
      <c r="H729" s="67" t="str">
        <v/>
      </c>
      <c r="I729" s="67" t="str">
        <v/>
      </c>
      <c r="J729" s="67" t="str">
        <v/>
      </c>
      <c r="K729" s="68" t="str">
        <v/>
      </c>
    </row>
    <row r="730" spans="2:11">
      <c r="B730" s="66" t="str">
        <v/>
      </c>
      <c r="C730" s="67" t="str">
        <v/>
      </c>
      <c r="D730" s="67" t="str">
        <v/>
      </c>
      <c r="E730" s="67" t="str">
        <v/>
      </c>
      <c r="F730" s="67" t="str">
        <v/>
      </c>
      <c r="G730" s="67" t="str">
        <v/>
      </c>
      <c r="H730" s="67" t="str">
        <v/>
      </c>
      <c r="I730" s="67" t="str">
        <v/>
      </c>
      <c r="J730" s="67" t="str">
        <v/>
      </c>
      <c r="K730" s="68" t="str">
        <v/>
      </c>
    </row>
    <row r="731" spans="2:11">
      <c r="B731" s="66" t="str">
        <v/>
      </c>
      <c r="C731" s="67" t="str">
        <v/>
      </c>
      <c r="D731" s="67" t="str">
        <v/>
      </c>
      <c r="E731" s="67" t="str">
        <v/>
      </c>
      <c r="F731" s="67" t="str">
        <v/>
      </c>
      <c r="G731" s="67" t="str">
        <v/>
      </c>
      <c r="H731" s="67" t="str">
        <v/>
      </c>
      <c r="I731" s="67" t="str">
        <v/>
      </c>
      <c r="J731" s="67" t="str">
        <v/>
      </c>
      <c r="K731" s="68" t="str">
        <v/>
      </c>
    </row>
    <row r="732" spans="2:11">
      <c r="B732" s="66" t="str">
        <v/>
      </c>
      <c r="C732" s="67" t="str">
        <v/>
      </c>
      <c r="D732" s="67" t="str">
        <v/>
      </c>
      <c r="E732" s="67" t="str">
        <v/>
      </c>
      <c r="F732" s="67" t="str">
        <v/>
      </c>
      <c r="G732" s="67" t="str">
        <v/>
      </c>
      <c r="H732" s="67" t="str">
        <v/>
      </c>
      <c r="I732" s="67" t="str">
        <v/>
      </c>
      <c r="J732" s="67" t="str">
        <v/>
      </c>
      <c r="K732" s="68" t="str">
        <v/>
      </c>
    </row>
    <row r="733" spans="2:11">
      <c r="B733" s="66" t="str">
        <v/>
      </c>
      <c r="C733" s="67" t="str">
        <v/>
      </c>
      <c r="D733" s="67" t="str">
        <v/>
      </c>
      <c r="E733" s="67" t="str">
        <v/>
      </c>
      <c r="F733" s="67" t="str">
        <v/>
      </c>
      <c r="G733" s="67" t="str">
        <v/>
      </c>
      <c r="H733" s="67" t="str">
        <v/>
      </c>
      <c r="I733" s="67" t="str">
        <v/>
      </c>
      <c r="J733" s="67" t="str">
        <v/>
      </c>
      <c r="K733" s="68" t="str">
        <v/>
      </c>
    </row>
    <row r="734" spans="2:11">
      <c r="B734" s="66" t="str">
        <v/>
      </c>
      <c r="C734" s="67" t="str">
        <v/>
      </c>
      <c r="D734" s="67" t="str">
        <v/>
      </c>
      <c r="E734" s="67" t="str">
        <v/>
      </c>
      <c r="F734" s="67" t="str">
        <v/>
      </c>
      <c r="G734" s="67" t="str">
        <v/>
      </c>
      <c r="H734" s="67" t="str">
        <v/>
      </c>
      <c r="I734" s="67" t="str">
        <v/>
      </c>
      <c r="J734" s="67" t="str">
        <v/>
      </c>
      <c r="K734" s="68" t="str">
        <v/>
      </c>
    </row>
    <row r="735" spans="2:11">
      <c r="B735" s="66" t="str">
        <v/>
      </c>
      <c r="C735" s="67" t="str">
        <v/>
      </c>
      <c r="D735" s="67" t="str">
        <v/>
      </c>
      <c r="E735" s="67" t="str">
        <v/>
      </c>
      <c r="F735" s="67" t="str">
        <v/>
      </c>
      <c r="G735" s="67" t="str">
        <v/>
      </c>
      <c r="H735" s="67" t="str">
        <v/>
      </c>
      <c r="I735" s="67" t="str">
        <v/>
      </c>
      <c r="J735" s="67" t="str">
        <v/>
      </c>
      <c r="K735" s="68" t="str">
        <v/>
      </c>
    </row>
    <row r="736" spans="2:11">
      <c r="B736" s="66" t="str">
        <v/>
      </c>
      <c r="C736" s="67" t="str">
        <v/>
      </c>
      <c r="D736" s="67" t="str">
        <v/>
      </c>
      <c r="E736" s="67" t="str">
        <v/>
      </c>
      <c r="F736" s="67" t="str">
        <v/>
      </c>
      <c r="G736" s="67" t="str">
        <v/>
      </c>
      <c r="H736" s="67" t="str">
        <v/>
      </c>
      <c r="I736" s="67" t="str">
        <v/>
      </c>
      <c r="J736" s="67" t="str">
        <v/>
      </c>
      <c r="K736" s="68" t="str">
        <v/>
      </c>
    </row>
    <row r="737" spans="2:11">
      <c r="B737" s="66" t="str">
        <v/>
      </c>
      <c r="C737" s="67" t="str">
        <v/>
      </c>
      <c r="D737" s="67" t="str">
        <v/>
      </c>
      <c r="E737" s="67" t="str">
        <v/>
      </c>
      <c r="F737" s="67" t="str">
        <v/>
      </c>
      <c r="G737" s="67" t="str">
        <v/>
      </c>
      <c r="H737" s="67" t="str">
        <v/>
      </c>
      <c r="I737" s="67" t="str">
        <v/>
      </c>
      <c r="J737" s="67" t="str">
        <v/>
      </c>
      <c r="K737" s="68" t="str">
        <v/>
      </c>
    </row>
    <row r="738" spans="2:11">
      <c r="B738" s="66" t="str">
        <v/>
      </c>
      <c r="C738" s="67" t="str">
        <v/>
      </c>
      <c r="D738" s="67" t="str">
        <v/>
      </c>
      <c r="E738" s="67" t="str">
        <v/>
      </c>
      <c r="F738" s="67" t="str">
        <v/>
      </c>
      <c r="G738" s="67" t="str">
        <v/>
      </c>
      <c r="H738" s="67" t="str">
        <v/>
      </c>
      <c r="I738" s="67" t="str">
        <v/>
      </c>
      <c r="J738" s="67" t="str">
        <v/>
      </c>
      <c r="K738" s="68" t="str">
        <v/>
      </c>
    </row>
    <row r="739" spans="2:11">
      <c r="B739" s="66" t="str">
        <v/>
      </c>
      <c r="C739" s="67" t="str">
        <v/>
      </c>
      <c r="D739" s="67" t="str">
        <v/>
      </c>
      <c r="E739" s="67" t="str">
        <v/>
      </c>
      <c r="F739" s="67" t="str">
        <v/>
      </c>
      <c r="G739" s="67" t="str">
        <v/>
      </c>
      <c r="H739" s="67" t="str">
        <v/>
      </c>
      <c r="I739" s="67" t="str">
        <v/>
      </c>
      <c r="J739" s="67" t="str">
        <v/>
      </c>
      <c r="K739" s="68" t="str">
        <v/>
      </c>
    </row>
    <row r="740" spans="2:11">
      <c r="B740" s="66" t="str">
        <v/>
      </c>
      <c r="C740" s="67" t="str">
        <v/>
      </c>
      <c r="D740" s="67" t="str">
        <v/>
      </c>
      <c r="E740" s="67" t="str">
        <v/>
      </c>
      <c r="F740" s="67" t="str">
        <v/>
      </c>
      <c r="G740" s="67" t="str">
        <v/>
      </c>
      <c r="H740" s="67" t="str">
        <v/>
      </c>
      <c r="I740" s="67" t="str">
        <v/>
      </c>
      <c r="J740" s="67" t="str">
        <v/>
      </c>
      <c r="K740" s="68" t="str">
        <v/>
      </c>
    </row>
    <row r="741" spans="2:11">
      <c r="B741" s="66" t="str">
        <v/>
      </c>
      <c r="C741" s="67" t="str">
        <v/>
      </c>
      <c r="D741" s="67" t="str">
        <v/>
      </c>
      <c r="E741" s="67" t="str">
        <v/>
      </c>
      <c r="F741" s="67" t="str">
        <v/>
      </c>
      <c r="G741" s="67" t="str">
        <v/>
      </c>
      <c r="H741" s="67" t="str">
        <v/>
      </c>
      <c r="I741" s="67" t="str">
        <v/>
      </c>
      <c r="J741" s="67" t="str">
        <v/>
      </c>
      <c r="K741" s="68" t="str">
        <v/>
      </c>
    </row>
    <row r="742" spans="2:11">
      <c r="B742" s="66" t="str">
        <v/>
      </c>
      <c r="C742" s="67" t="str">
        <v/>
      </c>
      <c r="D742" s="67" t="str">
        <v/>
      </c>
      <c r="E742" s="67" t="str">
        <v/>
      </c>
      <c r="F742" s="67" t="str">
        <v/>
      </c>
      <c r="G742" s="67" t="str">
        <v/>
      </c>
      <c r="H742" s="67" t="str">
        <v/>
      </c>
      <c r="I742" s="67" t="str">
        <v/>
      </c>
      <c r="J742" s="67" t="str">
        <v/>
      </c>
      <c r="K742" s="68" t="str">
        <v/>
      </c>
    </row>
    <row r="743" spans="2:11">
      <c r="B743" s="66" t="str">
        <v/>
      </c>
      <c r="C743" s="67" t="str">
        <v/>
      </c>
      <c r="D743" s="67" t="str">
        <v/>
      </c>
      <c r="E743" s="67" t="str">
        <v/>
      </c>
      <c r="F743" s="67" t="str">
        <v/>
      </c>
      <c r="G743" s="67" t="str">
        <v/>
      </c>
      <c r="H743" s="67" t="str">
        <v/>
      </c>
      <c r="I743" s="67" t="str">
        <v/>
      </c>
      <c r="J743" s="67" t="str">
        <v/>
      </c>
      <c r="K743" s="68" t="str">
        <v/>
      </c>
    </row>
    <row r="744" spans="2:11">
      <c r="B744" s="66" t="str">
        <v/>
      </c>
      <c r="C744" s="67" t="str">
        <v/>
      </c>
      <c r="D744" s="67" t="str">
        <v/>
      </c>
      <c r="E744" s="67" t="str">
        <v/>
      </c>
      <c r="F744" s="67" t="str">
        <v/>
      </c>
      <c r="G744" s="67" t="str">
        <v/>
      </c>
      <c r="H744" s="67" t="str">
        <v/>
      </c>
      <c r="I744" s="67" t="str">
        <v/>
      </c>
      <c r="J744" s="67" t="str">
        <v/>
      </c>
      <c r="K744" s="68" t="str">
        <v/>
      </c>
    </row>
    <row r="745" spans="2:11">
      <c r="B745" s="66" t="str">
        <v/>
      </c>
      <c r="C745" s="67" t="str">
        <v/>
      </c>
      <c r="D745" s="67" t="str">
        <v/>
      </c>
      <c r="E745" s="67" t="str">
        <v/>
      </c>
      <c r="F745" s="67" t="str">
        <v/>
      </c>
      <c r="G745" s="67" t="str">
        <v/>
      </c>
      <c r="H745" s="67" t="str">
        <v/>
      </c>
      <c r="I745" s="67" t="str">
        <v/>
      </c>
      <c r="J745" s="67" t="str">
        <v/>
      </c>
      <c r="K745" s="68" t="str">
        <v/>
      </c>
    </row>
    <row r="746" spans="2:11">
      <c r="B746" s="66" t="str">
        <v/>
      </c>
      <c r="C746" s="67" t="str">
        <v/>
      </c>
      <c r="D746" s="67" t="str">
        <v/>
      </c>
      <c r="E746" s="67" t="str">
        <v/>
      </c>
      <c r="F746" s="67" t="str">
        <v/>
      </c>
      <c r="G746" s="67" t="str">
        <v/>
      </c>
      <c r="H746" s="67" t="str">
        <v/>
      </c>
      <c r="I746" s="67" t="str">
        <v/>
      </c>
      <c r="J746" s="67" t="str">
        <v/>
      </c>
      <c r="K746" s="68" t="str">
        <v/>
      </c>
    </row>
    <row r="747" spans="2:11">
      <c r="B747" s="66" t="str">
        <v/>
      </c>
      <c r="C747" s="67" t="str">
        <v/>
      </c>
      <c r="D747" s="67" t="str">
        <v/>
      </c>
      <c r="E747" s="67" t="str">
        <v/>
      </c>
      <c r="F747" s="67" t="str">
        <v/>
      </c>
      <c r="G747" s="67" t="str">
        <v/>
      </c>
      <c r="H747" s="67" t="str">
        <v/>
      </c>
      <c r="I747" s="67" t="str">
        <v/>
      </c>
      <c r="J747" s="67" t="str">
        <v/>
      </c>
      <c r="K747" s="68" t="str">
        <v/>
      </c>
    </row>
    <row r="748" spans="2:11">
      <c r="B748" s="66" t="str">
        <v/>
      </c>
      <c r="C748" s="67" t="str">
        <v/>
      </c>
      <c r="D748" s="67" t="str">
        <v/>
      </c>
      <c r="E748" s="67" t="str">
        <v/>
      </c>
      <c r="F748" s="67" t="str">
        <v/>
      </c>
      <c r="G748" s="67" t="str">
        <v/>
      </c>
      <c r="H748" s="67" t="str">
        <v/>
      </c>
      <c r="I748" s="67" t="str">
        <v/>
      </c>
      <c r="J748" s="67" t="str">
        <v/>
      </c>
      <c r="K748" s="68" t="str">
        <v/>
      </c>
    </row>
    <row r="749" spans="2:11">
      <c r="B749" s="66" t="str">
        <v/>
      </c>
      <c r="C749" s="67" t="str">
        <v/>
      </c>
      <c r="D749" s="67" t="str">
        <v/>
      </c>
      <c r="E749" s="67" t="str">
        <v/>
      </c>
      <c r="F749" s="67" t="str">
        <v/>
      </c>
      <c r="G749" s="67" t="str">
        <v/>
      </c>
      <c r="H749" s="67" t="str">
        <v/>
      </c>
      <c r="I749" s="67" t="str">
        <v/>
      </c>
      <c r="J749" s="67" t="str">
        <v/>
      </c>
      <c r="K749" s="68" t="str">
        <v/>
      </c>
    </row>
    <row r="750" spans="2:11">
      <c r="B750" s="66" t="str">
        <v/>
      </c>
      <c r="C750" s="67" t="str">
        <v/>
      </c>
      <c r="D750" s="67" t="str">
        <v/>
      </c>
      <c r="E750" s="67" t="str">
        <v/>
      </c>
      <c r="F750" s="67" t="str">
        <v/>
      </c>
      <c r="G750" s="67" t="str">
        <v/>
      </c>
      <c r="H750" s="67" t="str">
        <v/>
      </c>
      <c r="I750" s="67" t="str">
        <v/>
      </c>
      <c r="J750" s="67" t="str">
        <v/>
      </c>
      <c r="K750" s="68" t="str">
        <v/>
      </c>
    </row>
    <row r="751" spans="2:11">
      <c r="B751" s="66" t="str">
        <v/>
      </c>
      <c r="C751" s="67" t="str">
        <v/>
      </c>
      <c r="D751" s="67" t="str">
        <v/>
      </c>
      <c r="E751" s="67" t="str">
        <v/>
      </c>
      <c r="F751" s="67" t="str">
        <v/>
      </c>
      <c r="G751" s="67" t="str">
        <v/>
      </c>
      <c r="H751" s="67" t="str">
        <v/>
      </c>
      <c r="I751" s="67" t="str">
        <v/>
      </c>
      <c r="J751" s="67" t="str">
        <v/>
      </c>
      <c r="K751" s="68" t="str">
        <v/>
      </c>
    </row>
    <row r="752" spans="2:11">
      <c r="B752" s="66" t="str">
        <v/>
      </c>
      <c r="C752" s="67" t="str">
        <v/>
      </c>
      <c r="D752" s="67" t="str">
        <v/>
      </c>
      <c r="E752" s="67" t="str">
        <v/>
      </c>
      <c r="F752" s="67" t="str">
        <v/>
      </c>
      <c r="G752" s="67" t="str">
        <v/>
      </c>
      <c r="H752" s="67" t="str">
        <v/>
      </c>
      <c r="I752" s="67" t="str">
        <v/>
      </c>
      <c r="J752" s="67" t="str">
        <v/>
      </c>
      <c r="K752" s="68" t="str">
        <v/>
      </c>
    </row>
    <row r="753" spans="2:11">
      <c r="B753" s="66" t="str">
        <v/>
      </c>
      <c r="C753" s="67" t="str">
        <v/>
      </c>
      <c r="D753" s="67" t="str">
        <v/>
      </c>
      <c r="E753" s="67" t="str">
        <v/>
      </c>
      <c r="F753" s="67" t="str">
        <v/>
      </c>
      <c r="G753" s="67" t="str">
        <v/>
      </c>
      <c r="H753" s="67" t="str">
        <v/>
      </c>
      <c r="I753" s="67" t="str">
        <v/>
      </c>
      <c r="J753" s="67" t="str">
        <v/>
      </c>
      <c r="K753" s="68" t="str">
        <v/>
      </c>
    </row>
    <row r="754" spans="2:11">
      <c r="B754" s="66" t="str">
        <v/>
      </c>
      <c r="C754" s="67" t="str">
        <v/>
      </c>
      <c r="D754" s="67" t="str">
        <v/>
      </c>
      <c r="E754" s="67" t="str">
        <v/>
      </c>
      <c r="F754" s="67" t="str">
        <v/>
      </c>
      <c r="G754" s="67" t="str">
        <v/>
      </c>
      <c r="H754" s="67" t="str">
        <v/>
      </c>
      <c r="I754" s="67" t="str">
        <v/>
      </c>
      <c r="J754" s="67" t="str">
        <v/>
      </c>
      <c r="K754" s="68" t="str">
        <v/>
      </c>
    </row>
    <row r="755" spans="2:11">
      <c r="B755" s="66" t="str">
        <v/>
      </c>
      <c r="C755" s="67" t="str">
        <v/>
      </c>
      <c r="D755" s="67" t="str">
        <v/>
      </c>
      <c r="E755" s="67" t="str">
        <v/>
      </c>
      <c r="F755" s="67" t="str">
        <v/>
      </c>
      <c r="G755" s="67" t="str">
        <v/>
      </c>
      <c r="H755" s="67" t="str">
        <v/>
      </c>
      <c r="I755" s="67" t="str">
        <v/>
      </c>
      <c r="J755" s="67" t="str">
        <v/>
      </c>
      <c r="K755" s="68" t="str">
        <v/>
      </c>
    </row>
    <row r="756" spans="2:11">
      <c r="B756" s="66" t="str">
        <v/>
      </c>
      <c r="C756" s="67" t="str">
        <v/>
      </c>
      <c r="D756" s="67" t="str">
        <v/>
      </c>
      <c r="E756" s="67" t="str">
        <v/>
      </c>
      <c r="F756" s="67" t="str">
        <v/>
      </c>
      <c r="G756" s="67" t="str">
        <v/>
      </c>
      <c r="H756" s="67" t="str">
        <v/>
      </c>
      <c r="I756" s="67" t="str">
        <v/>
      </c>
      <c r="J756" s="67" t="str">
        <v/>
      </c>
      <c r="K756" s="68" t="str">
        <v/>
      </c>
    </row>
    <row r="757" spans="2:11">
      <c r="B757" s="66" t="str">
        <v/>
      </c>
      <c r="C757" s="67" t="str">
        <v/>
      </c>
      <c r="D757" s="67" t="str">
        <v/>
      </c>
      <c r="E757" s="67" t="str">
        <v/>
      </c>
      <c r="F757" s="67" t="str">
        <v/>
      </c>
      <c r="G757" s="67" t="str">
        <v/>
      </c>
      <c r="H757" s="67" t="str">
        <v/>
      </c>
      <c r="I757" s="67" t="str">
        <v/>
      </c>
      <c r="J757" s="67" t="str">
        <v/>
      </c>
      <c r="K757" s="68" t="str">
        <v/>
      </c>
    </row>
    <row r="758" spans="2:11">
      <c r="B758" s="66" t="str">
        <v/>
      </c>
      <c r="C758" s="67" t="str">
        <v/>
      </c>
      <c r="D758" s="67" t="str">
        <v/>
      </c>
      <c r="E758" s="67" t="str">
        <v/>
      </c>
      <c r="F758" s="67" t="str">
        <v/>
      </c>
      <c r="G758" s="67" t="str">
        <v/>
      </c>
      <c r="H758" s="67" t="str">
        <v/>
      </c>
      <c r="I758" s="67" t="str">
        <v/>
      </c>
      <c r="J758" s="67" t="str">
        <v/>
      </c>
      <c r="K758" s="68" t="str">
        <v/>
      </c>
    </row>
    <row r="759" spans="2:11">
      <c r="B759" s="66" t="str">
        <v/>
      </c>
      <c r="C759" s="67" t="str">
        <v/>
      </c>
      <c r="D759" s="67" t="str">
        <v/>
      </c>
      <c r="E759" s="67" t="str">
        <v/>
      </c>
      <c r="F759" s="67" t="str">
        <v/>
      </c>
      <c r="G759" s="67" t="str">
        <v/>
      </c>
      <c r="H759" s="67" t="str">
        <v/>
      </c>
      <c r="I759" s="67" t="str">
        <v/>
      </c>
      <c r="J759" s="67" t="str">
        <v/>
      </c>
      <c r="K759" s="68" t="str">
        <v/>
      </c>
    </row>
    <row r="760" spans="2:11">
      <c r="B760" s="66" t="str">
        <v/>
      </c>
      <c r="C760" s="67" t="str">
        <v/>
      </c>
      <c r="D760" s="67" t="str">
        <v/>
      </c>
      <c r="E760" s="67" t="str">
        <v/>
      </c>
      <c r="F760" s="67" t="str">
        <v/>
      </c>
      <c r="G760" s="67" t="str">
        <v/>
      </c>
      <c r="H760" s="67" t="str">
        <v/>
      </c>
      <c r="I760" s="67" t="str">
        <v/>
      </c>
      <c r="J760" s="67" t="str">
        <v/>
      </c>
      <c r="K760" s="68" t="str">
        <v/>
      </c>
    </row>
    <row r="761" spans="2:11">
      <c r="B761" s="66" t="str">
        <v/>
      </c>
      <c r="C761" s="67" t="str">
        <v/>
      </c>
      <c r="D761" s="67" t="str">
        <v/>
      </c>
      <c r="E761" s="67" t="str">
        <v/>
      </c>
      <c r="F761" s="67" t="str">
        <v/>
      </c>
      <c r="G761" s="67" t="str">
        <v/>
      </c>
      <c r="H761" s="67" t="str">
        <v/>
      </c>
      <c r="I761" s="67" t="str">
        <v/>
      </c>
      <c r="J761" s="67" t="str">
        <v/>
      </c>
      <c r="K761" s="68" t="str">
        <v/>
      </c>
    </row>
    <row r="762" spans="2:11">
      <c r="B762" s="66" t="str">
        <v/>
      </c>
      <c r="C762" s="67" t="str">
        <v/>
      </c>
      <c r="D762" s="67" t="str">
        <v/>
      </c>
      <c r="E762" s="67" t="str">
        <v/>
      </c>
      <c r="F762" s="67" t="str">
        <v/>
      </c>
      <c r="G762" s="67" t="str">
        <v/>
      </c>
      <c r="H762" s="67" t="str">
        <v/>
      </c>
      <c r="I762" s="67" t="str">
        <v/>
      </c>
      <c r="J762" s="67" t="str">
        <v/>
      </c>
      <c r="K762" s="68" t="str">
        <v/>
      </c>
    </row>
    <row r="763" spans="2:11">
      <c r="B763" s="66" t="str">
        <v/>
      </c>
      <c r="C763" s="67" t="str">
        <v/>
      </c>
      <c r="D763" s="67" t="str">
        <v/>
      </c>
      <c r="E763" s="67" t="str">
        <v/>
      </c>
      <c r="F763" s="67" t="str">
        <v/>
      </c>
      <c r="G763" s="67" t="str">
        <v/>
      </c>
      <c r="H763" s="67" t="str">
        <v/>
      </c>
      <c r="I763" s="67" t="str">
        <v/>
      </c>
      <c r="J763" s="67" t="str">
        <v/>
      </c>
      <c r="K763" s="68" t="str">
        <v/>
      </c>
    </row>
    <row r="764" spans="2:11">
      <c r="B764" s="66" t="str">
        <v/>
      </c>
      <c r="C764" s="67" t="str">
        <v/>
      </c>
      <c r="D764" s="67" t="str">
        <v/>
      </c>
      <c r="E764" s="67" t="str">
        <v/>
      </c>
      <c r="F764" s="67" t="str">
        <v/>
      </c>
      <c r="G764" s="67" t="str">
        <v/>
      </c>
      <c r="H764" s="67" t="str">
        <v/>
      </c>
      <c r="I764" s="67" t="str">
        <v/>
      </c>
      <c r="J764" s="67" t="str">
        <v/>
      </c>
      <c r="K764" s="68" t="str">
        <v/>
      </c>
    </row>
    <row r="765" spans="2:11">
      <c r="B765" s="66" t="str">
        <v/>
      </c>
      <c r="C765" s="67" t="str">
        <v/>
      </c>
      <c r="D765" s="67" t="str">
        <v/>
      </c>
      <c r="E765" s="67" t="str">
        <v/>
      </c>
      <c r="F765" s="67" t="str">
        <v/>
      </c>
      <c r="G765" s="67" t="str">
        <v/>
      </c>
      <c r="H765" s="67" t="str">
        <v/>
      </c>
      <c r="I765" s="67" t="str">
        <v/>
      </c>
      <c r="J765" s="67" t="str">
        <v/>
      </c>
      <c r="K765" s="68" t="str">
        <v/>
      </c>
    </row>
    <row r="766" spans="2:11">
      <c r="B766" s="66" t="str">
        <v/>
      </c>
      <c r="C766" s="67" t="str">
        <v/>
      </c>
      <c r="D766" s="67" t="str">
        <v/>
      </c>
      <c r="E766" s="67" t="str">
        <v/>
      </c>
      <c r="F766" s="67" t="str">
        <v/>
      </c>
      <c r="G766" s="67" t="str">
        <v/>
      </c>
      <c r="H766" s="67" t="str">
        <v/>
      </c>
      <c r="I766" s="67" t="str">
        <v/>
      </c>
      <c r="J766" s="67" t="str">
        <v/>
      </c>
      <c r="K766" s="68" t="str">
        <v/>
      </c>
    </row>
    <row r="767" spans="2:11">
      <c r="B767" s="66" t="str">
        <v/>
      </c>
      <c r="C767" s="67" t="str">
        <v/>
      </c>
      <c r="D767" s="67" t="str">
        <v/>
      </c>
      <c r="E767" s="67" t="str">
        <v/>
      </c>
      <c r="F767" s="67" t="str">
        <v/>
      </c>
      <c r="G767" s="67" t="str">
        <v/>
      </c>
      <c r="H767" s="67" t="str">
        <v/>
      </c>
      <c r="I767" s="67" t="str">
        <v/>
      </c>
      <c r="J767" s="67" t="str">
        <v/>
      </c>
      <c r="K767" s="68" t="str">
        <v/>
      </c>
    </row>
    <row r="768" spans="2:11">
      <c r="B768" s="66" t="str">
        <v/>
      </c>
      <c r="C768" s="67" t="str">
        <v/>
      </c>
      <c r="D768" s="67" t="str">
        <v/>
      </c>
      <c r="E768" s="67" t="str">
        <v/>
      </c>
      <c r="F768" s="67" t="str">
        <v/>
      </c>
      <c r="G768" s="67" t="str">
        <v/>
      </c>
      <c r="H768" s="67" t="str">
        <v/>
      </c>
      <c r="I768" s="67" t="str">
        <v/>
      </c>
      <c r="J768" s="67" t="str">
        <v/>
      </c>
      <c r="K768" s="68" t="str">
        <v/>
      </c>
    </row>
    <row r="769" spans="2:11">
      <c r="B769" s="66" t="str">
        <v/>
      </c>
      <c r="C769" s="67" t="str">
        <v/>
      </c>
      <c r="D769" s="67" t="str">
        <v/>
      </c>
      <c r="E769" s="67" t="str">
        <v/>
      </c>
      <c r="F769" s="67" t="str">
        <v/>
      </c>
      <c r="G769" s="67" t="str">
        <v/>
      </c>
      <c r="H769" s="67" t="str">
        <v/>
      </c>
      <c r="I769" s="67" t="str">
        <v/>
      </c>
      <c r="J769" s="67" t="str">
        <v/>
      </c>
      <c r="K769" s="68" t="str">
        <v/>
      </c>
    </row>
    <row r="770" spans="2:11">
      <c r="B770" s="66" t="str">
        <v/>
      </c>
      <c r="C770" s="67" t="str">
        <v/>
      </c>
      <c r="D770" s="67" t="str">
        <v/>
      </c>
      <c r="E770" s="67" t="str">
        <v/>
      </c>
      <c r="F770" s="67" t="str">
        <v/>
      </c>
      <c r="G770" s="67" t="str">
        <v/>
      </c>
      <c r="H770" s="67" t="str">
        <v/>
      </c>
      <c r="I770" s="67" t="str">
        <v/>
      </c>
      <c r="J770" s="67" t="str">
        <v/>
      </c>
      <c r="K770" s="68" t="str">
        <v/>
      </c>
    </row>
    <row r="771" spans="2:11">
      <c r="B771" s="66" t="str">
        <v/>
      </c>
      <c r="C771" s="67" t="str">
        <v/>
      </c>
      <c r="D771" s="67" t="str">
        <v/>
      </c>
      <c r="E771" s="67" t="str">
        <v/>
      </c>
      <c r="F771" s="67" t="str">
        <v/>
      </c>
      <c r="G771" s="67" t="str">
        <v/>
      </c>
      <c r="H771" s="67" t="str">
        <v/>
      </c>
      <c r="I771" s="67" t="str">
        <v/>
      </c>
      <c r="J771" s="67" t="str">
        <v/>
      </c>
      <c r="K771" s="68" t="str">
        <v/>
      </c>
    </row>
    <row r="772" spans="2:11">
      <c r="B772" s="66" t="str">
        <v/>
      </c>
      <c r="C772" s="67" t="str">
        <v/>
      </c>
      <c r="D772" s="67" t="str">
        <v/>
      </c>
      <c r="E772" s="67" t="str">
        <v/>
      </c>
      <c r="F772" s="67" t="str">
        <v/>
      </c>
      <c r="G772" s="67" t="str">
        <v/>
      </c>
      <c r="H772" s="67" t="str">
        <v/>
      </c>
      <c r="I772" s="67" t="str">
        <v/>
      </c>
      <c r="J772" s="67" t="str">
        <v/>
      </c>
      <c r="K772" s="68" t="str">
        <v/>
      </c>
    </row>
    <row r="773" spans="2:11">
      <c r="B773" s="66" t="str">
        <v/>
      </c>
      <c r="C773" s="67" t="str">
        <v/>
      </c>
      <c r="D773" s="67" t="str">
        <v/>
      </c>
      <c r="E773" s="67" t="str">
        <v/>
      </c>
      <c r="F773" s="67" t="str">
        <v/>
      </c>
      <c r="G773" s="67" t="str">
        <v/>
      </c>
      <c r="H773" s="67" t="str">
        <v/>
      </c>
      <c r="I773" s="67" t="str">
        <v/>
      </c>
      <c r="J773" s="67" t="str">
        <v/>
      </c>
      <c r="K773" s="68" t="str">
        <v/>
      </c>
    </row>
    <row r="774" spans="2:11">
      <c r="B774" s="66" t="str">
        <v/>
      </c>
      <c r="C774" s="67" t="str">
        <v/>
      </c>
      <c r="D774" s="67" t="str">
        <v/>
      </c>
      <c r="E774" s="67" t="str">
        <v/>
      </c>
      <c r="F774" s="67" t="str">
        <v/>
      </c>
      <c r="G774" s="67" t="str">
        <v/>
      </c>
      <c r="H774" s="67" t="str">
        <v/>
      </c>
      <c r="I774" s="67" t="str">
        <v/>
      </c>
      <c r="J774" s="67" t="str">
        <v/>
      </c>
      <c r="K774" s="68" t="str">
        <v/>
      </c>
    </row>
    <row r="775" spans="2:11">
      <c r="B775" s="66" t="str">
        <v/>
      </c>
      <c r="C775" s="67" t="str">
        <v/>
      </c>
      <c r="D775" s="67" t="str">
        <v/>
      </c>
      <c r="E775" s="67" t="str">
        <v/>
      </c>
      <c r="F775" s="67" t="str">
        <v/>
      </c>
      <c r="G775" s="67" t="str">
        <v/>
      </c>
      <c r="H775" s="67" t="str">
        <v/>
      </c>
      <c r="I775" s="67" t="str">
        <v/>
      </c>
      <c r="J775" s="67" t="str">
        <v/>
      </c>
      <c r="K775" s="68" t="str">
        <v/>
      </c>
    </row>
    <row r="776" spans="2:11">
      <c r="B776" s="66" t="str">
        <v/>
      </c>
      <c r="C776" s="67" t="str">
        <v/>
      </c>
      <c r="D776" s="67" t="str">
        <v/>
      </c>
      <c r="E776" s="67" t="str">
        <v/>
      </c>
      <c r="F776" s="67" t="str">
        <v/>
      </c>
      <c r="G776" s="67" t="str">
        <v/>
      </c>
      <c r="H776" s="67" t="str">
        <v/>
      </c>
      <c r="I776" s="67" t="str">
        <v/>
      </c>
      <c r="J776" s="67" t="str">
        <v/>
      </c>
      <c r="K776" s="68" t="str">
        <v/>
      </c>
    </row>
    <row r="777" spans="2:11">
      <c r="B777" s="66" t="str">
        <v/>
      </c>
      <c r="C777" s="67" t="str">
        <v/>
      </c>
      <c r="D777" s="67" t="str">
        <v/>
      </c>
      <c r="E777" s="67" t="str">
        <v/>
      </c>
      <c r="F777" s="67" t="str">
        <v/>
      </c>
      <c r="G777" s="67" t="str">
        <v/>
      </c>
      <c r="H777" s="67" t="str">
        <v/>
      </c>
      <c r="I777" s="67" t="str">
        <v/>
      </c>
      <c r="J777" s="67" t="str">
        <v/>
      </c>
      <c r="K777" s="68" t="str">
        <v/>
      </c>
    </row>
    <row r="778" spans="2:11">
      <c r="B778" s="66" t="str">
        <v/>
      </c>
      <c r="C778" s="67" t="str">
        <v/>
      </c>
      <c r="D778" s="67" t="str">
        <v/>
      </c>
      <c r="E778" s="67" t="str">
        <v/>
      </c>
      <c r="F778" s="67" t="str">
        <v/>
      </c>
      <c r="G778" s="67" t="str">
        <v/>
      </c>
      <c r="H778" s="67" t="str">
        <v/>
      </c>
      <c r="I778" s="67" t="str">
        <v/>
      </c>
      <c r="J778" s="67" t="str">
        <v/>
      </c>
      <c r="K778" s="68" t="str">
        <v/>
      </c>
    </row>
    <row r="779" spans="2:11">
      <c r="B779" s="66" t="str">
        <v/>
      </c>
      <c r="C779" s="67" t="str">
        <v/>
      </c>
      <c r="D779" s="67" t="str">
        <v/>
      </c>
      <c r="E779" s="67" t="str">
        <v/>
      </c>
      <c r="F779" s="67" t="str">
        <v/>
      </c>
      <c r="G779" s="67" t="str">
        <v/>
      </c>
      <c r="H779" s="67" t="str">
        <v/>
      </c>
      <c r="I779" s="67" t="str">
        <v/>
      </c>
      <c r="J779" s="67" t="str">
        <v/>
      </c>
      <c r="K779" s="68" t="str">
        <v/>
      </c>
    </row>
    <row r="780" spans="2:11">
      <c r="B780" s="66" t="str">
        <v/>
      </c>
      <c r="C780" s="67" t="str">
        <v/>
      </c>
      <c r="D780" s="67" t="str">
        <v/>
      </c>
      <c r="E780" s="67" t="str">
        <v/>
      </c>
      <c r="F780" s="67" t="str">
        <v/>
      </c>
      <c r="G780" s="67" t="str">
        <v/>
      </c>
      <c r="H780" s="67" t="str">
        <v/>
      </c>
      <c r="I780" s="67" t="str">
        <v/>
      </c>
      <c r="J780" s="67" t="str">
        <v/>
      </c>
      <c r="K780" s="68" t="str">
        <v/>
      </c>
    </row>
    <row r="781" spans="2:11">
      <c r="B781" s="66" t="str">
        <v/>
      </c>
      <c r="C781" s="67" t="str">
        <v/>
      </c>
      <c r="D781" s="67" t="str">
        <v/>
      </c>
      <c r="E781" s="67" t="str">
        <v/>
      </c>
      <c r="F781" s="67" t="str">
        <v/>
      </c>
      <c r="G781" s="67" t="str">
        <v/>
      </c>
      <c r="H781" s="67" t="str">
        <v/>
      </c>
      <c r="I781" s="67" t="str">
        <v/>
      </c>
      <c r="J781" s="67" t="str">
        <v/>
      </c>
      <c r="K781" s="68" t="str">
        <v/>
      </c>
    </row>
    <row r="782" spans="2:11">
      <c r="B782" s="66" t="str">
        <v/>
      </c>
      <c r="C782" s="67" t="str">
        <v/>
      </c>
      <c r="D782" s="67" t="str">
        <v/>
      </c>
      <c r="E782" s="67" t="str">
        <v/>
      </c>
      <c r="F782" s="67" t="str">
        <v/>
      </c>
      <c r="G782" s="67" t="str">
        <v/>
      </c>
      <c r="H782" s="67" t="str">
        <v/>
      </c>
      <c r="I782" s="67" t="str">
        <v/>
      </c>
      <c r="J782" s="67" t="str">
        <v/>
      </c>
      <c r="K782" s="68" t="str">
        <v/>
      </c>
    </row>
    <row r="783" spans="2:11">
      <c r="B783" s="66" t="str">
        <v/>
      </c>
      <c r="C783" s="67" t="str">
        <v/>
      </c>
      <c r="D783" s="67" t="str">
        <v/>
      </c>
      <c r="E783" s="67" t="str">
        <v/>
      </c>
      <c r="F783" s="67" t="str">
        <v/>
      </c>
      <c r="G783" s="67" t="str">
        <v/>
      </c>
      <c r="H783" s="67" t="str">
        <v/>
      </c>
      <c r="I783" s="67" t="str">
        <v/>
      </c>
      <c r="J783" s="67" t="str">
        <v/>
      </c>
      <c r="K783" s="68" t="str">
        <v/>
      </c>
    </row>
    <row r="784" spans="2:11">
      <c r="B784" s="66" t="str">
        <v/>
      </c>
      <c r="C784" s="67" t="str">
        <v/>
      </c>
      <c r="D784" s="67" t="str">
        <v/>
      </c>
      <c r="E784" s="67" t="str">
        <v/>
      </c>
      <c r="F784" s="67" t="str">
        <v/>
      </c>
      <c r="G784" s="67" t="str">
        <v/>
      </c>
      <c r="H784" s="67" t="str">
        <v/>
      </c>
      <c r="I784" s="67" t="str">
        <v/>
      </c>
      <c r="J784" s="67" t="str">
        <v/>
      </c>
      <c r="K784" s="68" t="str">
        <v/>
      </c>
    </row>
    <row r="785" spans="2:11">
      <c r="B785" s="66" t="str">
        <v/>
      </c>
      <c r="C785" s="67" t="str">
        <v/>
      </c>
      <c r="D785" s="67" t="str">
        <v/>
      </c>
      <c r="E785" s="67" t="str">
        <v/>
      </c>
      <c r="F785" s="67" t="str">
        <v/>
      </c>
      <c r="G785" s="67" t="str">
        <v/>
      </c>
      <c r="H785" s="67" t="str">
        <v/>
      </c>
      <c r="I785" s="67" t="str">
        <v/>
      </c>
      <c r="J785" s="67" t="str">
        <v/>
      </c>
      <c r="K785" s="68" t="str">
        <v/>
      </c>
    </row>
    <row r="786" spans="2:11">
      <c r="B786" s="66" t="str">
        <v/>
      </c>
      <c r="C786" s="67" t="str">
        <v/>
      </c>
      <c r="D786" s="67" t="str">
        <v/>
      </c>
      <c r="E786" s="67" t="str">
        <v/>
      </c>
      <c r="F786" s="67" t="str">
        <v/>
      </c>
      <c r="G786" s="67" t="str">
        <v/>
      </c>
      <c r="H786" s="67" t="str">
        <v/>
      </c>
      <c r="I786" s="67" t="str">
        <v/>
      </c>
      <c r="J786" s="67" t="str">
        <v/>
      </c>
      <c r="K786" s="68" t="str">
        <v/>
      </c>
    </row>
    <row r="787" spans="2:11">
      <c r="B787" s="66" t="str">
        <v/>
      </c>
      <c r="C787" s="67" t="str">
        <v/>
      </c>
      <c r="D787" s="67" t="str">
        <v/>
      </c>
      <c r="E787" s="67" t="str">
        <v/>
      </c>
      <c r="F787" s="67" t="str">
        <v/>
      </c>
      <c r="G787" s="67" t="str">
        <v/>
      </c>
      <c r="H787" s="67" t="str">
        <v/>
      </c>
      <c r="I787" s="67" t="str">
        <v/>
      </c>
      <c r="J787" s="67" t="str">
        <v/>
      </c>
      <c r="K787" s="68" t="str">
        <v/>
      </c>
    </row>
    <row r="788" spans="2:11">
      <c r="B788" s="66" t="str">
        <v/>
      </c>
      <c r="C788" s="67" t="str">
        <v/>
      </c>
      <c r="D788" s="67" t="str">
        <v/>
      </c>
      <c r="E788" s="67" t="str">
        <v/>
      </c>
      <c r="F788" s="67" t="str">
        <v/>
      </c>
      <c r="G788" s="67" t="str">
        <v/>
      </c>
      <c r="H788" s="67" t="str">
        <v/>
      </c>
      <c r="I788" s="67" t="str">
        <v/>
      </c>
      <c r="J788" s="67" t="str">
        <v/>
      </c>
      <c r="K788" s="68" t="str">
        <v/>
      </c>
    </row>
    <row r="789" spans="2:11">
      <c r="B789" s="66" t="str">
        <v/>
      </c>
      <c r="C789" s="67" t="str">
        <v/>
      </c>
      <c r="D789" s="67" t="str">
        <v/>
      </c>
      <c r="E789" s="67" t="str">
        <v/>
      </c>
      <c r="F789" s="67" t="str">
        <v/>
      </c>
      <c r="G789" s="67" t="str">
        <v/>
      </c>
      <c r="H789" s="67" t="str">
        <v/>
      </c>
      <c r="I789" s="67" t="str">
        <v/>
      </c>
      <c r="J789" s="67" t="str">
        <v/>
      </c>
      <c r="K789" s="68" t="str">
        <v/>
      </c>
    </row>
    <row r="790" spans="2:11">
      <c r="B790" s="66" t="str">
        <v/>
      </c>
      <c r="C790" s="67" t="str">
        <v/>
      </c>
      <c r="D790" s="67" t="str">
        <v/>
      </c>
      <c r="E790" s="67" t="str">
        <v/>
      </c>
      <c r="F790" s="67" t="str">
        <v/>
      </c>
      <c r="G790" s="67" t="str">
        <v/>
      </c>
      <c r="H790" s="67" t="str">
        <v/>
      </c>
      <c r="I790" s="67" t="str">
        <v/>
      </c>
      <c r="J790" s="67" t="str">
        <v/>
      </c>
      <c r="K790" s="68" t="str">
        <v/>
      </c>
    </row>
    <row r="791" spans="2:11">
      <c r="B791" s="66" t="str">
        <v/>
      </c>
      <c r="C791" s="67" t="str">
        <v/>
      </c>
      <c r="D791" s="67" t="str">
        <v/>
      </c>
      <c r="E791" s="67" t="str">
        <v/>
      </c>
      <c r="F791" s="67" t="str">
        <v/>
      </c>
      <c r="G791" s="67" t="str">
        <v/>
      </c>
      <c r="H791" s="67" t="str">
        <v/>
      </c>
      <c r="I791" s="67" t="str">
        <v/>
      </c>
      <c r="J791" s="67" t="str">
        <v/>
      </c>
      <c r="K791" s="68" t="str">
        <v/>
      </c>
    </row>
    <row r="792" spans="2:11">
      <c r="B792" s="66" t="str">
        <v/>
      </c>
      <c r="C792" s="67" t="str">
        <v/>
      </c>
      <c r="D792" s="67" t="str">
        <v/>
      </c>
      <c r="E792" s="67" t="str">
        <v/>
      </c>
      <c r="F792" s="67" t="str">
        <v/>
      </c>
      <c r="G792" s="67" t="str">
        <v/>
      </c>
      <c r="H792" s="67" t="str">
        <v/>
      </c>
      <c r="I792" s="67" t="str">
        <v/>
      </c>
      <c r="J792" s="67" t="str">
        <v/>
      </c>
      <c r="K792" s="68" t="str">
        <v/>
      </c>
    </row>
    <row r="793" spans="2:11">
      <c r="B793" s="66" t="str">
        <v/>
      </c>
      <c r="C793" s="67" t="str">
        <v/>
      </c>
      <c r="D793" s="67" t="str">
        <v/>
      </c>
      <c r="E793" s="67" t="str">
        <v/>
      </c>
      <c r="F793" s="67" t="str">
        <v/>
      </c>
      <c r="G793" s="67" t="str">
        <v/>
      </c>
      <c r="H793" s="67" t="str">
        <v/>
      </c>
      <c r="I793" s="67" t="str">
        <v/>
      </c>
      <c r="J793" s="67" t="str">
        <v/>
      </c>
      <c r="K793" s="68" t="str">
        <v/>
      </c>
    </row>
    <row r="794" spans="2:11">
      <c r="B794" s="66" t="str">
        <v/>
      </c>
      <c r="C794" s="67" t="str">
        <v/>
      </c>
      <c r="D794" s="67" t="str">
        <v/>
      </c>
      <c r="E794" s="67" t="str">
        <v/>
      </c>
      <c r="F794" s="67" t="str">
        <v/>
      </c>
      <c r="G794" s="67" t="str">
        <v/>
      </c>
      <c r="H794" s="67" t="str">
        <v/>
      </c>
      <c r="I794" s="67" t="str">
        <v/>
      </c>
      <c r="J794" s="67" t="str">
        <v/>
      </c>
      <c r="K794" s="68" t="str">
        <v/>
      </c>
    </row>
    <row r="795" spans="2:11">
      <c r="B795" s="66" t="str">
        <v/>
      </c>
      <c r="C795" s="67" t="str">
        <v/>
      </c>
      <c r="D795" s="67" t="str">
        <v/>
      </c>
      <c r="E795" s="67" t="str">
        <v/>
      </c>
      <c r="F795" s="67" t="str">
        <v/>
      </c>
      <c r="G795" s="67" t="str">
        <v/>
      </c>
      <c r="H795" s="67" t="str">
        <v/>
      </c>
      <c r="I795" s="67" t="str">
        <v/>
      </c>
      <c r="J795" s="67" t="str">
        <v/>
      </c>
      <c r="K795" s="68" t="str">
        <v/>
      </c>
    </row>
    <row r="796" spans="2:11">
      <c r="B796" s="66" t="str">
        <v/>
      </c>
      <c r="C796" s="67" t="str">
        <v/>
      </c>
      <c r="D796" s="67" t="str">
        <v/>
      </c>
      <c r="E796" s="67" t="str">
        <v/>
      </c>
      <c r="F796" s="67" t="str">
        <v/>
      </c>
      <c r="G796" s="67" t="str">
        <v/>
      </c>
      <c r="H796" s="67" t="str">
        <v/>
      </c>
      <c r="I796" s="67" t="str">
        <v/>
      </c>
      <c r="J796" s="67" t="str">
        <v/>
      </c>
      <c r="K796" s="68" t="str">
        <v/>
      </c>
    </row>
    <row r="797" spans="2:11">
      <c r="B797" s="66" t="str">
        <v/>
      </c>
      <c r="C797" s="67" t="str">
        <v/>
      </c>
      <c r="D797" s="67" t="str">
        <v/>
      </c>
      <c r="E797" s="67" t="str">
        <v/>
      </c>
      <c r="F797" s="67" t="str">
        <v/>
      </c>
      <c r="G797" s="67" t="str">
        <v/>
      </c>
      <c r="H797" s="67" t="str">
        <v/>
      </c>
      <c r="I797" s="67" t="str">
        <v/>
      </c>
      <c r="J797" s="67" t="str">
        <v/>
      </c>
      <c r="K797" s="68" t="str">
        <v/>
      </c>
    </row>
    <row r="798" spans="2:11">
      <c r="B798" s="66" t="str">
        <v/>
      </c>
      <c r="C798" s="67" t="str">
        <v/>
      </c>
      <c r="D798" s="67" t="str">
        <v/>
      </c>
      <c r="E798" s="67" t="str">
        <v/>
      </c>
      <c r="F798" s="67" t="str">
        <v/>
      </c>
      <c r="G798" s="67" t="str">
        <v/>
      </c>
      <c r="H798" s="67" t="str">
        <v/>
      </c>
      <c r="I798" s="67" t="str">
        <v/>
      </c>
      <c r="J798" s="67" t="str">
        <v/>
      </c>
      <c r="K798" s="68" t="str">
        <v/>
      </c>
    </row>
    <row r="799" spans="2:11">
      <c r="B799" s="66" t="str">
        <v/>
      </c>
      <c r="C799" s="67" t="str">
        <v/>
      </c>
      <c r="D799" s="67" t="str">
        <v/>
      </c>
      <c r="E799" s="67" t="str">
        <v/>
      </c>
      <c r="F799" s="67" t="str">
        <v/>
      </c>
      <c r="G799" s="67" t="str">
        <v/>
      </c>
      <c r="H799" s="67" t="str">
        <v/>
      </c>
      <c r="I799" s="67" t="str">
        <v/>
      </c>
      <c r="J799" s="67" t="str">
        <v/>
      </c>
      <c r="K799" s="68" t="str">
        <v/>
      </c>
    </row>
    <row r="800" spans="2:11">
      <c r="B800" s="66" t="str">
        <v/>
      </c>
      <c r="C800" s="67" t="str">
        <v/>
      </c>
      <c r="D800" s="67" t="str">
        <v/>
      </c>
      <c r="E800" s="67" t="str">
        <v/>
      </c>
      <c r="F800" s="67" t="str">
        <v/>
      </c>
      <c r="G800" s="67" t="str">
        <v/>
      </c>
      <c r="H800" s="67" t="str">
        <v/>
      </c>
      <c r="I800" s="67" t="str">
        <v/>
      </c>
      <c r="J800" s="67" t="str">
        <v/>
      </c>
      <c r="K800" s="68" t="str">
        <v/>
      </c>
    </row>
    <row r="801" spans="2:11">
      <c r="B801" s="66" t="str">
        <v/>
      </c>
      <c r="C801" s="67" t="str">
        <v/>
      </c>
      <c r="D801" s="67" t="str">
        <v/>
      </c>
      <c r="E801" s="67" t="str">
        <v/>
      </c>
      <c r="F801" s="67" t="str">
        <v/>
      </c>
      <c r="G801" s="67" t="str">
        <v/>
      </c>
      <c r="H801" s="67" t="str">
        <v/>
      </c>
      <c r="I801" s="67" t="str">
        <v/>
      </c>
      <c r="J801" s="67" t="str">
        <v/>
      </c>
      <c r="K801" s="68" t="str">
        <v/>
      </c>
    </row>
    <row r="802" spans="2:11">
      <c r="B802" s="66" t="str">
        <v/>
      </c>
      <c r="C802" s="67" t="str">
        <v/>
      </c>
      <c r="D802" s="67" t="str">
        <v/>
      </c>
      <c r="E802" s="67" t="str">
        <v/>
      </c>
      <c r="F802" s="67" t="str">
        <v/>
      </c>
      <c r="G802" s="67" t="str">
        <v/>
      </c>
      <c r="H802" s="67" t="str">
        <v/>
      </c>
      <c r="I802" s="67" t="str">
        <v/>
      </c>
      <c r="J802" s="67" t="str">
        <v/>
      </c>
      <c r="K802" s="68" t="str">
        <v/>
      </c>
    </row>
    <row r="803" spans="2:11">
      <c r="B803" s="66" t="str">
        <v/>
      </c>
      <c r="C803" s="67" t="str">
        <v/>
      </c>
      <c r="D803" s="67" t="str">
        <v/>
      </c>
      <c r="E803" s="67" t="str">
        <v/>
      </c>
      <c r="F803" s="67" t="str">
        <v/>
      </c>
      <c r="G803" s="67" t="str">
        <v/>
      </c>
      <c r="H803" s="67" t="str">
        <v/>
      </c>
      <c r="I803" s="67" t="str">
        <v/>
      </c>
      <c r="J803" s="67" t="str">
        <v/>
      </c>
      <c r="K803" s="68" t="str">
        <v/>
      </c>
    </row>
    <row r="804" spans="2:11">
      <c r="B804" s="66" t="str">
        <v/>
      </c>
      <c r="C804" s="67" t="str">
        <v/>
      </c>
      <c r="D804" s="67" t="str">
        <v/>
      </c>
      <c r="E804" s="67" t="str">
        <v/>
      </c>
      <c r="F804" s="67" t="str">
        <v/>
      </c>
      <c r="G804" s="67" t="str">
        <v/>
      </c>
      <c r="H804" s="67" t="str">
        <v/>
      </c>
      <c r="I804" s="67" t="str">
        <v/>
      </c>
      <c r="J804" s="67" t="str">
        <v/>
      </c>
      <c r="K804" s="68" t="str">
        <v/>
      </c>
    </row>
    <row r="805" spans="2:11">
      <c r="B805" s="66" t="str">
        <v/>
      </c>
      <c r="C805" s="67" t="str">
        <v/>
      </c>
      <c r="D805" s="67" t="str">
        <v/>
      </c>
      <c r="E805" s="67" t="str">
        <v/>
      </c>
      <c r="F805" s="67" t="str">
        <v/>
      </c>
      <c r="G805" s="67" t="str">
        <v/>
      </c>
      <c r="H805" s="67" t="str">
        <v/>
      </c>
      <c r="I805" s="67" t="str">
        <v/>
      </c>
      <c r="J805" s="67" t="str">
        <v/>
      </c>
      <c r="K805" s="68" t="str">
        <v/>
      </c>
    </row>
    <row r="806" spans="2:11">
      <c r="B806" s="66" t="str">
        <v/>
      </c>
      <c r="C806" s="67" t="str">
        <v/>
      </c>
      <c r="D806" s="67" t="str">
        <v/>
      </c>
      <c r="E806" s="67" t="str">
        <v/>
      </c>
      <c r="F806" s="67" t="str">
        <v/>
      </c>
      <c r="G806" s="67" t="str">
        <v/>
      </c>
      <c r="H806" s="67" t="str">
        <v/>
      </c>
      <c r="I806" s="67" t="str">
        <v/>
      </c>
      <c r="J806" s="67" t="str">
        <v/>
      </c>
      <c r="K806" s="68" t="str">
        <v/>
      </c>
    </row>
    <row r="807" spans="2:11">
      <c r="B807" s="66" t="str">
        <v/>
      </c>
      <c r="C807" s="67" t="str">
        <v/>
      </c>
      <c r="D807" s="67" t="str">
        <v/>
      </c>
      <c r="E807" s="67" t="str">
        <v/>
      </c>
      <c r="F807" s="67" t="str">
        <v/>
      </c>
      <c r="G807" s="67" t="str">
        <v/>
      </c>
      <c r="H807" s="67" t="str">
        <v/>
      </c>
      <c r="I807" s="67" t="str">
        <v/>
      </c>
      <c r="J807" s="67" t="str">
        <v/>
      </c>
      <c r="K807" s="68" t="str">
        <v/>
      </c>
    </row>
    <row r="808" spans="2:11">
      <c r="B808" s="66" t="str">
        <v/>
      </c>
      <c r="C808" s="67" t="str">
        <v/>
      </c>
      <c r="D808" s="67" t="str">
        <v/>
      </c>
      <c r="E808" s="67" t="str">
        <v/>
      </c>
      <c r="F808" s="67" t="str">
        <v/>
      </c>
      <c r="G808" s="67" t="str">
        <v/>
      </c>
      <c r="H808" s="67" t="str">
        <v/>
      </c>
      <c r="I808" s="67" t="str">
        <v/>
      </c>
      <c r="J808" s="67" t="str">
        <v/>
      </c>
      <c r="K808" s="68" t="str">
        <v/>
      </c>
    </row>
    <row r="809" spans="2:11">
      <c r="B809" s="66" t="str">
        <v/>
      </c>
      <c r="C809" s="67" t="str">
        <v/>
      </c>
      <c r="D809" s="67" t="str">
        <v/>
      </c>
      <c r="E809" s="67" t="str">
        <v/>
      </c>
      <c r="F809" s="67" t="str">
        <v/>
      </c>
      <c r="G809" s="67" t="str">
        <v/>
      </c>
      <c r="H809" s="67" t="str">
        <v/>
      </c>
      <c r="I809" s="67" t="str">
        <v/>
      </c>
      <c r="J809" s="67" t="str">
        <v/>
      </c>
      <c r="K809" s="68" t="str">
        <v/>
      </c>
    </row>
    <row r="810" spans="2:11">
      <c r="B810" s="66" t="str">
        <v/>
      </c>
      <c r="C810" s="67" t="str">
        <v/>
      </c>
      <c r="D810" s="67" t="str">
        <v/>
      </c>
      <c r="E810" s="67" t="str">
        <v/>
      </c>
      <c r="F810" s="67" t="str">
        <v/>
      </c>
      <c r="G810" s="67" t="str">
        <v/>
      </c>
      <c r="H810" s="67" t="str">
        <v/>
      </c>
      <c r="I810" s="67" t="str">
        <v/>
      </c>
      <c r="J810" s="67" t="str">
        <v/>
      </c>
      <c r="K810" s="68" t="str">
        <v/>
      </c>
    </row>
    <row r="811" spans="2:11">
      <c r="B811" s="66" t="str">
        <v/>
      </c>
      <c r="C811" s="67" t="str">
        <v/>
      </c>
      <c r="D811" s="67" t="str">
        <v/>
      </c>
      <c r="E811" s="67" t="str">
        <v/>
      </c>
      <c r="F811" s="67" t="str">
        <v/>
      </c>
      <c r="G811" s="67" t="str">
        <v/>
      </c>
      <c r="H811" s="67" t="str">
        <v/>
      </c>
      <c r="I811" s="67" t="str">
        <v/>
      </c>
      <c r="J811" s="67" t="str">
        <v/>
      </c>
      <c r="K811" s="68" t="str">
        <v/>
      </c>
    </row>
    <row r="812" spans="2:11">
      <c r="B812" s="66" t="str">
        <v/>
      </c>
      <c r="C812" s="67" t="str">
        <v/>
      </c>
      <c r="D812" s="67" t="str">
        <v/>
      </c>
      <c r="E812" s="67" t="str">
        <v/>
      </c>
      <c r="F812" s="67" t="str">
        <v/>
      </c>
      <c r="G812" s="67" t="str">
        <v/>
      </c>
      <c r="H812" s="67" t="str">
        <v/>
      </c>
      <c r="I812" s="67" t="str">
        <v/>
      </c>
      <c r="J812" s="67" t="str">
        <v/>
      </c>
      <c r="K812" s="68" t="str">
        <v/>
      </c>
    </row>
    <row r="813" spans="2:11">
      <c r="B813" s="66" t="str">
        <v/>
      </c>
      <c r="C813" s="67" t="str">
        <v/>
      </c>
      <c r="D813" s="67" t="str">
        <v/>
      </c>
      <c r="E813" s="67" t="str">
        <v/>
      </c>
      <c r="F813" s="67" t="str">
        <v/>
      </c>
      <c r="G813" s="67" t="str">
        <v/>
      </c>
      <c r="H813" s="67" t="str">
        <v/>
      </c>
      <c r="I813" s="67" t="str">
        <v/>
      </c>
      <c r="J813" s="67" t="str">
        <v/>
      </c>
      <c r="K813" s="68" t="str">
        <v/>
      </c>
    </row>
    <row r="814" spans="2:11">
      <c r="B814" s="66" t="str">
        <v/>
      </c>
      <c r="C814" s="67" t="str">
        <v/>
      </c>
      <c r="D814" s="67" t="str">
        <v/>
      </c>
      <c r="E814" s="67" t="str">
        <v/>
      </c>
      <c r="F814" s="67" t="str">
        <v/>
      </c>
      <c r="G814" s="67" t="str">
        <v/>
      </c>
      <c r="H814" s="67" t="str">
        <v/>
      </c>
      <c r="I814" s="67" t="str">
        <v/>
      </c>
      <c r="J814" s="67" t="str">
        <v/>
      </c>
      <c r="K814" s="68" t="str">
        <v/>
      </c>
    </row>
    <row r="815" spans="2:11">
      <c r="B815" s="66" t="str">
        <v/>
      </c>
      <c r="C815" s="67" t="str">
        <v/>
      </c>
      <c r="D815" s="67" t="str">
        <v/>
      </c>
      <c r="E815" s="67" t="str">
        <v/>
      </c>
      <c r="F815" s="67" t="str">
        <v/>
      </c>
      <c r="G815" s="67" t="str">
        <v/>
      </c>
      <c r="H815" s="67" t="str">
        <v/>
      </c>
      <c r="I815" s="67" t="str">
        <v/>
      </c>
      <c r="J815" s="67" t="str">
        <v/>
      </c>
      <c r="K815" s="68" t="str">
        <v/>
      </c>
    </row>
    <row r="816" spans="2:11">
      <c r="B816" s="66" t="str">
        <v/>
      </c>
      <c r="C816" s="67" t="str">
        <v/>
      </c>
      <c r="D816" s="67" t="str">
        <v/>
      </c>
      <c r="E816" s="67" t="str">
        <v/>
      </c>
      <c r="F816" s="67" t="str">
        <v/>
      </c>
      <c r="G816" s="67" t="str">
        <v/>
      </c>
      <c r="H816" s="67" t="str">
        <v/>
      </c>
      <c r="I816" s="67" t="str">
        <v/>
      </c>
      <c r="J816" s="67" t="str">
        <v/>
      </c>
      <c r="K816" s="68" t="str">
        <v/>
      </c>
    </row>
    <row r="817" spans="2:11">
      <c r="B817" s="66" t="str">
        <v/>
      </c>
      <c r="C817" s="67" t="str">
        <v/>
      </c>
      <c r="D817" s="67" t="str">
        <v/>
      </c>
      <c r="E817" s="67" t="str">
        <v/>
      </c>
      <c r="F817" s="67" t="str">
        <v/>
      </c>
      <c r="G817" s="67" t="str">
        <v/>
      </c>
      <c r="H817" s="67" t="str">
        <v/>
      </c>
      <c r="I817" s="67" t="str">
        <v/>
      </c>
      <c r="J817" s="67" t="str">
        <v/>
      </c>
      <c r="K817" s="68" t="str">
        <v/>
      </c>
    </row>
    <row r="818" spans="2:11">
      <c r="B818" s="66" t="str">
        <v/>
      </c>
      <c r="C818" s="67" t="str">
        <v/>
      </c>
      <c r="D818" s="67" t="str">
        <v/>
      </c>
      <c r="E818" s="67" t="str">
        <v/>
      </c>
      <c r="F818" s="67" t="str">
        <v/>
      </c>
      <c r="G818" s="67" t="str">
        <v/>
      </c>
      <c r="H818" s="67" t="str">
        <v/>
      </c>
      <c r="I818" s="67" t="str">
        <v/>
      </c>
      <c r="J818" s="67" t="str">
        <v/>
      </c>
      <c r="K818" s="68" t="str">
        <v/>
      </c>
    </row>
    <row r="819" spans="2:11">
      <c r="B819" s="66" t="str">
        <v/>
      </c>
      <c r="C819" s="67" t="str">
        <v/>
      </c>
      <c r="D819" s="67" t="str">
        <v/>
      </c>
      <c r="E819" s="67" t="str">
        <v/>
      </c>
      <c r="F819" s="67" t="str">
        <v/>
      </c>
      <c r="G819" s="67" t="str">
        <v/>
      </c>
      <c r="H819" s="67" t="str">
        <v/>
      </c>
      <c r="I819" s="67" t="str">
        <v/>
      </c>
      <c r="J819" s="67" t="str">
        <v/>
      </c>
      <c r="K819" s="68" t="str">
        <v/>
      </c>
    </row>
    <row r="820" spans="2:11">
      <c r="B820" s="66" t="str">
        <v/>
      </c>
      <c r="C820" s="67" t="str">
        <v/>
      </c>
      <c r="D820" s="67" t="str">
        <v/>
      </c>
      <c r="E820" s="67" t="str">
        <v/>
      </c>
      <c r="F820" s="67" t="str">
        <v/>
      </c>
      <c r="G820" s="67" t="str">
        <v/>
      </c>
      <c r="H820" s="67" t="str">
        <v/>
      </c>
      <c r="I820" s="67" t="str">
        <v/>
      </c>
      <c r="J820" s="67" t="str">
        <v/>
      </c>
      <c r="K820" s="68" t="str">
        <v/>
      </c>
    </row>
    <row r="821" spans="2:11">
      <c r="B821" s="66" t="str">
        <v/>
      </c>
      <c r="C821" s="67" t="str">
        <v/>
      </c>
      <c r="D821" s="67" t="str">
        <v/>
      </c>
      <c r="E821" s="67" t="str">
        <v/>
      </c>
      <c r="F821" s="67" t="str">
        <v/>
      </c>
      <c r="G821" s="67" t="str">
        <v/>
      </c>
      <c r="H821" s="67" t="str">
        <v/>
      </c>
      <c r="I821" s="67" t="str">
        <v/>
      </c>
      <c r="J821" s="67" t="str">
        <v/>
      </c>
      <c r="K821" s="68" t="str">
        <v/>
      </c>
    </row>
    <row r="822" spans="2:11">
      <c r="B822" s="66" t="str">
        <v/>
      </c>
      <c r="C822" s="67" t="str">
        <v/>
      </c>
      <c r="D822" s="67" t="str">
        <v/>
      </c>
      <c r="E822" s="67" t="str">
        <v/>
      </c>
      <c r="F822" s="67" t="str">
        <v/>
      </c>
      <c r="G822" s="67" t="str">
        <v/>
      </c>
      <c r="H822" s="67" t="str">
        <v/>
      </c>
      <c r="I822" s="67" t="str">
        <v/>
      </c>
      <c r="J822" s="67" t="str">
        <v/>
      </c>
      <c r="K822" s="68" t="str">
        <v/>
      </c>
    </row>
    <row r="823" spans="2:11">
      <c r="B823" s="66" t="str">
        <v/>
      </c>
      <c r="C823" s="67" t="str">
        <v/>
      </c>
      <c r="D823" s="67" t="str">
        <v/>
      </c>
      <c r="E823" s="67" t="str">
        <v/>
      </c>
      <c r="F823" s="67" t="str">
        <v/>
      </c>
      <c r="G823" s="67" t="str">
        <v/>
      </c>
      <c r="H823" s="67" t="str">
        <v/>
      </c>
      <c r="I823" s="67" t="str">
        <v/>
      </c>
      <c r="J823" s="67" t="str">
        <v/>
      </c>
      <c r="K823" s="68" t="str">
        <v/>
      </c>
    </row>
    <row r="824" spans="2:11">
      <c r="B824" s="66" t="str">
        <v/>
      </c>
      <c r="C824" s="67" t="str">
        <v/>
      </c>
      <c r="D824" s="67" t="str">
        <v/>
      </c>
      <c r="E824" s="67" t="str">
        <v/>
      </c>
      <c r="F824" s="67" t="str">
        <v/>
      </c>
      <c r="G824" s="67" t="str">
        <v/>
      </c>
      <c r="H824" s="67" t="str">
        <v/>
      </c>
      <c r="I824" s="67" t="str">
        <v/>
      </c>
      <c r="J824" s="67" t="str">
        <v/>
      </c>
      <c r="K824" s="68" t="str">
        <v/>
      </c>
    </row>
    <row r="825" spans="2:11">
      <c r="B825" s="66" t="str">
        <v/>
      </c>
      <c r="C825" s="67" t="str">
        <v/>
      </c>
      <c r="D825" s="67" t="str">
        <v/>
      </c>
      <c r="E825" s="67" t="str">
        <v/>
      </c>
      <c r="F825" s="67" t="str">
        <v/>
      </c>
      <c r="G825" s="67" t="str">
        <v/>
      </c>
      <c r="H825" s="67" t="str">
        <v/>
      </c>
      <c r="I825" s="67" t="str">
        <v/>
      </c>
      <c r="J825" s="67" t="str">
        <v/>
      </c>
      <c r="K825" s="68" t="str">
        <v/>
      </c>
    </row>
    <row r="826" spans="2:11">
      <c r="B826" s="66" t="str">
        <v/>
      </c>
      <c r="C826" s="67" t="str">
        <v/>
      </c>
      <c r="D826" s="67" t="str">
        <v/>
      </c>
      <c r="E826" s="67" t="str">
        <v/>
      </c>
      <c r="F826" s="67" t="str">
        <v/>
      </c>
      <c r="G826" s="67" t="str">
        <v/>
      </c>
      <c r="H826" s="67" t="str">
        <v/>
      </c>
      <c r="I826" s="67" t="str">
        <v/>
      </c>
      <c r="J826" s="67" t="str">
        <v/>
      </c>
      <c r="K826" s="68" t="str">
        <v/>
      </c>
    </row>
    <row r="827" spans="2:11">
      <c r="B827" s="66" t="str">
        <v/>
      </c>
      <c r="C827" s="67" t="str">
        <v/>
      </c>
      <c r="D827" s="67" t="str">
        <v/>
      </c>
      <c r="E827" s="67" t="str">
        <v/>
      </c>
      <c r="F827" s="67" t="str">
        <v/>
      </c>
      <c r="G827" s="67" t="str">
        <v/>
      </c>
      <c r="H827" s="67" t="str">
        <v/>
      </c>
      <c r="I827" s="67" t="str">
        <v/>
      </c>
      <c r="J827" s="67" t="str">
        <v/>
      </c>
      <c r="K827" s="68" t="str">
        <v/>
      </c>
    </row>
    <row r="828" spans="2:11">
      <c r="B828" s="66" t="str">
        <v/>
      </c>
      <c r="C828" s="67" t="str">
        <v/>
      </c>
      <c r="D828" s="67" t="str">
        <v/>
      </c>
      <c r="E828" s="67" t="str">
        <v/>
      </c>
      <c r="F828" s="67" t="str">
        <v/>
      </c>
      <c r="G828" s="67" t="str">
        <v/>
      </c>
      <c r="H828" s="67" t="str">
        <v/>
      </c>
      <c r="I828" s="67" t="str">
        <v/>
      </c>
      <c r="J828" s="67" t="str">
        <v/>
      </c>
      <c r="K828" s="68" t="str">
        <v/>
      </c>
    </row>
    <row r="829" spans="2:11">
      <c r="B829" s="66" t="str">
        <v/>
      </c>
      <c r="C829" s="67" t="str">
        <v/>
      </c>
      <c r="D829" s="67" t="str">
        <v/>
      </c>
      <c r="E829" s="67" t="str">
        <v/>
      </c>
      <c r="F829" s="67" t="str">
        <v/>
      </c>
      <c r="G829" s="67" t="str">
        <v/>
      </c>
      <c r="H829" s="67" t="str">
        <v/>
      </c>
      <c r="I829" s="67" t="str">
        <v/>
      </c>
      <c r="J829" s="67" t="str">
        <v/>
      </c>
      <c r="K829" s="68" t="str">
        <v/>
      </c>
    </row>
    <row r="830" spans="2:11">
      <c r="B830" s="66" t="str">
        <v/>
      </c>
      <c r="C830" s="67" t="str">
        <v/>
      </c>
      <c r="D830" s="67" t="str">
        <v/>
      </c>
      <c r="E830" s="67" t="str">
        <v/>
      </c>
      <c r="F830" s="67" t="str">
        <v/>
      </c>
      <c r="G830" s="67" t="str">
        <v/>
      </c>
      <c r="H830" s="67" t="str">
        <v/>
      </c>
      <c r="I830" s="67" t="str">
        <v/>
      </c>
      <c r="J830" s="67" t="str">
        <v/>
      </c>
      <c r="K830" s="68" t="str">
        <v/>
      </c>
    </row>
    <row r="831" spans="2:11">
      <c r="B831" s="66" t="str">
        <v/>
      </c>
      <c r="C831" s="67" t="str">
        <v/>
      </c>
      <c r="D831" s="67" t="str">
        <v/>
      </c>
      <c r="E831" s="67" t="str">
        <v/>
      </c>
      <c r="F831" s="67" t="str">
        <v/>
      </c>
      <c r="G831" s="67" t="str">
        <v/>
      </c>
      <c r="H831" s="67" t="str">
        <v/>
      </c>
      <c r="I831" s="67" t="str">
        <v/>
      </c>
      <c r="J831" s="67" t="str">
        <v/>
      </c>
      <c r="K831" s="68" t="str">
        <v/>
      </c>
    </row>
    <row r="832" spans="2:11">
      <c r="B832" s="66" t="str">
        <v/>
      </c>
      <c r="C832" s="67" t="str">
        <v/>
      </c>
      <c r="D832" s="67" t="str">
        <v/>
      </c>
      <c r="E832" s="67" t="str">
        <v/>
      </c>
      <c r="F832" s="67" t="str">
        <v/>
      </c>
      <c r="G832" s="67" t="str">
        <v/>
      </c>
      <c r="H832" s="67" t="str">
        <v/>
      </c>
      <c r="I832" s="67" t="str">
        <v/>
      </c>
      <c r="J832" s="67" t="str">
        <v/>
      </c>
      <c r="K832" s="68" t="str">
        <v/>
      </c>
    </row>
    <row r="833" spans="2:11">
      <c r="B833" s="66" t="str">
        <v/>
      </c>
      <c r="C833" s="67" t="str">
        <v/>
      </c>
      <c r="D833" s="67" t="str">
        <v/>
      </c>
      <c r="E833" s="67" t="str">
        <v/>
      </c>
      <c r="F833" s="67" t="str">
        <v/>
      </c>
      <c r="G833" s="67" t="str">
        <v/>
      </c>
      <c r="H833" s="67" t="str">
        <v/>
      </c>
      <c r="I833" s="67" t="str">
        <v/>
      </c>
      <c r="J833" s="67" t="str">
        <v/>
      </c>
      <c r="K833" s="68" t="str">
        <v/>
      </c>
    </row>
    <row r="834" spans="2:11">
      <c r="B834" s="66" t="str">
        <v/>
      </c>
      <c r="C834" s="67" t="str">
        <v/>
      </c>
      <c r="D834" s="67" t="str">
        <v/>
      </c>
      <c r="E834" s="67" t="str">
        <v/>
      </c>
      <c r="F834" s="67" t="str">
        <v/>
      </c>
      <c r="G834" s="67" t="str">
        <v/>
      </c>
      <c r="H834" s="67" t="str">
        <v/>
      </c>
      <c r="I834" s="67" t="str">
        <v/>
      </c>
      <c r="J834" s="67" t="str">
        <v/>
      </c>
      <c r="K834" s="68" t="str">
        <v/>
      </c>
    </row>
    <row r="835" spans="2:11">
      <c r="B835" s="66" t="str">
        <v/>
      </c>
      <c r="C835" s="67" t="str">
        <v/>
      </c>
      <c r="D835" s="67" t="str">
        <v/>
      </c>
      <c r="E835" s="67" t="str">
        <v/>
      </c>
      <c r="F835" s="67" t="str">
        <v/>
      </c>
      <c r="G835" s="67" t="str">
        <v/>
      </c>
      <c r="H835" s="67" t="str">
        <v/>
      </c>
      <c r="I835" s="67" t="str">
        <v/>
      </c>
      <c r="J835" s="67" t="str">
        <v/>
      </c>
      <c r="K835" s="68" t="str">
        <v/>
      </c>
    </row>
    <row r="836" spans="2:11">
      <c r="B836" s="66" t="str">
        <v/>
      </c>
      <c r="C836" s="67" t="str">
        <v/>
      </c>
      <c r="D836" s="67" t="str">
        <v/>
      </c>
      <c r="E836" s="67" t="str">
        <v/>
      </c>
      <c r="F836" s="67" t="str">
        <v/>
      </c>
      <c r="G836" s="67" t="str">
        <v/>
      </c>
      <c r="H836" s="67" t="str">
        <v/>
      </c>
      <c r="I836" s="67" t="str">
        <v/>
      </c>
      <c r="J836" s="67" t="str">
        <v/>
      </c>
      <c r="K836" s="68" t="str">
        <v/>
      </c>
    </row>
    <row r="837" spans="2:11">
      <c r="B837" s="66" t="str">
        <v/>
      </c>
      <c r="C837" s="67" t="str">
        <v/>
      </c>
      <c r="D837" s="67" t="str">
        <v/>
      </c>
      <c r="E837" s="67" t="str">
        <v/>
      </c>
      <c r="F837" s="67" t="str">
        <v/>
      </c>
      <c r="G837" s="67" t="str">
        <v/>
      </c>
      <c r="H837" s="67" t="str">
        <v/>
      </c>
      <c r="I837" s="67" t="str">
        <v/>
      </c>
      <c r="J837" s="67" t="str">
        <v/>
      </c>
      <c r="K837" s="68" t="str">
        <v/>
      </c>
    </row>
    <row r="838" spans="2:11">
      <c r="B838" s="66" t="str">
        <v/>
      </c>
      <c r="C838" s="67" t="str">
        <v/>
      </c>
      <c r="D838" s="67" t="str">
        <v/>
      </c>
      <c r="E838" s="67" t="str">
        <v/>
      </c>
      <c r="F838" s="67" t="str">
        <v/>
      </c>
      <c r="G838" s="67" t="str">
        <v/>
      </c>
      <c r="H838" s="67" t="str">
        <v/>
      </c>
      <c r="I838" s="67" t="str">
        <v/>
      </c>
      <c r="J838" s="67" t="str">
        <v/>
      </c>
      <c r="K838" s="68" t="str">
        <v/>
      </c>
    </row>
    <row r="839" spans="2:11">
      <c r="B839" s="66" t="str">
        <v/>
      </c>
      <c r="C839" s="67" t="str">
        <v/>
      </c>
      <c r="D839" s="67" t="str">
        <v/>
      </c>
      <c r="E839" s="67" t="str">
        <v/>
      </c>
      <c r="F839" s="67" t="str">
        <v/>
      </c>
      <c r="G839" s="67" t="str">
        <v/>
      </c>
      <c r="H839" s="67" t="str">
        <v/>
      </c>
      <c r="I839" s="67" t="str">
        <v/>
      </c>
      <c r="J839" s="67" t="str">
        <v/>
      </c>
      <c r="K839" s="68" t="str">
        <v/>
      </c>
    </row>
    <row r="840" spans="2:11">
      <c r="B840" s="66" t="str">
        <v/>
      </c>
      <c r="C840" s="67" t="str">
        <v/>
      </c>
      <c r="D840" s="67" t="str">
        <v/>
      </c>
      <c r="E840" s="67" t="str">
        <v/>
      </c>
      <c r="F840" s="67" t="str">
        <v/>
      </c>
      <c r="G840" s="67" t="str">
        <v/>
      </c>
      <c r="H840" s="67" t="str">
        <v/>
      </c>
      <c r="I840" s="67" t="str">
        <v/>
      </c>
      <c r="J840" s="67" t="str">
        <v/>
      </c>
      <c r="K840" s="68" t="str">
        <v/>
      </c>
    </row>
    <row r="841" spans="2:11">
      <c r="B841" s="66" t="str">
        <v/>
      </c>
      <c r="C841" s="67" t="str">
        <v/>
      </c>
      <c r="D841" s="67" t="str">
        <v/>
      </c>
      <c r="E841" s="67" t="str">
        <v/>
      </c>
      <c r="F841" s="67" t="str">
        <v/>
      </c>
      <c r="G841" s="67" t="str">
        <v/>
      </c>
      <c r="H841" s="67" t="str">
        <v/>
      </c>
      <c r="I841" s="67" t="str">
        <v/>
      </c>
      <c r="J841" s="67" t="str">
        <v/>
      </c>
      <c r="K841" s="68" t="str">
        <v/>
      </c>
    </row>
    <row r="842" spans="2:11">
      <c r="B842" s="66" t="str">
        <v/>
      </c>
      <c r="C842" s="67" t="str">
        <v/>
      </c>
      <c r="D842" s="67" t="str">
        <v/>
      </c>
      <c r="E842" s="67" t="str">
        <v/>
      </c>
      <c r="F842" s="67" t="str">
        <v/>
      </c>
      <c r="G842" s="67" t="str">
        <v/>
      </c>
      <c r="H842" s="67" t="str">
        <v/>
      </c>
      <c r="I842" s="67" t="str">
        <v/>
      </c>
      <c r="J842" s="67" t="str">
        <v/>
      </c>
      <c r="K842" s="68" t="str">
        <v/>
      </c>
    </row>
    <row r="843" spans="2:11">
      <c r="B843" s="66" t="str">
        <v/>
      </c>
      <c r="C843" s="67" t="str">
        <v/>
      </c>
      <c r="D843" s="67" t="str">
        <v/>
      </c>
      <c r="E843" s="67" t="str">
        <v/>
      </c>
      <c r="F843" s="67" t="str">
        <v/>
      </c>
      <c r="G843" s="67" t="str">
        <v/>
      </c>
      <c r="H843" s="67" t="str">
        <v/>
      </c>
      <c r="I843" s="67" t="str">
        <v/>
      </c>
      <c r="J843" s="67" t="str">
        <v/>
      </c>
      <c r="K843" s="68" t="str">
        <v/>
      </c>
    </row>
    <row r="844" spans="2:11">
      <c r="B844" s="66" t="str">
        <v/>
      </c>
      <c r="C844" s="67" t="str">
        <v/>
      </c>
      <c r="D844" s="67" t="str">
        <v/>
      </c>
      <c r="E844" s="67" t="str">
        <v/>
      </c>
      <c r="F844" s="67" t="str">
        <v/>
      </c>
      <c r="G844" s="67" t="str">
        <v/>
      </c>
      <c r="H844" s="67" t="str">
        <v/>
      </c>
      <c r="I844" s="67" t="str">
        <v/>
      </c>
      <c r="J844" s="67" t="str">
        <v/>
      </c>
      <c r="K844" s="68" t="str">
        <v/>
      </c>
    </row>
    <row r="845" spans="2:11">
      <c r="B845" s="66" t="str">
        <v/>
      </c>
      <c r="C845" s="67" t="str">
        <v/>
      </c>
      <c r="D845" s="67" t="str">
        <v/>
      </c>
      <c r="E845" s="67" t="str">
        <v/>
      </c>
      <c r="F845" s="67" t="str">
        <v/>
      </c>
      <c r="G845" s="67" t="str">
        <v/>
      </c>
      <c r="H845" s="67" t="str">
        <v/>
      </c>
      <c r="I845" s="67" t="str">
        <v/>
      </c>
      <c r="J845" s="67" t="str">
        <v/>
      </c>
      <c r="K845" s="68" t="str">
        <v/>
      </c>
    </row>
    <row r="846" spans="2:11">
      <c r="B846" s="66" t="str">
        <v/>
      </c>
      <c r="C846" s="67" t="str">
        <v/>
      </c>
      <c r="D846" s="67" t="str">
        <v/>
      </c>
      <c r="E846" s="67" t="str">
        <v/>
      </c>
      <c r="F846" s="67" t="str">
        <v/>
      </c>
      <c r="G846" s="67" t="str">
        <v/>
      </c>
      <c r="H846" s="67" t="str">
        <v/>
      </c>
      <c r="I846" s="67" t="str">
        <v/>
      </c>
      <c r="J846" s="67" t="str">
        <v/>
      </c>
      <c r="K846" s="68" t="str">
        <v/>
      </c>
    </row>
    <row r="847" spans="2:11">
      <c r="B847" s="66" t="str">
        <v/>
      </c>
      <c r="C847" s="67" t="str">
        <v/>
      </c>
      <c r="D847" s="67" t="str">
        <v/>
      </c>
      <c r="E847" s="67" t="str">
        <v/>
      </c>
      <c r="F847" s="67" t="str">
        <v/>
      </c>
      <c r="G847" s="67" t="str">
        <v/>
      </c>
      <c r="H847" s="67" t="str">
        <v/>
      </c>
      <c r="I847" s="67" t="str">
        <v/>
      </c>
      <c r="J847" s="67" t="str">
        <v/>
      </c>
      <c r="K847" s="68" t="str">
        <v/>
      </c>
    </row>
    <row r="848" spans="2:11">
      <c r="B848" s="66" t="str">
        <v/>
      </c>
      <c r="C848" s="67" t="str">
        <v/>
      </c>
      <c r="D848" s="67" t="str">
        <v/>
      </c>
      <c r="E848" s="67" t="str">
        <v/>
      </c>
      <c r="F848" s="67" t="str">
        <v/>
      </c>
      <c r="G848" s="67" t="str">
        <v/>
      </c>
      <c r="H848" s="67" t="str">
        <v/>
      </c>
      <c r="I848" s="67" t="str">
        <v/>
      </c>
      <c r="J848" s="67" t="str">
        <v/>
      </c>
      <c r="K848" s="68" t="str">
        <v/>
      </c>
    </row>
    <row r="849" spans="2:11">
      <c r="B849" s="66" t="str">
        <v/>
      </c>
      <c r="C849" s="67" t="str">
        <v/>
      </c>
      <c r="D849" s="67" t="str">
        <v/>
      </c>
      <c r="E849" s="67" t="str">
        <v/>
      </c>
      <c r="F849" s="67" t="str">
        <v/>
      </c>
      <c r="G849" s="67" t="str">
        <v/>
      </c>
      <c r="H849" s="67" t="str">
        <v/>
      </c>
      <c r="I849" s="67" t="str">
        <v/>
      </c>
      <c r="J849" s="67" t="str">
        <v/>
      </c>
      <c r="K849" s="68" t="str">
        <v/>
      </c>
    </row>
    <row r="850" spans="2:11">
      <c r="B850" s="66" t="str">
        <v/>
      </c>
      <c r="C850" s="67" t="str">
        <v/>
      </c>
      <c r="D850" s="67" t="str">
        <v/>
      </c>
      <c r="E850" s="67" t="str">
        <v/>
      </c>
      <c r="F850" s="67" t="str">
        <v/>
      </c>
      <c r="G850" s="67" t="str">
        <v/>
      </c>
      <c r="H850" s="67" t="str">
        <v/>
      </c>
      <c r="I850" s="67" t="str">
        <v/>
      </c>
      <c r="J850" s="67" t="str">
        <v/>
      </c>
      <c r="K850" s="68" t="str">
        <v/>
      </c>
    </row>
    <row r="851" spans="2:11">
      <c r="B851" s="66" t="str">
        <v/>
      </c>
      <c r="C851" s="67" t="str">
        <v/>
      </c>
      <c r="D851" s="67" t="str">
        <v/>
      </c>
      <c r="E851" s="67" t="str">
        <v/>
      </c>
      <c r="F851" s="67" t="str">
        <v/>
      </c>
      <c r="G851" s="67" t="str">
        <v/>
      </c>
      <c r="H851" s="67" t="str">
        <v/>
      </c>
      <c r="I851" s="67" t="str">
        <v/>
      </c>
      <c r="J851" s="67" t="str">
        <v/>
      </c>
      <c r="K851" s="68" t="str">
        <v/>
      </c>
    </row>
    <row r="852" spans="2:11">
      <c r="B852" s="66" t="str">
        <v/>
      </c>
      <c r="C852" s="67" t="str">
        <v/>
      </c>
      <c r="D852" s="67" t="str">
        <v/>
      </c>
      <c r="E852" s="67" t="str">
        <v/>
      </c>
      <c r="F852" s="67" t="str">
        <v/>
      </c>
      <c r="G852" s="67" t="str">
        <v/>
      </c>
      <c r="H852" s="67" t="str">
        <v/>
      </c>
      <c r="I852" s="67" t="str">
        <v/>
      </c>
      <c r="J852" s="67" t="str">
        <v/>
      </c>
      <c r="K852" s="68" t="str">
        <v/>
      </c>
    </row>
    <row r="853" spans="2:11">
      <c r="B853" s="66" t="str">
        <v/>
      </c>
      <c r="C853" s="67" t="str">
        <v/>
      </c>
      <c r="D853" s="67" t="str">
        <v/>
      </c>
      <c r="E853" s="67" t="str">
        <v/>
      </c>
      <c r="F853" s="67" t="str">
        <v/>
      </c>
      <c r="G853" s="67" t="str">
        <v/>
      </c>
      <c r="H853" s="67" t="str">
        <v/>
      </c>
      <c r="I853" s="67" t="str">
        <v/>
      </c>
      <c r="J853" s="67" t="str">
        <v/>
      </c>
      <c r="K853" s="68" t="str">
        <v/>
      </c>
    </row>
    <row r="854" spans="2:11">
      <c r="B854" s="66" t="str">
        <v/>
      </c>
      <c r="C854" s="67" t="str">
        <v/>
      </c>
      <c r="D854" s="67" t="str">
        <v/>
      </c>
      <c r="E854" s="67" t="str">
        <v/>
      </c>
      <c r="F854" s="67" t="str">
        <v/>
      </c>
      <c r="G854" s="67" t="str">
        <v/>
      </c>
      <c r="H854" s="67" t="str">
        <v/>
      </c>
      <c r="I854" s="67" t="str">
        <v/>
      </c>
      <c r="J854" s="67" t="str">
        <v/>
      </c>
      <c r="K854" s="68" t="str">
        <v/>
      </c>
    </row>
    <row r="855" spans="2:11">
      <c r="B855" s="66" t="str">
        <v/>
      </c>
      <c r="C855" s="67" t="str">
        <v/>
      </c>
      <c r="D855" s="67" t="str">
        <v/>
      </c>
      <c r="E855" s="67" t="str">
        <v/>
      </c>
      <c r="F855" s="67" t="str">
        <v/>
      </c>
      <c r="G855" s="67" t="str">
        <v/>
      </c>
      <c r="H855" s="67" t="str">
        <v/>
      </c>
      <c r="I855" s="67" t="str">
        <v/>
      </c>
      <c r="J855" s="67" t="str">
        <v/>
      </c>
      <c r="K855" s="68" t="str">
        <v/>
      </c>
    </row>
    <row r="856" spans="2:11">
      <c r="B856" s="66" t="str">
        <v/>
      </c>
      <c r="C856" s="67" t="str">
        <v/>
      </c>
      <c r="D856" s="67" t="str">
        <v/>
      </c>
      <c r="E856" s="67" t="str">
        <v/>
      </c>
      <c r="F856" s="67" t="str">
        <v/>
      </c>
      <c r="G856" s="67" t="str">
        <v/>
      </c>
      <c r="H856" s="67" t="str">
        <v/>
      </c>
      <c r="I856" s="67" t="str">
        <v/>
      </c>
      <c r="J856" s="67" t="str">
        <v/>
      </c>
      <c r="K856" s="68" t="str">
        <v/>
      </c>
    </row>
    <row r="857" spans="2:11">
      <c r="B857" s="66" t="str">
        <v/>
      </c>
      <c r="C857" s="67" t="str">
        <v/>
      </c>
      <c r="D857" s="67" t="str">
        <v/>
      </c>
      <c r="E857" s="67" t="str">
        <v/>
      </c>
      <c r="F857" s="67" t="str">
        <v/>
      </c>
      <c r="G857" s="67" t="str">
        <v/>
      </c>
      <c r="H857" s="67" t="str">
        <v/>
      </c>
      <c r="I857" s="67" t="str">
        <v/>
      </c>
      <c r="J857" s="67" t="str">
        <v/>
      </c>
      <c r="K857" s="68" t="str">
        <v/>
      </c>
    </row>
    <row r="858" spans="2:11">
      <c r="B858" s="66" t="str">
        <v/>
      </c>
      <c r="C858" s="67" t="str">
        <v/>
      </c>
      <c r="D858" s="67" t="str">
        <v/>
      </c>
      <c r="E858" s="67" t="str">
        <v/>
      </c>
      <c r="F858" s="67" t="str">
        <v/>
      </c>
      <c r="G858" s="67" t="str">
        <v/>
      </c>
      <c r="H858" s="67" t="str">
        <v/>
      </c>
      <c r="I858" s="67" t="str">
        <v/>
      </c>
      <c r="J858" s="67" t="str">
        <v/>
      </c>
      <c r="K858" s="68" t="str">
        <v/>
      </c>
    </row>
    <row r="859" spans="2:11">
      <c r="B859" s="66" t="str">
        <v/>
      </c>
      <c r="C859" s="67" t="str">
        <v/>
      </c>
      <c r="D859" s="67" t="str">
        <v/>
      </c>
      <c r="E859" s="67" t="str">
        <v/>
      </c>
      <c r="F859" s="67" t="str">
        <v/>
      </c>
      <c r="G859" s="67" t="str">
        <v/>
      </c>
      <c r="H859" s="67" t="str">
        <v/>
      </c>
      <c r="I859" s="67" t="str">
        <v/>
      </c>
      <c r="J859" s="67" t="str">
        <v/>
      </c>
      <c r="K859" s="68" t="str">
        <v/>
      </c>
    </row>
    <row r="860" spans="2:11">
      <c r="B860" s="66" t="str">
        <v/>
      </c>
      <c r="C860" s="67" t="str">
        <v/>
      </c>
      <c r="D860" s="67" t="str">
        <v/>
      </c>
      <c r="E860" s="67" t="str">
        <v/>
      </c>
      <c r="F860" s="67" t="str">
        <v/>
      </c>
      <c r="G860" s="67" t="str">
        <v/>
      </c>
      <c r="H860" s="67" t="str">
        <v/>
      </c>
      <c r="I860" s="67" t="str">
        <v/>
      </c>
      <c r="J860" s="67" t="str">
        <v/>
      </c>
      <c r="K860" s="68" t="str">
        <v/>
      </c>
    </row>
    <row r="861" spans="2:11">
      <c r="B861" s="66" t="str">
        <v/>
      </c>
      <c r="C861" s="67" t="str">
        <v/>
      </c>
      <c r="D861" s="67" t="str">
        <v/>
      </c>
      <c r="E861" s="67" t="str">
        <v/>
      </c>
      <c r="F861" s="67" t="str">
        <v/>
      </c>
      <c r="G861" s="67" t="str">
        <v/>
      </c>
      <c r="H861" s="67" t="str">
        <v/>
      </c>
      <c r="I861" s="67" t="str">
        <v/>
      </c>
      <c r="J861" s="67" t="str">
        <v/>
      </c>
      <c r="K861" s="68" t="str">
        <v/>
      </c>
    </row>
    <row r="862" spans="2:11">
      <c r="B862" s="66" t="str">
        <v/>
      </c>
      <c r="C862" s="67" t="str">
        <v/>
      </c>
      <c r="D862" s="67" t="str">
        <v/>
      </c>
      <c r="E862" s="67" t="str">
        <v/>
      </c>
      <c r="F862" s="67" t="str">
        <v/>
      </c>
      <c r="G862" s="67" t="str">
        <v/>
      </c>
      <c r="H862" s="67" t="str">
        <v/>
      </c>
      <c r="I862" s="67" t="str">
        <v/>
      </c>
      <c r="J862" s="67" t="str">
        <v/>
      </c>
      <c r="K862" s="68" t="str">
        <v/>
      </c>
    </row>
    <row r="863" spans="2:11">
      <c r="B863" s="66" t="str">
        <v/>
      </c>
      <c r="C863" s="67" t="str">
        <v/>
      </c>
      <c r="D863" s="67" t="str">
        <v/>
      </c>
      <c r="E863" s="67" t="str">
        <v/>
      </c>
      <c r="F863" s="67" t="str">
        <v/>
      </c>
      <c r="G863" s="67" t="str">
        <v/>
      </c>
      <c r="H863" s="67" t="str">
        <v/>
      </c>
      <c r="I863" s="67" t="str">
        <v/>
      </c>
      <c r="J863" s="67" t="str">
        <v/>
      </c>
      <c r="K863" s="68" t="str">
        <v/>
      </c>
    </row>
    <row r="864" spans="2:11">
      <c r="B864" s="66" t="str">
        <v/>
      </c>
      <c r="C864" s="67" t="str">
        <v/>
      </c>
      <c r="D864" s="67" t="str">
        <v/>
      </c>
      <c r="E864" s="67" t="str">
        <v/>
      </c>
      <c r="F864" s="67" t="str">
        <v/>
      </c>
      <c r="G864" s="67" t="str">
        <v/>
      </c>
      <c r="H864" s="67" t="str">
        <v/>
      </c>
      <c r="I864" s="67" t="str">
        <v/>
      </c>
      <c r="J864" s="67" t="str">
        <v/>
      </c>
      <c r="K864" s="68" t="str">
        <v/>
      </c>
    </row>
    <row r="865" spans="2:11">
      <c r="B865" s="66" t="str">
        <v/>
      </c>
      <c r="C865" s="67" t="str">
        <v/>
      </c>
      <c r="D865" s="67" t="str">
        <v/>
      </c>
      <c r="E865" s="67" t="str">
        <v/>
      </c>
      <c r="F865" s="67" t="str">
        <v/>
      </c>
      <c r="G865" s="67" t="str">
        <v/>
      </c>
      <c r="H865" s="67" t="str">
        <v/>
      </c>
      <c r="I865" s="67" t="str">
        <v/>
      </c>
      <c r="J865" s="67" t="str">
        <v/>
      </c>
      <c r="K865" s="68" t="str">
        <v/>
      </c>
    </row>
    <row r="866" spans="2:11">
      <c r="B866" s="66" t="str">
        <v/>
      </c>
      <c r="C866" s="67" t="str">
        <v/>
      </c>
      <c r="D866" s="67" t="str">
        <v/>
      </c>
      <c r="E866" s="67" t="str">
        <v/>
      </c>
      <c r="F866" s="67" t="str">
        <v/>
      </c>
      <c r="G866" s="67" t="str">
        <v/>
      </c>
      <c r="H866" s="67" t="str">
        <v/>
      </c>
      <c r="I866" s="67" t="str">
        <v/>
      </c>
      <c r="J866" s="67" t="str">
        <v/>
      </c>
      <c r="K866" s="68" t="str">
        <v/>
      </c>
    </row>
    <row r="867" spans="2:11">
      <c r="B867" s="66" t="str">
        <v/>
      </c>
      <c r="C867" s="67" t="str">
        <v/>
      </c>
      <c r="D867" s="67" t="str">
        <v/>
      </c>
      <c r="E867" s="67" t="str">
        <v/>
      </c>
      <c r="F867" s="67" t="str">
        <v/>
      </c>
      <c r="G867" s="67" t="str">
        <v/>
      </c>
      <c r="H867" s="67" t="str">
        <v/>
      </c>
      <c r="I867" s="67" t="str">
        <v/>
      </c>
      <c r="J867" s="67" t="str">
        <v/>
      </c>
      <c r="K867" s="68" t="str">
        <v/>
      </c>
    </row>
    <row r="868" spans="2:11">
      <c r="B868" s="66" t="str">
        <v/>
      </c>
      <c r="C868" s="67" t="str">
        <v/>
      </c>
      <c r="D868" s="67" t="str">
        <v/>
      </c>
      <c r="E868" s="67" t="str">
        <v/>
      </c>
      <c r="F868" s="67" t="str">
        <v/>
      </c>
      <c r="G868" s="67" t="str">
        <v/>
      </c>
      <c r="H868" s="67" t="str">
        <v/>
      </c>
      <c r="I868" s="67" t="str">
        <v/>
      </c>
      <c r="J868" s="67" t="str">
        <v/>
      </c>
      <c r="K868" s="68" t="str">
        <v/>
      </c>
    </row>
    <row r="869" spans="2:11">
      <c r="B869" s="66" t="str">
        <v/>
      </c>
      <c r="C869" s="67" t="str">
        <v/>
      </c>
      <c r="D869" s="67" t="str">
        <v/>
      </c>
      <c r="E869" s="67" t="str">
        <v/>
      </c>
      <c r="F869" s="67" t="str">
        <v/>
      </c>
      <c r="G869" s="67" t="str">
        <v/>
      </c>
      <c r="H869" s="67" t="str">
        <v/>
      </c>
      <c r="I869" s="67" t="str">
        <v/>
      </c>
      <c r="J869" s="67" t="str">
        <v/>
      </c>
      <c r="K869" s="68" t="str">
        <v/>
      </c>
    </row>
    <row r="870" spans="2:11">
      <c r="B870" s="66" t="str">
        <v/>
      </c>
      <c r="C870" s="67" t="str">
        <v/>
      </c>
      <c r="D870" s="67" t="str">
        <v/>
      </c>
      <c r="E870" s="67" t="str">
        <v/>
      </c>
      <c r="F870" s="67" t="str">
        <v/>
      </c>
      <c r="G870" s="67" t="str">
        <v/>
      </c>
      <c r="H870" s="67" t="str">
        <v/>
      </c>
      <c r="I870" s="67" t="str">
        <v/>
      </c>
      <c r="J870" s="67" t="str">
        <v/>
      </c>
      <c r="K870" s="68" t="str">
        <v/>
      </c>
    </row>
    <row r="871" spans="2:11">
      <c r="B871" s="66" t="str">
        <v/>
      </c>
      <c r="C871" s="67" t="str">
        <v/>
      </c>
      <c r="D871" s="67" t="str">
        <v/>
      </c>
      <c r="E871" s="67" t="str">
        <v/>
      </c>
      <c r="F871" s="67" t="str">
        <v/>
      </c>
      <c r="G871" s="67" t="str">
        <v/>
      </c>
      <c r="H871" s="67" t="str">
        <v/>
      </c>
      <c r="I871" s="67" t="str">
        <v/>
      </c>
      <c r="J871" s="67" t="str">
        <v/>
      </c>
      <c r="K871" s="68" t="str">
        <v/>
      </c>
    </row>
    <row r="872" spans="2:11">
      <c r="B872" s="66" t="str">
        <v/>
      </c>
      <c r="C872" s="67" t="str">
        <v/>
      </c>
      <c r="D872" s="67" t="str">
        <v/>
      </c>
      <c r="E872" s="67" t="str">
        <v/>
      </c>
      <c r="F872" s="67" t="str">
        <v/>
      </c>
      <c r="G872" s="67" t="str">
        <v/>
      </c>
      <c r="H872" s="67" t="str">
        <v/>
      </c>
      <c r="I872" s="67" t="str">
        <v/>
      </c>
      <c r="J872" s="67" t="str">
        <v/>
      </c>
      <c r="K872" s="68" t="str">
        <v/>
      </c>
    </row>
    <row r="873" spans="2:11">
      <c r="B873" s="66" t="str">
        <v/>
      </c>
      <c r="C873" s="67" t="str">
        <v/>
      </c>
      <c r="D873" s="67" t="str">
        <v/>
      </c>
      <c r="E873" s="67" t="str">
        <v/>
      </c>
      <c r="F873" s="67" t="str">
        <v/>
      </c>
      <c r="G873" s="67" t="str">
        <v/>
      </c>
      <c r="H873" s="67" t="str">
        <v/>
      </c>
      <c r="I873" s="67" t="str">
        <v/>
      </c>
      <c r="J873" s="67" t="str">
        <v/>
      </c>
      <c r="K873" s="68" t="str">
        <v/>
      </c>
    </row>
    <row r="874" spans="2:11">
      <c r="B874" s="66" t="str">
        <v/>
      </c>
      <c r="C874" s="67" t="str">
        <v/>
      </c>
      <c r="D874" s="67" t="str">
        <v/>
      </c>
      <c r="E874" s="67" t="str">
        <v/>
      </c>
      <c r="F874" s="67" t="str">
        <v/>
      </c>
      <c r="G874" s="67" t="str">
        <v/>
      </c>
      <c r="H874" s="67" t="str">
        <v/>
      </c>
      <c r="I874" s="67" t="str">
        <v/>
      </c>
      <c r="J874" s="67" t="str">
        <v/>
      </c>
      <c r="K874" s="68" t="str">
        <v/>
      </c>
    </row>
    <row r="875" spans="2:11">
      <c r="B875" s="66" t="str">
        <v/>
      </c>
      <c r="C875" s="67" t="str">
        <v/>
      </c>
      <c r="D875" s="67" t="str">
        <v/>
      </c>
      <c r="E875" s="67" t="str">
        <v/>
      </c>
      <c r="F875" s="67" t="str">
        <v/>
      </c>
      <c r="G875" s="67" t="str">
        <v/>
      </c>
      <c r="H875" s="67" t="str">
        <v/>
      </c>
      <c r="I875" s="67" t="str">
        <v/>
      </c>
      <c r="J875" s="67" t="str">
        <v/>
      </c>
      <c r="K875" s="68" t="str">
        <v/>
      </c>
    </row>
    <row r="876" spans="2:11">
      <c r="B876" s="66" t="str">
        <v/>
      </c>
      <c r="C876" s="67" t="str">
        <v/>
      </c>
      <c r="D876" s="67" t="str">
        <v/>
      </c>
      <c r="E876" s="67" t="str">
        <v/>
      </c>
      <c r="F876" s="67" t="str">
        <v/>
      </c>
      <c r="G876" s="67" t="str">
        <v/>
      </c>
      <c r="H876" s="67" t="str">
        <v/>
      </c>
      <c r="I876" s="67" t="str">
        <v/>
      </c>
      <c r="J876" s="67" t="str">
        <v/>
      </c>
      <c r="K876" s="68" t="str">
        <v/>
      </c>
    </row>
    <row r="877" spans="2:11">
      <c r="B877" s="66" t="str">
        <v/>
      </c>
      <c r="C877" s="67" t="str">
        <v/>
      </c>
      <c r="D877" s="67" t="str">
        <v/>
      </c>
      <c r="E877" s="67" t="str">
        <v/>
      </c>
      <c r="F877" s="67" t="str">
        <v/>
      </c>
      <c r="G877" s="67" t="str">
        <v/>
      </c>
      <c r="H877" s="67" t="str">
        <v/>
      </c>
      <c r="I877" s="67" t="str">
        <v/>
      </c>
      <c r="J877" s="67" t="str">
        <v/>
      </c>
      <c r="K877" s="68" t="str">
        <v/>
      </c>
    </row>
    <row r="878" spans="2:11">
      <c r="B878" s="66" t="str">
        <v/>
      </c>
      <c r="C878" s="67" t="str">
        <v/>
      </c>
      <c r="D878" s="67" t="str">
        <v/>
      </c>
      <c r="E878" s="67" t="str">
        <v/>
      </c>
      <c r="F878" s="67" t="str">
        <v/>
      </c>
      <c r="G878" s="67" t="str">
        <v/>
      </c>
      <c r="H878" s="67" t="str">
        <v/>
      </c>
      <c r="I878" s="67" t="str">
        <v/>
      </c>
      <c r="J878" s="67" t="str">
        <v/>
      </c>
      <c r="K878" s="68" t="str">
        <v/>
      </c>
    </row>
    <row r="879" spans="2:11">
      <c r="B879" s="66" t="str">
        <v/>
      </c>
      <c r="C879" s="67" t="str">
        <v/>
      </c>
      <c r="D879" s="67" t="str">
        <v/>
      </c>
      <c r="E879" s="67" t="str">
        <v/>
      </c>
      <c r="F879" s="67" t="str">
        <v/>
      </c>
      <c r="G879" s="67" t="str">
        <v/>
      </c>
      <c r="H879" s="67" t="str">
        <v/>
      </c>
      <c r="I879" s="67" t="str">
        <v/>
      </c>
      <c r="J879" s="67" t="str">
        <v/>
      </c>
      <c r="K879" s="68" t="str">
        <v/>
      </c>
    </row>
    <row r="880" spans="2:11">
      <c r="B880" s="66" t="str">
        <v/>
      </c>
      <c r="C880" s="67" t="str">
        <v/>
      </c>
      <c r="D880" s="67" t="str">
        <v/>
      </c>
      <c r="E880" s="67" t="str">
        <v/>
      </c>
      <c r="F880" s="67" t="str">
        <v/>
      </c>
      <c r="G880" s="67" t="str">
        <v/>
      </c>
      <c r="H880" s="67" t="str">
        <v/>
      </c>
      <c r="I880" s="67" t="str">
        <v/>
      </c>
      <c r="J880" s="67" t="str">
        <v/>
      </c>
      <c r="K880" s="68" t="str">
        <v/>
      </c>
    </row>
    <row r="881" spans="2:11">
      <c r="B881" s="66" t="str">
        <v/>
      </c>
      <c r="C881" s="67" t="str">
        <v/>
      </c>
      <c r="D881" s="67" t="str">
        <v/>
      </c>
      <c r="E881" s="67" t="str">
        <v/>
      </c>
      <c r="F881" s="67" t="str">
        <v/>
      </c>
      <c r="G881" s="67" t="str">
        <v/>
      </c>
      <c r="H881" s="67" t="str">
        <v/>
      </c>
      <c r="I881" s="67" t="str">
        <v/>
      </c>
      <c r="J881" s="67" t="str">
        <v/>
      </c>
      <c r="K881" s="68" t="str">
        <v/>
      </c>
    </row>
    <row r="882" spans="2:11">
      <c r="B882" s="66" t="str">
        <v/>
      </c>
      <c r="C882" s="67" t="str">
        <v/>
      </c>
      <c r="D882" s="67" t="str">
        <v/>
      </c>
      <c r="E882" s="67" t="str">
        <v/>
      </c>
      <c r="F882" s="67" t="str">
        <v/>
      </c>
      <c r="G882" s="67" t="str">
        <v/>
      </c>
      <c r="H882" s="67" t="str">
        <v/>
      </c>
      <c r="I882" s="67" t="str">
        <v/>
      </c>
      <c r="J882" s="67" t="str">
        <v/>
      </c>
      <c r="K882" s="68" t="str">
        <v/>
      </c>
    </row>
    <row r="883" spans="2:11">
      <c r="B883" s="66" t="str">
        <v/>
      </c>
      <c r="C883" s="67" t="str">
        <v/>
      </c>
      <c r="D883" s="67" t="str">
        <v/>
      </c>
      <c r="E883" s="67" t="str">
        <v/>
      </c>
      <c r="F883" s="67" t="str">
        <v/>
      </c>
      <c r="G883" s="67" t="str">
        <v/>
      </c>
      <c r="H883" s="67" t="str">
        <v/>
      </c>
      <c r="I883" s="67" t="str">
        <v/>
      </c>
      <c r="J883" s="67" t="str">
        <v/>
      </c>
      <c r="K883" s="68" t="str">
        <v/>
      </c>
    </row>
    <row r="884" spans="2:11">
      <c r="B884" s="66" t="str">
        <v/>
      </c>
      <c r="C884" s="67" t="str">
        <v/>
      </c>
      <c r="D884" s="67" t="str">
        <v/>
      </c>
      <c r="E884" s="67" t="str">
        <v/>
      </c>
      <c r="F884" s="67" t="str">
        <v/>
      </c>
      <c r="G884" s="67" t="str">
        <v/>
      </c>
      <c r="H884" s="67" t="str">
        <v/>
      </c>
      <c r="I884" s="67" t="str">
        <v/>
      </c>
      <c r="J884" s="67" t="str">
        <v/>
      </c>
      <c r="K884" s="68" t="str">
        <v/>
      </c>
    </row>
    <row r="885" spans="2:11">
      <c r="B885" s="66" t="str">
        <v/>
      </c>
      <c r="C885" s="67" t="str">
        <v/>
      </c>
      <c r="D885" s="67" t="str">
        <v/>
      </c>
      <c r="E885" s="67" t="str">
        <v/>
      </c>
      <c r="F885" s="67" t="str">
        <v/>
      </c>
      <c r="G885" s="67" t="str">
        <v/>
      </c>
      <c r="H885" s="67" t="str">
        <v/>
      </c>
      <c r="I885" s="67" t="str">
        <v/>
      </c>
      <c r="J885" s="67" t="str">
        <v/>
      </c>
      <c r="K885" s="68" t="str">
        <v/>
      </c>
    </row>
    <row r="886" spans="2:11">
      <c r="B886" s="66" t="str">
        <v/>
      </c>
      <c r="C886" s="67" t="str">
        <v/>
      </c>
      <c r="D886" s="67" t="str">
        <v/>
      </c>
      <c r="E886" s="67" t="str">
        <v/>
      </c>
      <c r="F886" s="67" t="str">
        <v/>
      </c>
      <c r="G886" s="67" t="str">
        <v/>
      </c>
      <c r="H886" s="67" t="str">
        <v/>
      </c>
      <c r="I886" s="67" t="str">
        <v/>
      </c>
      <c r="J886" s="67" t="str">
        <v/>
      </c>
      <c r="K886" s="68" t="str">
        <v/>
      </c>
    </row>
    <row r="887" spans="2:11">
      <c r="B887" s="66" t="str">
        <v/>
      </c>
      <c r="C887" s="67" t="str">
        <v/>
      </c>
      <c r="D887" s="67" t="str">
        <v/>
      </c>
      <c r="E887" s="67" t="str">
        <v/>
      </c>
      <c r="F887" s="67" t="str">
        <v/>
      </c>
      <c r="G887" s="67" t="str">
        <v/>
      </c>
      <c r="H887" s="67" t="str">
        <v/>
      </c>
      <c r="I887" s="67" t="str">
        <v/>
      </c>
      <c r="J887" s="67" t="str">
        <v/>
      </c>
      <c r="K887" s="68" t="str">
        <v/>
      </c>
    </row>
    <row r="888" spans="2:11">
      <c r="B888" s="66" t="str">
        <v/>
      </c>
      <c r="C888" s="67" t="str">
        <v/>
      </c>
      <c r="D888" s="67" t="str">
        <v/>
      </c>
      <c r="E888" s="67" t="str">
        <v/>
      </c>
      <c r="F888" s="67" t="str">
        <v/>
      </c>
      <c r="G888" s="67" t="str">
        <v/>
      </c>
      <c r="H888" s="67" t="str">
        <v/>
      </c>
      <c r="I888" s="67" t="str">
        <v/>
      </c>
      <c r="J888" s="67" t="str">
        <v/>
      </c>
      <c r="K888" s="68" t="str">
        <v/>
      </c>
    </row>
    <row r="889" spans="2:11">
      <c r="B889" s="66" t="str">
        <v/>
      </c>
      <c r="C889" s="67" t="str">
        <v/>
      </c>
      <c r="D889" s="67" t="str">
        <v/>
      </c>
      <c r="E889" s="67" t="str">
        <v/>
      </c>
      <c r="F889" s="67" t="str">
        <v/>
      </c>
      <c r="G889" s="67" t="str">
        <v/>
      </c>
      <c r="H889" s="67" t="str">
        <v/>
      </c>
      <c r="I889" s="67" t="str">
        <v/>
      </c>
      <c r="J889" s="67" t="str">
        <v/>
      </c>
      <c r="K889" s="68" t="str">
        <v/>
      </c>
    </row>
    <row r="890" spans="2:11">
      <c r="B890" s="66" t="str">
        <v/>
      </c>
      <c r="C890" s="67" t="str">
        <v/>
      </c>
      <c r="D890" s="67" t="str">
        <v/>
      </c>
      <c r="E890" s="67" t="str">
        <v/>
      </c>
      <c r="F890" s="67" t="str">
        <v/>
      </c>
      <c r="G890" s="67" t="str">
        <v/>
      </c>
      <c r="H890" s="67" t="str">
        <v/>
      </c>
      <c r="I890" s="67" t="str">
        <v/>
      </c>
      <c r="J890" s="67" t="str">
        <v/>
      </c>
      <c r="K890" s="68" t="str">
        <v/>
      </c>
    </row>
    <row r="891" spans="2:11">
      <c r="B891" s="66" t="str">
        <v/>
      </c>
      <c r="C891" s="67" t="str">
        <v/>
      </c>
      <c r="D891" s="67" t="str">
        <v/>
      </c>
      <c r="E891" s="67" t="str">
        <v/>
      </c>
      <c r="F891" s="67" t="str">
        <v/>
      </c>
      <c r="G891" s="67" t="str">
        <v/>
      </c>
      <c r="H891" s="67" t="str">
        <v/>
      </c>
      <c r="I891" s="67" t="str">
        <v/>
      </c>
      <c r="J891" s="67" t="str">
        <v/>
      </c>
      <c r="K891" s="68" t="str">
        <v/>
      </c>
    </row>
    <row r="892" spans="2:11">
      <c r="B892" s="66" t="str">
        <v/>
      </c>
      <c r="C892" s="67" t="str">
        <v/>
      </c>
      <c r="D892" s="67" t="str">
        <v/>
      </c>
      <c r="E892" s="67" t="str">
        <v/>
      </c>
      <c r="F892" s="67" t="str">
        <v/>
      </c>
      <c r="G892" s="67" t="str">
        <v/>
      </c>
      <c r="H892" s="67" t="str">
        <v/>
      </c>
      <c r="I892" s="67" t="str">
        <v/>
      </c>
      <c r="J892" s="67" t="str">
        <v/>
      </c>
      <c r="K892" s="68" t="str">
        <v/>
      </c>
    </row>
    <row r="893" spans="2:11">
      <c r="B893" s="66" t="str">
        <v/>
      </c>
      <c r="C893" s="67" t="str">
        <v/>
      </c>
      <c r="D893" s="67" t="str">
        <v/>
      </c>
      <c r="E893" s="67" t="str">
        <v/>
      </c>
      <c r="F893" s="67" t="str">
        <v/>
      </c>
      <c r="G893" s="67" t="str">
        <v/>
      </c>
      <c r="H893" s="67" t="str">
        <v/>
      </c>
      <c r="I893" s="67" t="str">
        <v/>
      </c>
      <c r="J893" s="67" t="str">
        <v/>
      </c>
      <c r="K893" s="68" t="str">
        <v/>
      </c>
    </row>
    <row r="894" spans="2:11">
      <c r="B894" s="66" t="str">
        <v/>
      </c>
      <c r="C894" s="67" t="str">
        <v/>
      </c>
      <c r="D894" s="67" t="str">
        <v/>
      </c>
      <c r="E894" s="67" t="str">
        <v/>
      </c>
      <c r="F894" s="67" t="str">
        <v/>
      </c>
      <c r="G894" s="67" t="str">
        <v/>
      </c>
      <c r="H894" s="67" t="str">
        <v/>
      </c>
      <c r="I894" s="67" t="str">
        <v/>
      </c>
      <c r="J894" s="67" t="str">
        <v/>
      </c>
      <c r="K894" s="68" t="str">
        <v/>
      </c>
    </row>
    <row r="895" spans="2:11">
      <c r="B895" s="66" t="str">
        <v/>
      </c>
      <c r="C895" s="67" t="str">
        <v/>
      </c>
      <c r="D895" s="67" t="str">
        <v/>
      </c>
      <c r="E895" s="67" t="str">
        <v/>
      </c>
      <c r="F895" s="67" t="str">
        <v/>
      </c>
      <c r="G895" s="67" t="str">
        <v/>
      </c>
      <c r="H895" s="67" t="str">
        <v/>
      </c>
      <c r="I895" s="67" t="str">
        <v/>
      </c>
      <c r="J895" s="67" t="str">
        <v/>
      </c>
      <c r="K895" s="68" t="str">
        <v/>
      </c>
    </row>
    <row r="896" spans="2:11">
      <c r="B896" s="66" t="str">
        <v/>
      </c>
      <c r="C896" s="67" t="str">
        <v/>
      </c>
      <c r="D896" s="67" t="str">
        <v/>
      </c>
      <c r="E896" s="67" t="str">
        <v/>
      </c>
      <c r="F896" s="67" t="str">
        <v/>
      </c>
      <c r="G896" s="67" t="str">
        <v/>
      </c>
      <c r="H896" s="67" t="str">
        <v/>
      </c>
      <c r="I896" s="67" t="str">
        <v/>
      </c>
      <c r="J896" s="67" t="str">
        <v/>
      </c>
      <c r="K896" s="68" t="str">
        <v/>
      </c>
    </row>
    <row r="897" spans="2:11">
      <c r="B897" s="66" t="str">
        <v/>
      </c>
      <c r="C897" s="67" t="str">
        <v/>
      </c>
      <c r="D897" s="67" t="str">
        <v/>
      </c>
      <c r="E897" s="67" t="str">
        <v/>
      </c>
      <c r="F897" s="67" t="str">
        <v/>
      </c>
      <c r="G897" s="67" t="str">
        <v/>
      </c>
      <c r="H897" s="67" t="str">
        <v/>
      </c>
      <c r="I897" s="67" t="str">
        <v/>
      </c>
      <c r="J897" s="67" t="str">
        <v/>
      </c>
      <c r="K897" s="68" t="str">
        <v/>
      </c>
    </row>
    <row r="898" spans="2:11">
      <c r="B898" s="66" t="str">
        <v/>
      </c>
      <c r="C898" s="67" t="str">
        <v/>
      </c>
      <c r="D898" s="67" t="str">
        <v/>
      </c>
      <c r="E898" s="67" t="str">
        <v/>
      </c>
      <c r="F898" s="67" t="str">
        <v/>
      </c>
      <c r="G898" s="67" t="str">
        <v/>
      </c>
      <c r="H898" s="67" t="str">
        <v/>
      </c>
      <c r="I898" s="67" t="str">
        <v/>
      </c>
      <c r="J898" s="67" t="str">
        <v/>
      </c>
      <c r="K898" s="68" t="str">
        <v/>
      </c>
    </row>
    <row r="899" spans="2:11">
      <c r="B899" s="66" t="str">
        <v/>
      </c>
      <c r="C899" s="67" t="str">
        <v/>
      </c>
      <c r="D899" s="67" t="str">
        <v/>
      </c>
      <c r="E899" s="67" t="str">
        <v/>
      </c>
      <c r="F899" s="67" t="str">
        <v/>
      </c>
      <c r="G899" s="67" t="str">
        <v/>
      </c>
      <c r="H899" s="67" t="str">
        <v/>
      </c>
      <c r="I899" s="67" t="str">
        <v/>
      </c>
      <c r="J899" s="67" t="str">
        <v/>
      </c>
      <c r="K899" s="68" t="str">
        <v/>
      </c>
    </row>
    <row r="900" spans="2:11">
      <c r="B900" s="66" t="str">
        <v/>
      </c>
      <c r="C900" s="67" t="str">
        <v/>
      </c>
      <c r="D900" s="67" t="str">
        <v/>
      </c>
      <c r="E900" s="67" t="str">
        <v/>
      </c>
      <c r="F900" s="67" t="str">
        <v/>
      </c>
      <c r="G900" s="67" t="str">
        <v/>
      </c>
      <c r="H900" s="67" t="str">
        <v/>
      </c>
      <c r="I900" s="67" t="str">
        <v/>
      </c>
      <c r="J900" s="67" t="str">
        <v/>
      </c>
      <c r="K900" s="68" t="str">
        <v/>
      </c>
    </row>
    <row r="901" spans="2:11">
      <c r="B901" s="66" t="str">
        <v/>
      </c>
      <c r="C901" s="67" t="str">
        <v/>
      </c>
      <c r="D901" s="67" t="str">
        <v/>
      </c>
      <c r="E901" s="67" t="str">
        <v/>
      </c>
      <c r="F901" s="67" t="str">
        <v/>
      </c>
      <c r="G901" s="67" t="str">
        <v/>
      </c>
      <c r="H901" s="67" t="str">
        <v/>
      </c>
      <c r="I901" s="67" t="str">
        <v/>
      </c>
      <c r="J901" s="67" t="str">
        <v/>
      </c>
      <c r="K901" s="68" t="str">
        <v/>
      </c>
    </row>
    <row r="902" spans="2:11">
      <c r="B902" s="66" t="str">
        <v/>
      </c>
      <c r="C902" s="67" t="str">
        <v/>
      </c>
      <c r="D902" s="67" t="str">
        <v/>
      </c>
      <c r="E902" s="67" t="str">
        <v/>
      </c>
      <c r="F902" s="67" t="str">
        <v/>
      </c>
      <c r="G902" s="67" t="str">
        <v/>
      </c>
      <c r="H902" s="67" t="str">
        <v/>
      </c>
      <c r="I902" s="67" t="str">
        <v/>
      </c>
      <c r="J902" s="67" t="str">
        <v/>
      </c>
      <c r="K902" s="68" t="str">
        <v/>
      </c>
    </row>
    <row r="903" spans="2:11">
      <c r="B903" s="66" t="str">
        <v/>
      </c>
      <c r="C903" s="67" t="str">
        <v/>
      </c>
      <c r="D903" s="67" t="str">
        <v/>
      </c>
      <c r="E903" s="67" t="str">
        <v/>
      </c>
      <c r="F903" s="67" t="str">
        <v/>
      </c>
      <c r="G903" s="67" t="str">
        <v/>
      </c>
      <c r="H903" s="67" t="str">
        <v/>
      </c>
      <c r="I903" s="67" t="str">
        <v/>
      </c>
      <c r="J903" s="67" t="str">
        <v/>
      </c>
      <c r="K903" s="68" t="str">
        <v/>
      </c>
    </row>
    <row r="904" spans="2:11">
      <c r="B904" s="66" t="str">
        <v/>
      </c>
      <c r="C904" s="67" t="str">
        <v/>
      </c>
      <c r="D904" s="67" t="str">
        <v/>
      </c>
      <c r="E904" s="67" t="str">
        <v/>
      </c>
      <c r="F904" s="67" t="str">
        <v/>
      </c>
      <c r="G904" s="67" t="str">
        <v/>
      </c>
      <c r="H904" s="67" t="str">
        <v/>
      </c>
      <c r="I904" s="67" t="str">
        <v/>
      </c>
      <c r="J904" s="67" t="str">
        <v/>
      </c>
      <c r="K904" s="68" t="str">
        <v/>
      </c>
    </row>
    <row r="905" spans="2:11">
      <c r="B905" s="66" t="str">
        <v/>
      </c>
      <c r="C905" s="67" t="str">
        <v/>
      </c>
      <c r="D905" s="67" t="str">
        <v/>
      </c>
      <c r="E905" s="67" t="str">
        <v/>
      </c>
      <c r="F905" s="67" t="str">
        <v/>
      </c>
      <c r="G905" s="67" t="str">
        <v/>
      </c>
      <c r="H905" s="67" t="str">
        <v/>
      </c>
      <c r="I905" s="67" t="str">
        <v/>
      </c>
      <c r="J905" s="67" t="str">
        <v/>
      </c>
      <c r="K905" s="68" t="str">
        <v/>
      </c>
    </row>
    <row r="906" spans="2:11">
      <c r="B906" s="66" t="str">
        <v/>
      </c>
      <c r="C906" s="67" t="str">
        <v/>
      </c>
      <c r="D906" s="67" t="str">
        <v/>
      </c>
      <c r="E906" s="67" t="str">
        <v/>
      </c>
      <c r="F906" s="67" t="str">
        <v/>
      </c>
      <c r="G906" s="67" t="str">
        <v/>
      </c>
      <c r="H906" s="67" t="str">
        <v/>
      </c>
      <c r="I906" s="67" t="str">
        <v/>
      </c>
      <c r="J906" s="67" t="str">
        <v/>
      </c>
      <c r="K906" s="68" t="str">
        <v/>
      </c>
    </row>
    <row r="907" spans="2:11">
      <c r="B907" s="66" t="str">
        <v/>
      </c>
      <c r="C907" s="67" t="str">
        <v/>
      </c>
      <c r="D907" s="67" t="str">
        <v/>
      </c>
      <c r="E907" s="67" t="str">
        <v/>
      </c>
      <c r="F907" s="67" t="str">
        <v/>
      </c>
      <c r="G907" s="67" t="str">
        <v/>
      </c>
      <c r="H907" s="67" t="str">
        <v/>
      </c>
      <c r="I907" s="67" t="str">
        <v/>
      </c>
      <c r="J907" s="67" t="str">
        <v/>
      </c>
      <c r="K907" s="68" t="str">
        <v/>
      </c>
    </row>
    <row r="908" spans="2:11">
      <c r="B908" s="66" t="str">
        <v/>
      </c>
      <c r="C908" s="67" t="str">
        <v/>
      </c>
      <c r="D908" s="67" t="str">
        <v/>
      </c>
      <c r="E908" s="67" t="str">
        <v/>
      </c>
      <c r="F908" s="67" t="str">
        <v/>
      </c>
      <c r="G908" s="67" t="str">
        <v/>
      </c>
      <c r="H908" s="67" t="str">
        <v/>
      </c>
      <c r="I908" s="67" t="str">
        <v/>
      </c>
      <c r="J908" s="67" t="str">
        <v/>
      </c>
      <c r="K908" s="68" t="str">
        <v/>
      </c>
    </row>
    <row r="909" spans="2:11">
      <c r="B909" s="66" t="str">
        <v/>
      </c>
      <c r="C909" s="67" t="str">
        <v/>
      </c>
      <c r="D909" s="67" t="str">
        <v/>
      </c>
      <c r="E909" s="67" t="str">
        <v/>
      </c>
      <c r="F909" s="67" t="str">
        <v/>
      </c>
      <c r="G909" s="67" t="str">
        <v/>
      </c>
      <c r="H909" s="67" t="str">
        <v/>
      </c>
      <c r="I909" s="67" t="str">
        <v/>
      </c>
      <c r="J909" s="67" t="str">
        <v/>
      </c>
      <c r="K909" s="68" t="str">
        <v/>
      </c>
    </row>
    <row r="910" spans="2:11">
      <c r="B910" s="66" t="str">
        <v/>
      </c>
      <c r="C910" s="67" t="str">
        <v/>
      </c>
      <c r="D910" s="67" t="str">
        <v/>
      </c>
      <c r="E910" s="67" t="str">
        <v/>
      </c>
      <c r="F910" s="67" t="str">
        <v/>
      </c>
      <c r="G910" s="67" t="str">
        <v/>
      </c>
      <c r="H910" s="67" t="str">
        <v/>
      </c>
      <c r="I910" s="67" t="str">
        <v/>
      </c>
      <c r="J910" s="67" t="str">
        <v/>
      </c>
      <c r="K910" s="68" t="str">
        <v/>
      </c>
    </row>
    <row r="911" spans="2:11">
      <c r="B911" s="66" t="str">
        <v/>
      </c>
      <c r="C911" s="67" t="str">
        <v/>
      </c>
      <c r="D911" s="67" t="str">
        <v/>
      </c>
      <c r="E911" s="67" t="str">
        <v/>
      </c>
      <c r="F911" s="67" t="str">
        <v/>
      </c>
      <c r="G911" s="67" t="str">
        <v/>
      </c>
      <c r="H911" s="67" t="str">
        <v/>
      </c>
      <c r="I911" s="67" t="str">
        <v/>
      </c>
      <c r="J911" s="67" t="str">
        <v/>
      </c>
      <c r="K911" s="68" t="str">
        <v/>
      </c>
    </row>
    <row r="912" spans="2:11">
      <c r="B912" s="66" t="str">
        <v/>
      </c>
      <c r="C912" s="67" t="str">
        <v/>
      </c>
      <c r="D912" s="67" t="str">
        <v/>
      </c>
      <c r="E912" s="67" t="str">
        <v/>
      </c>
      <c r="F912" s="67" t="str">
        <v/>
      </c>
      <c r="G912" s="67" t="str">
        <v/>
      </c>
      <c r="H912" s="67" t="str">
        <v/>
      </c>
      <c r="I912" s="67" t="str">
        <v/>
      </c>
      <c r="J912" s="67" t="str">
        <v/>
      </c>
      <c r="K912" s="68" t="str">
        <v/>
      </c>
    </row>
    <row r="913" spans="2:11">
      <c r="B913" s="66" t="str">
        <v/>
      </c>
      <c r="C913" s="67" t="str">
        <v/>
      </c>
      <c r="D913" s="67" t="str">
        <v/>
      </c>
      <c r="E913" s="67" t="str">
        <v/>
      </c>
      <c r="F913" s="67" t="str">
        <v/>
      </c>
      <c r="G913" s="67" t="str">
        <v/>
      </c>
      <c r="H913" s="67" t="str">
        <v/>
      </c>
      <c r="I913" s="67" t="str">
        <v/>
      </c>
      <c r="J913" s="67" t="str">
        <v/>
      </c>
      <c r="K913" s="68" t="str">
        <v/>
      </c>
    </row>
    <row r="914" spans="2:11">
      <c r="B914" s="66" t="str">
        <v/>
      </c>
      <c r="C914" s="67" t="str">
        <v/>
      </c>
      <c r="D914" s="67" t="str">
        <v/>
      </c>
      <c r="E914" s="67" t="str">
        <v/>
      </c>
      <c r="F914" s="67" t="str">
        <v/>
      </c>
      <c r="G914" s="67" t="str">
        <v/>
      </c>
      <c r="H914" s="67" t="str">
        <v/>
      </c>
      <c r="I914" s="67" t="str">
        <v/>
      </c>
      <c r="J914" s="67" t="str">
        <v/>
      </c>
      <c r="K914" s="68" t="str">
        <v/>
      </c>
    </row>
    <row r="915" spans="2:11">
      <c r="B915" s="66" t="str">
        <v/>
      </c>
      <c r="C915" s="67" t="str">
        <v/>
      </c>
      <c r="D915" s="67" t="str">
        <v/>
      </c>
      <c r="E915" s="67" t="str">
        <v/>
      </c>
      <c r="F915" s="67" t="str">
        <v/>
      </c>
      <c r="G915" s="67" t="str">
        <v/>
      </c>
      <c r="H915" s="67" t="str">
        <v/>
      </c>
      <c r="I915" s="67" t="str">
        <v/>
      </c>
      <c r="J915" s="67" t="str">
        <v/>
      </c>
      <c r="K915" s="68" t="str">
        <v/>
      </c>
    </row>
    <row r="916" spans="2:11">
      <c r="B916" s="66" t="str">
        <v/>
      </c>
      <c r="C916" s="67" t="str">
        <v/>
      </c>
      <c r="D916" s="67" t="str">
        <v/>
      </c>
      <c r="E916" s="67" t="str">
        <v/>
      </c>
      <c r="F916" s="67" t="str">
        <v/>
      </c>
      <c r="G916" s="67" t="str">
        <v/>
      </c>
      <c r="H916" s="67" t="str">
        <v/>
      </c>
      <c r="I916" s="67" t="str">
        <v/>
      </c>
      <c r="J916" s="67" t="str">
        <v/>
      </c>
      <c r="K916" s="68" t="str">
        <v/>
      </c>
    </row>
    <row r="917" spans="2:11">
      <c r="B917" s="66" t="str">
        <v/>
      </c>
      <c r="C917" s="67" t="str">
        <v/>
      </c>
      <c r="D917" s="67" t="str">
        <v/>
      </c>
      <c r="E917" s="67" t="str">
        <v/>
      </c>
      <c r="F917" s="67" t="str">
        <v/>
      </c>
      <c r="G917" s="67" t="str">
        <v/>
      </c>
      <c r="H917" s="67" t="str">
        <v/>
      </c>
      <c r="I917" s="67" t="str">
        <v/>
      </c>
      <c r="J917" s="67" t="str">
        <v/>
      </c>
      <c r="K917" s="68" t="str">
        <v/>
      </c>
    </row>
    <row r="918" spans="2:11">
      <c r="B918" s="66" t="str">
        <v/>
      </c>
      <c r="C918" s="67" t="str">
        <v/>
      </c>
      <c r="D918" s="67" t="str">
        <v/>
      </c>
      <c r="E918" s="67" t="str">
        <v/>
      </c>
      <c r="F918" s="67" t="str">
        <v/>
      </c>
      <c r="G918" s="67" t="str">
        <v/>
      </c>
      <c r="H918" s="67" t="str">
        <v/>
      </c>
      <c r="I918" s="67" t="str">
        <v/>
      </c>
      <c r="J918" s="67" t="str">
        <v/>
      </c>
      <c r="K918" s="68" t="str">
        <v/>
      </c>
    </row>
    <row r="919" spans="2:11">
      <c r="B919" s="66" t="str">
        <v/>
      </c>
      <c r="C919" s="67" t="str">
        <v/>
      </c>
      <c r="D919" s="67" t="str">
        <v/>
      </c>
      <c r="E919" s="67" t="str">
        <v/>
      </c>
      <c r="F919" s="67" t="str">
        <v/>
      </c>
      <c r="G919" s="67" t="str">
        <v/>
      </c>
      <c r="H919" s="67" t="str">
        <v/>
      </c>
      <c r="I919" s="67" t="str">
        <v/>
      </c>
      <c r="J919" s="67" t="str">
        <v/>
      </c>
      <c r="K919" s="68" t="str">
        <v/>
      </c>
    </row>
    <row r="920" spans="2:11">
      <c r="B920" s="66" t="str">
        <v/>
      </c>
      <c r="C920" s="67" t="str">
        <v/>
      </c>
      <c r="D920" s="67" t="str">
        <v/>
      </c>
      <c r="E920" s="67" t="str">
        <v/>
      </c>
      <c r="F920" s="67" t="str">
        <v/>
      </c>
      <c r="G920" s="67" t="str">
        <v/>
      </c>
      <c r="H920" s="67" t="str">
        <v/>
      </c>
      <c r="I920" s="67" t="str">
        <v/>
      </c>
      <c r="J920" s="67" t="str">
        <v/>
      </c>
      <c r="K920" s="68" t="str">
        <v/>
      </c>
    </row>
    <row r="921" spans="2:11">
      <c r="B921" s="66" t="str">
        <v/>
      </c>
      <c r="C921" s="67" t="str">
        <v/>
      </c>
      <c r="D921" s="67" t="str">
        <v/>
      </c>
      <c r="E921" s="67" t="str">
        <v/>
      </c>
      <c r="F921" s="67" t="str">
        <v/>
      </c>
      <c r="G921" s="67" t="str">
        <v/>
      </c>
      <c r="H921" s="67" t="str">
        <v/>
      </c>
      <c r="I921" s="67" t="str">
        <v/>
      </c>
      <c r="J921" s="67" t="str">
        <v/>
      </c>
      <c r="K921" s="68" t="str">
        <v/>
      </c>
    </row>
    <row r="922" spans="2:11">
      <c r="B922" s="66" t="str">
        <v/>
      </c>
      <c r="C922" s="67" t="str">
        <v/>
      </c>
      <c r="D922" s="67" t="str">
        <v/>
      </c>
      <c r="E922" s="67" t="str">
        <v/>
      </c>
      <c r="F922" s="67" t="str">
        <v/>
      </c>
      <c r="G922" s="67" t="str">
        <v/>
      </c>
      <c r="H922" s="67" t="str">
        <v/>
      </c>
      <c r="I922" s="67" t="str">
        <v/>
      </c>
      <c r="J922" s="67" t="str">
        <v/>
      </c>
      <c r="K922" s="68" t="str">
        <v/>
      </c>
    </row>
    <row r="923" spans="2:11">
      <c r="B923" s="66" t="str">
        <v/>
      </c>
      <c r="C923" s="67" t="str">
        <v/>
      </c>
      <c r="D923" s="67" t="str">
        <v/>
      </c>
      <c r="E923" s="67" t="str">
        <v/>
      </c>
      <c r="F923" s="67" t="str">
        <v/>
      </c>
      <c r="G923" s="67" t="str">
        <v/>
      </c>
      <c r="H923" s="67" t="str">
        <v/>
      </c>
      <c r="I923" s="67" t="str">
        <v/>
      </c>
      <c r="J923" s="67" t="str">
        <v/>
      </c>
      <c r="K923" s="68" t="str">
        <v/>
      </c>
    </row>
    <row r="924" spans="2:11">
      <c r="B924" s="66" t="str">
        <v/>
      </c>
      <c r="C924" s="67" t="str">
        <v/>
      </c>
      <c r="D924" s="67" t="str">
        <v/>
      </c>
      <c r="E924" s="67" t="str">
        <v/>
      </c>
      <c r="F924" s="67" t="str">
        <v/>
      </c>
      <c r="G924" s="67" t="str">
        <v/>
      </c>
      <c r="H924" s="67" t="str">
        <v/>
      </c>
      <c r="I924" s="67" t="str">
        <v/>
      </c>
      <c r="J924" s="67" t="str">
        <v/>
      </c>
      <c r="K924" s="68" t="str">
        <v/>
      </c>
    </row>
    <row r="925" spans="2:11">
      <c r="B925" s="66" t="str">
        <v/>
      </c>
      <c r="C925" s="67" t="str">
        <v/>
      </c>
      <c r="D925" s="67" t="str">
        <v/>
      </c>
      <c r="E925" s="67" t="str">
        <v/>
      </c>
      <c r="F925" s="67" t="str">
        <v/>
      </c>
      <c r="G925" s="67" t="str">
        <v/>
      </c>
      <c r="H925" s="67" t="str">
        <v/>
      </c>
      <c r="I925" s="67" t="str">
        <v/>
      </c>
      <c r="J925" s="67" t="str">
        <v/>
      </c>
      <c r="K925" s="68" t="str">
        <v/>
      </c>
    </row>
    <row r="926" spans="2:11">
      <c r="B926" s="66" t="str">
        <v/>
      </c>
      <c r="C926" s="67" t="str">
        <v/>
      </c>
      <c r="D926" s="67" t="str">
        <v/>
      </c>
      <c r="E926" s="67" t="str">
        <v/>
      </c>
      <c r="F926" s="67" t="str">
        <v/>
      </c>
      <c r="G926" s="67" t="str">
        <v/>
      </c>
      <c r="H926" s="67" t="str">
        <v/>
      </c>
      <c r="I926" s="67" t="str">
        <v/>
      </c>
      <c r="J926" s="67" t="str">
        <v/>
      </c>
      <c r="K926" s="68" t="str">
        <v/>
      </c>
    </row>
    <row r="927" spans="2:11">
      <c r="B927" s="66" t="str">
        <v/>
      </c>
      <c r="C927" s="67" t="str">
        <v/>
      </c>
      <c r="D927" s="67" t="str">
        <v/>
      </c>
      <c r="E927" s="67" t="str">
        <v/>
      </c>
      <c r="F927" s="67" t="str">
        <v/>
      </c>
      <c r="G927" s="67" t="str">
        <v/>
      </c>
      <c r="H927" s="67" t="str">
        <v/>
      </c>
      <c r="I927" s="67" t="str">
        <v/>
      </c>
      <c r="J927" s="67" t="str">
        <v/>
      </c>
      <c r="K927" s="68" t="str">
        <v/>
      </c>
    </row>
    <row r="928" spans="2:11">
      <c r="B928" s="66" t="str">
        <v/>
      </c>
      <c r="C928" s="67" t="str">
        <v/>
      </c>
      <c r="D928" s="67" t="str">
        <v/>
      </c>
      <c r="E928" s="67" t="str">
        <v/>
      </c>
      <c r="F928" s="67" t="str">
        <v/>
      </c>
      <c r="G928" s="67" t="str">
        <v/>
      </c>
      <c r="H928" s="67" t="str">
        <v/>
      </c>
      <c r="I928" s="67" t="str">
        <v/>
      </c>
      <c r="J928" s="67" t="str">
        <v/>
      </c>
      <c r="K928" s="68" t="str">
        <v/>
      </c>
    </row>
    <row r="929" spans="2:11">
      <c r="B929" s="66" t="str">
        <v/>
      </c>
      <c r="C929" s="67" t="str">
        <v/>
      </c>
      <c r="D929" s="67" t="str">
        <v/>
      </c>
      <c r="E929" s="67" t="str">
        <v/>
      </c>
      <c r="F929" s="67" t="str">
        <v/>
      </c>
      <c r="G929" s="67" t="str">
        <v/>
      </c>
      <c r="H929" s="67" t="str">
        <v/>
      </c>
      <c r="I929" s="67" t="str">
        <v/>
      </c>
      <c r="J929" s="67" t="str">
        <v/>
      </c>
      <c r="K929" s="68" t="str">
        <v/>
      </c>
    </row>
    <row r="930" spans="2:11">
      <c r="B930" s="66" t="str">
        <v/>
      </c>
      <c r="C930" s="67" t="str">
        <v/>
      </c>
      <c r="D930" s="67" t="str">
        <v/>
      </c>
      <c r="E930" s="67" t="str">
        <v/>
      </c>
      <c r="F930" s="67" t="str">
        <v/>
      </c>
      <c r="G930" s="67" t="str">
        <v/>
      </c>
      <c r="H930" s="67" t="str">
        <v/>
      </c>
      <c r="I930" s="67" t="str">
        <v/>
      </c>
      <c r="J930" s="67" t="str">
        <v/>
      </c>
      <c r="K930" s="68" t="str">
        <v/>
      </c>
    </row>
    <row r="931" spans="2:11">
      <c r="B931" s="66" t="str">
        <v/>
      </c>
      <c r="C931" s="67" t="str">
        <v/>
      </c>
      <c r="D931" s="67" t="str">
        <v/>
      </c>
      <c r="E931" s="67" t="str">
        <v/>
      </c>
      <c r="F931" s="67" t="str">
        <v/>
      </c>
      <c r="G931" s="67" t="str">
        <v/>
      </c>
      <c r="H931" s="67" t="str">
        <v/>
      </c>
      <c r="I931" s="67" t="str">
        <v/>
      </c>
      <c r="J931" s="67" t="str">
        <v/>
      </c>
      <c r="K931" s="68" t="str">
        <v/>
      </c>
    </row>
    <row r="932" spans="2:11">
      <c r="B932" s="66" t="str">
        <v/>
      </c>
      <c r="C932" s="67" t="str">
        <v/>
      </c>
      <c r="D932" s="67" t="str">
        <v/>
      </c>
      <c r="E932" s="67" t="str">
        <v/>
      </c>
      <c r="F932" s="67" t="str">
        <v/>
      </c>
      <c r="G932" s="67" t="str">
        <v/>
      </c>
      <c r="H932" s="67" t="str">
        <v/>
      </c>
      <c r="I932" s="67" t="str">
        <v/>
      </c>
      <c r="J932" s="67" t="str">
        <v/>
      </c>
      <c r="K932" s="68" t="str">
        <v/>
      </c>
    </row>
    <row r="933" spans="2:11">
      <c r="B933" s="66" t="str">
        <v/>
      </c>
      <c r="C933" s="67" t="str">
        <v/>
      </c>
      <c r="D933" s="67" t="str">
        <v/>
      </c>
      <c r="E933" s="67" t="str">
        <v/>
      </c>
      <c r="F933" s="67" t="str">
        <v/>
      </c>
      <c r="G933" s="67" t="str">
        <v/>
      </c>
      <c r="H933" s="67" t="str">
        <v/>
      </c>
      <c r="I933" s="67" t="str">
        <v/>
      </c>
      <c r="J933" s="67" t="str">
        <v/>
      </c>
      <c r="K933" s="68" t="str">
        <v/>
      </c>
    </row>
    <row r="934" spans="2:11">
      <c r="B934" s="66" t="str">
        <v/>
      </c>
      <c r="C934" s="67" t="str">
        <v/>
      </c>
      <c r="D934" s="67" t="str">
        <v/>
      </c>
      <c r="E934" s="67" t="str">
        <v/>
      </c>
      <c r="F934" s="67" t="str">
        <v/>
      </c>
      <c r="G934" s="67" t="str">
        <v/>
      </c>
      <c r="H934" s="67" t="str">
        <v/>
      </c>
      <c r="I934" s="67" t="str">
        <v/>
      </c>
      <c r="J934" s="67" t="str">
        <v/>
      </c>
      <c r="K934" s="68" t="str">
        <v/>
      </c>
    </row>
    <row r="935" spans="2:11">
      <c r="B935" s="66" t="str">
        <v/>
      </c>
      <c r="C935" s="67" t="str">
        <v/>
      </c>
      <c r="D935" s="67" t="str">
        <v/>
      </c>
      <c r="E935" s="67" t="str">
        <v/>
      </c>
      <c r="F935" s="67" t="str">
        <v/>
      </c>
      <c r="G935" s="67" t="str">
        <v/>
      </c>
      <c r="H935" s="67" t="str">
        <v/>
      </c>
      <c r="I935" s="67" t="str">
        <v/>
      </c>
      <c r="J935" s="67" t="str">
        <v/>
      </c>
      <c r="K935" s="68" t="str">
        <v/>
      </c>
    </row>
    <row r="936" spans="2:11">
      <c r="B936" s="66" t="str">
        <v/>
      </c>
      <c r="C936" s="67" t="str">
        <v/>
      </c>
      <c r="D936" s="67" t="str">
        <v/>
      </c>
      <c r="E936" s="67" t="str">
        <v/>
      </c>
      <c r="F936" s="67" t="str">
        <v/>
      </c>
      <c r="G936" s="67" t="str">
        <v/>
      </c>
      <c r="H936" s="67" t="str">
        <v/>
      </c>
      <c r="I936" s="67" t="str">
        <v/>
      </c>
      <c r="J936" s="67" t="str">
        <v/>
      </c>
      <c r="K936" s="68" t="str">
        <v/>
      </c>
    </row>
    <row r="937" spans="2:11">
      <c r="B937" s="66" t="str">
        <v/>
      </c>
      <c r="C937" s="67" t="str">
        <v/>
      </c>
      <c r="D937" s="67" t="str">
        <v/>
      </c>
      <c r="E937" s="67" t="str">
        <v/>
      </c>
      <c r="F937" s="67" t="str">
        <v/>
      </c>
      <c r="G937" s="67" t="str">
        <v/>
      </c>
      <c r="H937" s="67" t="str">
        <v/>
      </c>
      <c r="I937" s="67" t="str">
        <v/>
      </c>
      <c r="J937" s="67" t="str">
        <v/>
      </c>
      <c r="K937" s="68" t="str">
        <v/>
      </c>
    </row>
    <row r="938" spans="2:11">
      <c r="B938" s="66" t="str">
        <v/>
      </c>
      <c r="C938" s="67" t="str">
        <v/>
      </c>
      <c r="D938" s="67" t="str">
        <v/>
      </c>
      <c r="E938" s="67" t="str">
        <v/>
      </c>
      <c r="F938" s="67" t="str">
        <v/>
      </c>
      <c r="G938" s="67" t="str">
        <v/>
      </c>
      <c r="H938" s="67" t="str">
        <v/>
      </c>
      <c r="I938" s="67" t="str">
        <v/>
      </c>
      <c r="J938" s="67" t="str">
        <v/>
      </c>
      <c r="K938" s="68" t="str">
        <v/>
      </c>
    </row>
    <row r="939" spans="2:11">
      <c r="B939" s="66" t="str">
        <v/>
      </c>
      <c r="C939" s="67" t="str">
        <v/>
      </c>
      <c r="D939" s="67" t="str">
        <v/>
      </c>
      <c r="E939" s="67" t="str">
        <v/>
      </c>
      <c r="F939" s="67" t="str">
        <v/>
      </c>
      <c r="G939" s="67" t="str">
        <v/>
      </c>
      <c r="H939" s="67" t="str">
        <v/>
      </c>
      <c r="I939" s="67" t="str">
        <v/>
      </c>
      <c r="J939" s="67" t="str">
        <v/>
      </c>
      <c r="K939" s="68" t="str">
        <v/>
      </c>
    </row>
    <row r="940" spans="2:11">
      <c r="B940" s="66" t="str">
        <v/>
      </c>
      <c r="C940" s="67" t="str">
        <v/>
      </c>
      <c r="D940" s="67" t="str">
        <v/>
      </c>
      <c r="E940" s="67" t="str">
        <v/>
      </c>
      <c r="F940" s="67" t="str">
        <v/>
      </c>
      <c r="G940" s="67" t="str">
        <v/>
      </c>
      <c r="H940" s="67" t="str">
        <v/>
      </c>
      <c r="I940" s="67" t="str">
        <v/>
      </c>
      <c r="J940" s="67" t="str">
        <v/>
      </c>
      <c r="K940" s="68" t="str">
        <v/>
      </c>
    </row>
    <row r="941" spans="2:11">
      <c r="B941" s="66" t="str">
        <v/>
      </c>
      <c r="C941" s="67" t="str">
        <v/>
      </c>
      <c r="D941" s="67" t="str">
        <v/>
      </c>
      <c r="E941" s="67" t="str">
        <v/>
      </c>
      <c r="F941" s="67" t="str">
        <v/>
      </c>
      <c r="G941" s="67" t="str">
        <v/>
      </c>
      <c r="H941" s="67" t="str">
        <v/>
      </c>
      <c r="I941" s="67" t="str">
        <v/>
      </c>
      <c r="J941" s="67" t="str">
        <v/>
      </c>
      <c r="K941" s="68" t="str">
        <v/>
      </c>
    </row>
    <row r="942" spans="2:11">
      <c r="B942" s="66" t="str">
        <v/>
      </c>
      <c r="C942" s="67" t="str">
        <v/>
      </c>
      <c r="D942" s="67" t="str">
        <v/>
      </c>
      <c r="E942" s="67" t="str">
        <v/>
      </c>
      <c r="F942" s="67" t="str">
        <v/>
      </c>
      <c r="G942" s="67" t="str">
        <v/>
      </c>
      <c r="H942" s="67" t="str">
        <v/>
      </c>
      <c r="I942" s="67" t="str">
        <v/>
      </c>
      <c r="J942" s="67" t="str">
        <v/>
      </c>
      <c r="K942" s="68" t="str">
        <v/>
      </c>
    </row>
    <row r="943" spans="2:11">
      <c r="B943" s="66" t="str">
        <v/>
      </c>
      <c r="C943" s="67" t="str">
        <v/>
      </c>
      <c r="D943" s="67" t="str">
        <v/>
      </c>
      <c r="E943" s="67" t="str">
        <v/>
      </c>
      <c r="F943" s="67" t="str">
        <v/>
      </c>
      <c r="G943" s="67" t="str">
        <v/>
      </c>
      <c r="H943" s="67" t="str">
        <v/>
      </c>
      <c r="I943" s="67" t="str">
        <v/>
      </c>
      <c r="J943" s="67" t="str">
        <v/>
      </c>
      <c r="K943" s="68" t="str">
        <v/>
      </c>
    </row>
    <row r="944" spans="2:11">
      <c r="B944" s="66" t="str">
        <v/>
      </c>
      <c r="C944" s="67" t="str">
        <v/>
      </c>
      <c r="D944" s="67" t="str">
        <v/>
      </c>
      <c r="E944" s="67" t="str">
        <v/>
      </c>
      <c r="F944" s="67" t="str">
        <v/>
      </c>
      <c r="G944" s="67" t="str">
        <v/>
      </c>
      <c r="H944" s="67" t="str">
        <v/>
      </c>
      <c r="I944" s="67" t="str">
        <v/>
      </c>
      <c r="J944" s="67" t="str">
        <v/>
      </c>
      <c r="K944" s="68" t="str">
        <v/>
      </c>
    </row>
    <row r="945" spans="2:11">
      <c r="B945" s="66" t="str">
        <v/>
      </c>
      <c r="C945" s="67" t="str">
        <v/>
      </c>
      <c r="D945" s="67" t="str">
        <v/>
      </c>
      <c r="E945" s="67" t="str">
        <v/>
      </c>
      <c r="F945" s="67" t="str">
        <v/>
      </c>
      <c r="G945" s="67" t="str">
        <v/>
      </c>
      <c r="H945" s="67" t="str">
        <v/>
      </c>
      <c r="I945" s="67" t="str">
        <v/>
      </c>
      <c r="J945" s="67" t="str">
        <v/>
      </c>
      <c r="K945" s="68" t="str">
        <v/>
      </c>
    </row>
    <row r="946" spans="2:11">
      <c r="B946" s="66" t="str">
        <v/>
      </c>
      <c r="C946" s="67" t="str">
        <v/>
      </c>
      <c r="D946" s="67" t="str">
        <v/>
      </c>
      <c r="E946" s="67" t="str">
        <v/>
      </c>
      <c r="F946" s="67" t="str">
        <v/>
      </c>
      <c r="G946" s="67" t="str">
        <v/>
      </c>
      <c r="H946" s="67" t="str">
        <v/>
      </c>
      <c r="I946" s="67" t="str">
        <v/>
      </c>
      <c r="J946" s="67" t="str">
        <v/>
      </c>
      <c r="K946" s="68" t="str">
        <v/>
      </c>
    </row>
    <row r="947" spans="2:11">
      <c r="B947" s="66" t="str">
        <v/>
      </c>
      <c r="C947" s="67" t="str">
        <v/>
      </c>
      <c r="D947" s="67" t="str">
        <v/>
      </c>
      <c r="E947" s="67" t="str">
        <v/>
      </c>
      <c r="F947" s="67" t="str">
        <v/>
      </c>
      <c r="G947" s="67" t="str">
        <v/>
      </c>
      <c r="H947" s="67" t="str">
        <v/>
      </c>
      <c r="I947" s="67" t="str">
        <v/>
      </c>
      <c r="J947" s="67" t="str">
        <v/>
      </c>
      <c r="K947" s="68" t="str">
        <v/>
      </c>
    </row>
    <row r="948" spans="2:11">
      <c r="B948" s="66" t="str">
        <v/>
      </c>
      <c r="C948" s="67" t="str">
        <v/>
      </c>
      <c r="D948" s="67" t="str">
        <v/>
      </c>
      <c r="E948" s="67" t="str">
        <v/>
      </c>
      <c r="F948" s="67" t="str">
        <v/>
      </c>
      <c r="G948" s="67" t="str">
        <v/>
      </c>
      <c r="H948" s="67" t="str">
        <v/>
      </c>
      <c r="I948" s="67" t="str">
        <v/>
      </c>
      <c r="J948" s="67" t="str">
        <v/>
      </c>
      <c r="K948" s="68" t="str">
        <v/>
      </c>
    </row>
    <row r="949" spans="2:11">
      <c r="B949" s="66" t="str">
        <v/>
      </c>
      <c r="C949" s="67" t="str">
        <v/>
      </c>
      <c r="D949" s="67" t="str">
        <v/>
      </c>
      <c r="E949" s="67" t="str">
        <v/>
      </c>
      <c r="F949" s="67" t="str">
        <v/>
      </c>
      <c r="G949" s="67" t="str">
        <v/>
      </c>
      <c r="H949" s="67" t="str">
        <v/>
      </c>
      <c r="I949" s="67" t="str">
        <v/>
      </c>
      <c r="J949" s="67" t="str">
        <v/>
      </c>
      <c r="K949" s="68" t="str">
        <v/>
      </c>
    </row>
    <row r="950" spans="2:11">
      <c r="B950" s="66" t="str">
        <v/>
      </c>
      <c r="C950" s="67" t="str">
        <v/>
      </c>
      <c r="D950" s="67" t="str">
        <v/>
      </c>
      <c r="E950" s="67" t="str">
        <v/>
      </c>
      <c r="F950" s="67" t="str">
        <v/>
      </c>
      <c r="G950" s="67" t="str">
        <v/>
      </c>
      <c r="H950" s="67" t="str">
        <v/>
      </c>
      <c r="I950" s="67" t="str">
        <v/>
      </c>
      <c r="J950" s="67" t="str">
        <v/>
      </c>
      <c r="K950" s="68" t="str">
        <v/>
      </c>
    </row>
    <row r="951" spans="2:11">
      <c r="B951" s="66" t="str">
        <v/>
      </c>
      <c r="C951" s="67" t="str">
        <v/>
      </c>
      <c r="D951" s="67" t="str">
        <v/>
      </c>
      <c r="E951" s="67" t="str">
        <v/>
      </c>
      <c r="F951" s="67" t="str">
        <v/>
      </c>
      <c r="G951" s="67" t="str">
        <v/>
      </c>
      <c r="H951" s="67" t="str">
        <v/>
      </c>
      <c r="I951" s="67" t="str">
        <v/>
      </c>
      <c r="J951" s="67" t="str">
        <v/>
      </c>
      <c r="K951" s="68" t="str">
        <v/>
      </c>
    </row>
    <row r="952" spans="2:11">
      <c r="B952" s="66" t="str">
        <v/>
      </c>
      <c r="C952" s="67" t="str">
        <v/>
      </c>
      <c r="D952" s="67" t="str">
        <v/>
      </c>
      <c r="E952" s="67" t="str">
        <v/>
      </c>
      <c r="F952" s="67" t="str">
        <v/>
      </c>
      <c r="G952" s="67" t="str">
        <v/>
      </c>
      <c r="H952" s="67" t="str">
        <v/>
      </c>
      <c r="I952" s="67" t="str">
        <v/>
      </c>
      <c r="J952" s="67" t="str">
        <v/>
      </c>
      <c r="K952" s="68" t="str">
        <v/>
      </c>
    </row>
    <row r="953" spans="2:11">
      <c r="B953" s="66" t="str">
        <v/>
      </c>
      <c r="C953" s="67" t="str">
        <v/>
      </c>
      <c r="D953" s="67" t="str">
        <v/>
      </c>
      <c r="E953" s="67" t="str">
        <v/>
      </c>
      <c r="F953" s="67" t="str">
        <v/>
      </c>
      <c r="G953" s="67" t="str">
        <v/>
      </c>
      <c r="H953" s="67" t="str">
        <v/>
      </c>
      <c r="I953" s="67" t="str">
        <v/>
      </c>
      <c r="J953" s="67" t="str">
        <v/>
      </c>
      <c r="K953" s="68" t="str">
        <v/>
      </c>
    </row>
    <row r="954" spans="2:11">
      <c r="B954" s="66" t="str">
        <v/>
      </c>
      <c r="C954" s="67" t="str">
        <v/>
      </c>
      <c r="D954" s="67" t="str">
        <v/>
      </c>
      <c r="E954" s="67" t="str">
        <v/>
      </c>
      <c r="F954" s="67" t="str">
        <v/>
      </c>
      <c r="G954" s="67" t="str">
        <v/>
      </c>
      <c r="H954" s="67" t="str">
        <v/>
      </c>
      <c r="I954" s="67" t="str">
        <v/>
      </c>
      <c r="J954" s="67" t="str">
        <v/>
      </c>
      <c r="K954" s="68" t="str">
        <v/>
      </c>
    </row>
    <row r="955" spans="2:11">
      <c r="B955" s="66" t="str">
        <v/>
      </c>
      <c r="C955" s="67" t="str">
        <v/>
      </c>
      <c r="D955" s="67" t="str">
        <v/>
      </c>
      <c r="E955" s="67" t="str">
        <v/>
      </c>
      <c r="F955" s="67" t="str">
        <v/>
      </c>
      <c r="G955" s="67" t="str">
        <v/>
      </c>
      <c r="H955" s="67" t="str">
        <v/>
      </c>
      <c r="I955" s="67" t="str">
        <v/>
      </c>
      <c r="J955" s="67" t="str">
        <v/>
      </c>
      <c r="K955" s="68" t="str">
        <v/>
      </c>
    </row>
    <row r="956" spans="2:11">
      <c r="B956" s="66" t="str">
        <v/>
      </c>
      <c r="C956" s="67" t="str">
        <v/>
      </c>
      <c r="D956" s="67" t="str">
        <v/>
      </c>
      <c r="E956" s="67" t="str">
        <v/>
      </c>
      <c r="F956" s="67" t="str">
        <v/>
      </c>
      <c r="G956" s="67" t="str">
        <v/>
      </c>
      <c r="H956" s="67" t="str">
        <v/>
      </c>
      <c r="I956" s="67" t="str">
        <v/>
      </c>
      <c r="J956" s="67" t="str">
        <v/>
      </c>
      <c r="K956" s="68" t="str">
        <v/>
      </c>
    </row>
    <row r="957" spans="2:11">
      <c r="B957" s="66" t="str">
        <v/>
      </c>
      <c r="C957" s="67" t="str">
        <v/>
      </c>
      <c r="D957" s="67" t="str">
        <v/>
      </c>
      <c r="E957" s="67" t="str">
        <v/>
      </c>
      <c r="F957" s="67" t="str">
        <v/>
      </c>
      <c r="G957" s="67" t="str">
        <v/>
      </c>
      <c r="H957" s="67" t="str">
        <v/>
      </c>
      <c r="I957" s="67" t="str">
        <v/>
      </c>
      <c r="J957" s="67" t="str">
        <v/>
      </c>
      <c r="K957" s="68" t="str">
        <v/>
      </c>
    </row>
    <row r="958" spans="2:11">
      <c r="B958" s="66" t="str">
        <v/>
      </c>
      <c r="C958" s="67" t="str">
        <v/>
      </c>
      <c r="D958" s="67" t="str">
        <v/>
      </c>
      <c r="E958" s="67" t="str">
        <v/>
      </c>
      <c r="F958" s="67" t="str">
        <v/>
      </c>
      <c r="G958" s="67" t="str">
        <v/>
      </c>
      <c r="H958" s="67" t="str">
        <v/>
      </c>
      <c r="I958" s="67" t="str">
        <v/>
      </c>
      <c r="J958" s="67" t="str">
        <v/>
      </c>
      <c r="K958" s="68" t="str">
        <v/>
      </c>
    </row>
    <row r="959" spans="2:11">
      <c r="B959" s="66" t="str">
        <v/>
      </c>
      <c r="C959" s="67" t="str">
        <v/>
      </c>
      <c r="D959" s="67" t="str">
        <v/>
      </c>
      <c r="E959" s="67" t="str">
        <v/>
      </c>
      <c r="F959" s="67" t="str">
        <v/>
      </c>
      <c r="G959" s="67" t="str">
        <v/>
      </c>
      <c r="H959" s="67" t="str">
        <v/>
      </c>
      <c r="I959" s="67" t="str">
        <v/>
      </c>
      <c r="J959" s="67" t="str">
        <v/>
      </c>
      <c r="K959" s="68" t="str">
        <v/>
      </c>
    </row>
    <row r="960" spans="2:11">
      <c r="B960" s="66" t="str">
        <v/>
      </c>
      <c r="C960" s="67" t="str">
        <v/>
      </c>
      <c r="D960" s="67" t="str">
        <v/>
      </c>
      <c r="E960" s="67" t="str">
        <v/>
      </c>
      <c r="F960" s="67" t="str">
        <v/>
      </c>
      <c r="G960" s="67" t="str">
        <v/>
      </c>
      <c r="H960" s="67" t="str">
        <v/>
      </c>
      <c r="I960" s="67" t="str">
        <v/>
      </c>
      <c r="J960" s="67" t="str">
        <v/>
      </c>
      <c r="K960" s="68" t="str">
        <v/>
      </c>
    </row>
    <row r="961" spans="2:11">
      <c r="B961" s="66" t="str">
        <v/>
      </c>
      <c r="C961" s="67" t="str">
        <v/>
      </c>
      <c r="D961" s="67" t="str">
        <v/>
      </c>
      <c r="E961" s="67" t="str">
        <v/>
      </c>
      <c r="F961" s="67" t="str">
        <v/>
      </c>
      <c r="G961" s="67" t="str">
        <v/>
      </c>
      <c r="H961" s="67" t="str">
        <v/>
      </c>
      <c r="I961" s="67" t="str">
        <v/>
      </c>
      <c r="J961" s="67" t="str">
        <v/>
      </c>
      <c r="K961" s="68" t="str">
        <v/>
      </c>
    </row>
    <row r="962" spans="2:11">
      <c r="B962" s="66" t="str">
        <v/>
      </c>
      <c r="C962" s="67" t="str">
        <v/>
      </c>
      <c r="D962" s="67" t="str">
        <v/>
      </c>
      <c r="E962" s="67" t="str">
        <v/>
      </c>
      <c r="F962" s="67" t="str">
        <v/>
      </c>
      <c r="G962" s="67" t="str">
        <v/>
      </c>
      <c r="H962" s="67" t="str">
        <v/>
      </c>
      <c r="I962" s="67" t="str">
        <v/>
      </c>
      <c r="J962" s="67" t="str">
        <v/>
      </c>
      <c r="K962" s="68" t="str">
        <v/>
      </c>
    </row>
    <row r="963" spans="2:11">
      <c r="B963" s="66" t="str">
        <v/>
      </c>
      <c r="C963" s="67" t="str">
        <v/>
      </c>
      <c r="D963" s="67" t="str">
        <v/>
      </c>
      <c r="E963" s="67" t="str">
        <v/>
      </c>
      <c r="F963" s="67" t="str">
        <v/>
      </c>
      <c r="G963" s="67" t="str">
        <v/>
      </c>
      <c r="H963" s="67" t="str">
        <v/>
      </c>
      <c r="I963" s="67" t="str">
        <v/>
      </c>
      <c r="J963" s="67" t="str">
        <v/>
      </c>
      <c r="K963" s="68" t="str">
        <v/>
      </c>
    </row>
    <row r="964" spans="2:11">
      <c r="B964" s="66" t="str">
        <v/>
      </c>
      <c r="C964" s="67" t="str">
        <v/>
      </c>
      <c r="D964" s="67" t="str">
        <v/>
      </c>
      <c r="E964" s="67" t="str">
        <v/>
      </c>
      <c r="F964" s="67" t="str">
        <v/>
      </c>
      <c r="G964" s="67" t="str">
        <v/>
      </c>
      <c r="H964" s="67" t="str">
        <v/>
      </c>
      <c r="I964" s="67" t="str">
        <v/>
      </c>
      <c r="J964" s="67" t="str">
        <v/>
      </c>
      <c r="K964" s="68" t="str">
        <v/>
      </c>
    </row>
    <row r="965" spans="2:11">
      <c r="B965" s="66" t="str">
        <v/>
      </c>
      <c r="C965" s="67" t="str">
        <v/>
      </c>
      <c r="D965" s="67" t="str">
        <v/>
      </c>
      <c r="E965" s="67" t="str">
        <v/>
      </c>
      <c r="F965" s="67" t="str">
        <v/>
      </c>
      <c r="G965" s="67" t="str">
        <v/>
      </c>
      <c r="H965" s="67" t="str">
        <v/>
      </c>
      <c r="I965" s="67" t="str">
        <v/>
      </c>
      <c r="J965" s="67" t="str">
        <v/>
      </c>
      <c r="K965" s="68" t="str">
        <v/>
      </c>
    </row>
    <row r="966" spans="2:11">
      <c r="B966" s="66" t="str">
        <v/>
      </c>
      <c r="C966" s="67" t="str">
        <v/>
      </c>
      <c r="D966" s="67" t="str">
        <v/>
      </c>
      <c r="E966" s="67" t="str">
        <v/>
      </c>
      <c r="F966" s="67" t="str">
        <v/>
      </c>
      <c r="G966" s="67" t="str">
        <v/>
      </c>
      <c r="H966" s="67" t="str">
        <v/>
      </c>
      <c r="I966" s="67" t="str">
        <v/>
      </c>
      <c r="J966" s="67" t="str">
        <v/>
      </c>
      <c r="K966" s="68" t="str">
        <v/>
      </c>
    </row>
    <row r="967" spans="2:11">
      <c r="B967" s="66" t="str">
        <v/>
      </c>
      <c r="C967" s="67" t="str">
        <v/>
      </c>
      <c r="D967" s="67" t="str">
        <v/>
      </c>
      <c r="E967" s="67" t="str">
        <v/>
      </c>
      <c r="F967" s="67" t="str">
        <v/>
      </c>
      <c r="G967" s="67" t="str">
        <v/>
      </c>
      <c r="H967" s="67" t="str">
        <v/>
      </c>
      <c r="I967" s="67" t="str">
        <v/>
      </c>
      <c r="J967" s="67" t="str">
        <v/>
      </c>
      <c r="K967" s="68" t="str">
        <v/>
      </c>
    </row>
    <row r="968" spans="2:11">
      <c r="B968" s="66" t="str">
        <v/>
      </c>
      <c r="C968" s="67" t="str">
        <v/>
      </c>
      <c r="D968" s="67" t="str">
        <v/>
      </c>
      <c r="E968" s="67" t="str">
        <v/>
      </c>
      <c r="F968" s="67" t="str">
        <v/>
      </c>
      <c r="G968" s="67" t="str">
        <v/>
      </c>
      <c r="H968" s="67" t="str">
        <v/>
      </c>
      <c r="I968" s="67" t="str">
        <v/>
      </c>
      <c r="J968" s="67" t="str">
        <v/>
      </c>
      <c r="K968" s="68" t="str">
        <v/>
      </c>
    </row>
    <row r="969" spans="2:11">
      <c r="B969" s="66" t="str">
        <v/>
      </c>
      <c r="C969" s="67" t="str">
        <v/>
      </c>
      <c r="D969" s="67" t="str">
        <v/>
      </c>
      <c r="E969" s="67" t="str">
        <v/>
      </c>
      <c r="F969" s="67" t="str">
        <v/>
      </c>
      <c r="G969" s="67" t="str">
        <v/>
      </c>
      <c r="H969" s="67" t="str">
        <v/>
      </c>
      <c r="I969" s="67" t="str">
        <v/>
      </c>
      <c r="J969" s="67" t="str">
        <v/>
      </c>
      <c r="K969" s="68" t="str">
        <v/>
      </c>
    </row>
    <row r="970" spans="2:11">
      <c r="B970" s="66" t="str">
        <v/>
      </c>
      <c r="C970" s="67" t="str">
        <v/>
      </c>
      <c r="D970" s="67" t="str">
        <v/>
      </c>
      <c r="E970" s="67" t="str">
        <v/>
      </c>
      <c r="F970" s="67" t="str">
        <v/>
      </c>
      <c r="G970" s="67" t="str">
        <v/>
      </c>
      <c r="H970" s="67" t="str">
        <v/>
      </c>
      <c r="I970" s="67" t="str">
        <v/>
      </c>
      <c r="J970" s="67" t="str">
        <v/>
      </c>
      <c r="K970" s="68" t="str">
        <v/>
      </c>
    </row>
    <row r="971" spans="2:11">
      <c r="B971" s="66" t="str">
        <v/>
      </c>
      <c r="C971" s="67" t="str">
        <v/>
      </c>
      <c r="D971" s="67" t="str">
        <v/>
      </c>
      <c r="E971" s="67" t="str">
        <v/>
      </c>
      <c r="F971" s="67" t="str">
        <v/>
      </c>
      <c r="G971" s="67" t="str">
        <v/>
      </c>
      <c r="H971" s="67" t="str">
        <v/>
      </c>
      <c r="I971" s="67" t="str">
        <v/>
      </c>
      <c r="J971" s="67" t="str">
        <v/>
      </c>
      <c r="K971" s="68" t="str">
        <v/>
      </c>
    </row>
    <row r="972" spans="2:11">
      <c r="B972" s="66" t="str">
        <v/>
      </c>
      <c r="C972" s="67" t="str">
        <v/>
      </c>
      <c r="D972" s="67" t="str">
        <v/>
      </c>
      <c r="E972" s="67" t="str">
        <v/>
      </c>
      <c r="F972" s="67" t="str">
        <v/>
      </c>
      <c r="G972" s="67" t="str">
        <v/>
      </c>
      <c r="H972" s="67" t="str">
        <v/>
      </c>
      <c r="I972" s="67" t="str">
        <v/>
      </c>
      <c r="J972" s="67" t="str">
        <v/>
      </c>
      <c r="K972" s="68" t="str">
        <v/>
      </c>
    </row>
    <row r="973" spans="2:11">
      <c r="B973" s="66" t="str">
        <v/>
      </c>
      <c r="C973" s="67" t="str">
        <v/>
      </c>
      <c r="D973" s="67" t="str">
        <v/>
      </c>
      <c r="E973" s="67" t="str">
        <v/>
      </c>
      <c r="F973" s="67" t="str">
        <v/>
      </c>
      <c r="G973" s="67" t="str">
        <v/>
      </c>
      <c r="H973" s="67" t="str">
        <v/>
      </c>
      <c r="I973" s="67" t="str">
        <v/>
      </c>
      <c r="J973" s="67" t="str">
        <v/>
      </c>
      <c r="K973" s="68" t="str">
        <v/>
      </c>
    </row>
    <row r="974" spans="2:11">
      <c r="B974" s="66" t="str">
        <v/>
      </c>
      <c r="C974" s="67" t="str">
        <v/>
      </c>
      <c r="D974" s="67" t="str">
        <v/>
      </c>
      <c r="E974" s="67" t="str">
        <v/>
      </c>
      <c r="F974" s="67" t="str">
        <v/>
      </c>
      <c r="G974" s="67" t="str">
        <v/>
      </c>
      <c r="H974" s="67" t="str">
        <v/>
      </c>
      <c r="I974" s="67" t="str">
        <v/>
      </c>
      <c r="J974" s="67" t="str">
        <v/>
      </c>
      <c r="K974" s="68" t="str">
        <v/>
      </c>
    </row>
    <row r="975" spans="2:11">
      <c r="B975" s="66" t="str">
        <v/>
      </c>
      <c r="C975" s="67" t="str">
        <v/>
      </c>
      <c r="D975" s="67" t="str">
        <v/>
      </c>
      <c r="E975" s="67" t="str">
        <v/>
      </c>
      <c r="F975" s="67" t="str">
        <v/>
      </c>
      <c r="G975" s="67" t="str">
        <v/>
      </c>
      <c r="H975" s="67" t="str">
        <v/>
      </c>
      <c r="I975" s="67" t="str">
        <v/>
      </c>
      <c r="J975" s="67" t="str">
        <v/>
      </c>
      <c r="K975" s="68" t="str">
        <v/>
      </c>
    </row>
    <row r="976" spans="2:11">
      <c r="B976" s="66" t="str">
        <v/>
      </c>
      <c r="C976" s="67" t="str">
        <v/>
      </c>
      <c r="D976" s="67" t="str">
        <v/>
      </c>
      <c r="E976" s="67" t="str">
        <v/>
      </c>
      <c r="F976" s="67" t="str">
        <v/>
      </c>
      <c r="G976" s="67" t="str">
        <v/>
      </c>
      <c r="H976" s="67" t="str">
        <v/>
      </c>
      <c r="I976" s="67" t="str">
        <v/>
      </c>
      <c r="J976" s="67" t="str">
        <v/>
      </c>
      <c r="K976" s="68" t="str">
        <v/>
      </c>
    </row>
    <row r="977" spans="2:11">
      <c r="B977" s="66" t="str">
        <v/>
      </c>
      <c r="C977" s="67" t="str">
        <v/>
      </c>
      <c r="D977" s="67" t="str">
        <v/>
      </c>
      <c r="E977" s="67" t="str">
        <v/>
      </c>
      <c r="F977" s="67" t="str">
        <v/>
      </c>
      <c r="G977" s="67" t="str">
        <v/>
      </c>
      <c r="H977" s="67" t="str">
        <v/>
      </c>
      <c r="I977" s="67" t="str">
        <v/>
      </c>
      <c r="J977" s="67" t="str">
        <v/>
      </c>
      <c r="K977" s="68" t="str">
        <v/>
      </c>
    </row>
    <row r="978" spans="2:11">
      <c r="B978" s="66" t="str">
        <v/>
      </c>
      <c r="C978" s="67" t="str">
        <v/>
      </c>
      <c r="D978" s="67" t="str">
        <v/>
      </c>
      <c r="E978" s="67" t="str">
        <v/>
      </c>
      <c r="F978" s="67" t="str">
        <v/>
      </c>
      <c r="G978" s="67" t="str">
        <v/>
      </c>
      <c r="H978" s="67" t="str">
        <v/>
      </c>
      <c r="I978" s="67" t="str">
        <v/>
      </c>
      <c r="J978" s="67" t="str">
        <v/>
      </c>
      <c r="K978" s="68" t="str">
        <v/>
      </c>
    </row>
    <row r="979" spans="2:11">
      <c r="B979" s="66" t="str">
        <v/>
      </c>
      <c r="C979" s="67" t="str">
        <v/>
      </c>
      <c r="D979" s="67" t="str">
        <v/>
      </c>
      <c r="E979" s="67" t="str">
        <v/>
      </c>
      <c r="F979" s="67" t="str">
        <v/>
      </c>
      <c r="G979" s="67" t="str">
        <v/>
      </c>
      <c r="H979" s="67" t="str">
        <v/>
      </c>
      <c r="I979" s="67" t="str">
        <v/>
      </c>
      <c r="J979" s="67" t="str">
        <v/>
      </c>
      <c r="K979" s="68" t="str">
        <v/>
      </c>
    </row>
    <row r="980" spans="2:11">
      <c r="B980" s="66" t="str">
        <v/>
      </c>
      <c r="C980" s="67" t="str">
        <v/>
      </c>
      <c r="D980" s="67" t="str">
        <v/>
      </c>
      <c r="E980" s="67" t="str">
        <v/>
      </c>
      <c r="F980" s="67" t="str">
        <v/>
      </c>
      <c r="G980" s="67" t="str">
        <v/>
      </c>
      <c r="H980" s="67" t="str">
        <v/>
      </c>
      <c r="I980" s="67" t="str">
        <v/>
      </c>
      <c r="J980" s="67" t="str">
        <v/>
      </c>
      <c r="K980" s="68" t="str">
        <v/>
      </c>
    </row>
    <row r="981" spans="2:11">
      <c r="B981" s="66" t="str">
        <v/>
      </c>
      <c r="C981" s="67" t="str">
        <v/>
      </c>
      <c r="D981" s="67" t="str">
        <v/>
      </c>
      <c r="E981" s="67" t="str">
        <v/>
      </c>
      <c r="F981" s="67" t="str">
        <v/>
      </c>
      <c r="G981" s="67" t="str">
        <v/>
      </c>
      <c r="H981" s="67" t="str">
        <v/>
      </c>
      <c r="I981" s="67" t="str">
        <v/>
      </c>
      <c r="J981" s="67" t="str">
        <v/>
      </c>
      <c r="K981" s="68" t="str">
        <v/>
      </c>
    </row>
    <row r="982" spans="2:11">
      <c r="B982" s="66" t="str">
        <v/>
      </c>
      <c r="C982" s="67" t="str">
        <v/>
      </c>
      <c r="D982" s="67" t="str">
        <v/>
      </c>
      <c r="E982" s="67" t="str">
        <v/>
      </c>
      <c r="F982" s="67" t="str">
        <v/>
      </c>
      <c r="G982" s="67" t="str">
        <v/>
      </c>
      <c r="H982" s="67" t="str">
        <v/>
      </c>
      <c r="I982" s="67" t="str">
        <v/>
      </c>
      <c r="J982" s="67" t="str">
        <v/>
      </c>
      <c r="K982" s="68" t="str">
        <v/>
      </c>
    </row>
    <row r="983" spans="2:11">
      <c r="B983" s="66" t="str">
        <v/>
      </c>
      <c r="C983" s="67" t="str">
        <v/>
      </c>
      <c r="D983" s="67" t="str">
        <v/>
      </c>
      <c r="E983" s="67" t="str">
        <v/>
      </c>
      <c r="F983" s="67" t="str">
        <v/>
      </c>
      <c r="G983" s="67" t="str">
        <v/>
      </c>
      <c r="H983" s="67" t="str">
        <v/>
      </c>
      <c r="I983" s="67" t="str">
        <v/>
      </c>
      <c r="J983" s="67" t="str">
        <v/>
      </c>
      <c r="K983" s="68" t="str">
        <v/>
      </c>
    </row>
    <row r="984" spans="2:11">
      <c r="B984" s="66" t="str">
        <v/>
      </c>
      <c r="C984" s="67" t="str">
        <v/>
      </c>
      <c r="D984" s="67" t="str">
        <v/>
      </c>
      <c r="E984" s="67" t="str">
        <v/>
      </c>
      <c r="F984" s="67" t="str">
        <v/>
      </c>
      <c r="G984" s="67" t="str">
        <v/>
      </c>
      <c r="H984" s="67" t="str">
        <v/>
      </c>
      <c r="I984" s="67" t="str">
        <v/>
      </c>
      <c r="J984" s="67" t="str">
        <v/>
      </c>
      <c r="K984" s="68" t="str">
        <v/>
      </c>
    </row>
    <row r="985" spans="2:11">
      <c r="B985" s="66" t="str">
        <v/>
      </c>
      <c r="C985" s="67" t="str">
        <v/>
      </c>
      <c r="D985" s="67" t="str">
        <v/>
      </c>
      <c r="E985" s="67" t="str">
        <v/>
      </c>
      <c r="F985" s="67" t="str">
        <v/>
      </c>
      <c r="G985" s="67" t="str">
        <v/>
      </c>
      <c r="H985" s="67" t="str">
        <v/>
      </c>
      <c r="I985" s="67" t="str">
        <v/>
      </c>
      <c r="J985" s="67" t="str">
        <v/>
      </c>
      <c r="K985" s="68" t="str">
        <v/>
      </c>
    </row>
    <row r="986" spans="2:11">
      <c r="B986" s="66" t="str">
        <v/>
      </c>
      <c r="C986" s="67" t="str">
        <v/>
      </c>
      <c r="D986" s="67" t="str">
        <v/>
      </c>
      <c r="E986" s="67" t="str">
        <v/>
      </c>
      <c r="F986" s="67" t="str">
        <v/>
      </c>
      <c r="G986" s="67" t="str">
        <v/>
      </c>
      <c r="H986" s="67" t="str">
        <v/>
      </c>
      <c r="I986" s="67" t="str">
        <v/>
      </c>
      <c r="J986" s="67" t="str">
        <v/>
      </c>
      <c r="K986" s="68" t="str">
        <v/>
      </c>
    </row>
    <row r="987" spans="2:11">
      <c r="B987" s="66" t="str">
        <v/>
      </c>
      <c r="C987" s="67" t="str">
        <v/>
      </c>
      <c r="D987" s="67" t="str">
        <v/>
      </c>
      <c r="E987" s="67" t="str">
        <v/>
      </c>
      <c r="F987" s="67" t="str">
        <v/>
      </c>
      <c r="G987" s="67" t="str">
        <v/>
      </c>
      <c r="H987" s="67" t="str">
        <v/>
      </c>
      <c r="I987" s="67" t="str">
        <v/>
      </c>
      <c r="J987" s="67" t="str">
        <v/>
      </c>
      <c r="K987" s="68" t="str">
        <v/>
      </c>
    </row>
    <row r="988" spans="2:11">
      <c r="B988" s="66" t="str">
        <v/>
      </c>
      <c r="C988" s="67" t="str">
        <v/>
      </c>
      <c r="D988" s="67" t="str">
        <v/>
      </c>
      <c r="E988" s="67" t="str">
        <v/>
      </c>
      <c r="F988" s="67" t="str">
        <v/>
      </c>
      <c r="G988" s="67" t="str">
        <v/>
      </c>
      <c r="H988" s="67" t="str">
        <v/>
      </c>
      <c r="I988" s="67" t="str">
        <v/>
      </c>
      <c r="J988" s="67" t="str">
        <v/>
      </c>
      <c r="K988" s="68" t="str">
        <v/>
      </c>
    </row>
    <row r="989" spans="2:11">
      <c r="B989" s="66" t="str">
        <v/>
      </c>
      <c r="C989" s="67" t="str">
        <v/>
      </c>
      <c r="D989" s="67" t="str">
        <v/>
      </c>
      <c r="E989" s="67" t="str">
        <v/>
      </c>
      <c r="F989" s="67" t="str">
        <v/>
      </c>
      <c r="G989" s="67" t="str">
        <v/>
      </c>
      <c r="H989" s="67" t="str">
        <v/>
      </c>
      <c r="I989" s="67" t="str">
        <v/>
      </c>
      <c r="J989" s="67" t="str">
        <v/>
      </c>
      <c r="K989" s="68" t="str">
        <v/>
      </c>
    </row>
    <row r="990" spans="2:11">
      <c r="B990" s="66" t="str">
        <v/>
      </c>
      <c r="C990" s="67" t="str">
        <v/>
      </c>
      <c r="D990" s="67" t="str">
        <v/>
      </c>
      <c r="E990" s="67" t="str">
        <v/>
      </c>
      <c r="F990" s="67" t="str">
        <v/>
      </c>
      <c r="G990" s="67" t="str">
        <v/>
      </c>
      <c r="H990" s="67" t="str">
        <v/>
      </c>
      <c r="I990" s="67" t="str">
        <v/>
      </c>
      <c r="J990" s="67" t="str">
        <v/>
      </c>
      <c r="K990" s="68" t="str">
        <v/>
      </c>
    </row>
    <row r="991" spans="2:11">
      <c r="B991" s="66" t="str">
        <v/>
      </c>
      <c r="C991" s="67" t="str">
        <v/>
      </c>
      <c r="D991" s="67" t="str">
        <v/>
      </c>
      <c r="E991" s="67" t="str">
        <v/>
      </c>
      <c r="F991" s="67" t="str">
        <v/>
      </c>
      <c r="G991" s="67" t="str">
        <v/>
      </c>
      <c r="H991" s="67" t="str">
        <v/>
      </c>
      <c r="I991" s="67" t="str">
        <v/>
      </c>
      <c r="J991" s="67" t="str">
        <v/>
      </c>
      <c r="K991" s="68" t="str">
        <v/>
      </c>
    </row>
    <row r="992" spans="2:11">
      <c r="B992" s="66" t="str">
        <v/>
      </c>
      <c r="C992" s="67" t="str">
        <v/>
      </c>
      <c r="D992" s="67" t="str">
        <v/>
      </c>
      <c r="E992" s="67" t="str">
        <v/>
      </c>
      <c r="F992" s="67" t="str">
        <v/>
      </c>
      <c r="G992" s="67" t="str">
        <v/>
      </c>
      <c r="H992" s="67" t="str">
        <v/>
      </c>
      <c r="I992" s="67" t="str">
        <v/>
      </c>
      <c r="J992" s="67" t="str">
        <v/>
      </c>
      <c r="K992" s="68" t="str">
        <v/>
      </c>
    </row>
    <row r="993" spans="2:11">
      <c r="B993" s="66" t="str">
        <v/>
      </c>
      <c r="C993" s="67" t="str">
        <v/>
      </c>
      <c r="D993" s="67" t="str">
        <v/>
      </c>
      <c r="E993" s="67" t="str">
        <v/>
      </c>
      <c r="F993" s="67" t="str">
        <v/>
      </c>
      <c r="G993" s="67" t="str">
        <v/>
      </c>
      <c r="H993" s="67" t="str">
        <v/>
      </c>
      <c r="I993" s="67" t="str">
        <v/>
      </c>
      <c r="J993" s="67" t="str">
        <v/>
      </c>
      <c r="K993" s="68" t="str">
        <v/>
      </c>
    </row>
    <row r="994" spans="2:11">
      <c r="B994" s="66" t="str">
        <v/>
      </c>
      <c r="C994" s="67" t="str">
        <v/>
      </c>
      <c r="D994" s="67" t="str">
        <v/>
      </c>
      <c r="E994" s="67" t="str">
        <v/>
      </c>
      <c r="F994" s="67" t="str">
        <v/>
      </c>
      <c r="G994" s="67" t="str">
        <v/>
      </c>
      <c r="H994" s="67" t="str">
        <v/>
      </c>
      <c r="I994" s="67" t="str">
        <v/>
      </c>
      <c r="J994" s="67" t="str">
        <v/>
      </c>
      <c r="K994" s="68" t="str">
        <v/>
      </c>
    </row>
    <row r="995" spans="2:11">
      <c r="B995" s="66" t="str">
        <v/>
      </c>
      <c r="C995" s="67" t="str">
        <v/>
      </c>
      <c r="D995" s="67" t="str">
        <v/>
      </c>
      <c r="E995" s="67" t="str">
        <v/>
      </c>
      <c r="F995" s="67" t="str">
        <v/>
      </c>
      <c r="G995" s="67" t="str">
        <v/>
      </c>
      <c r="H995" s="67" t="str">
        <v/>
      </c>
      <c r="I995" s="67" t="str">
        <v/>
      </c>
      <c r="J995" s="67" t="str">
        <v/>
      </c>
      <c r="K995" s="68" t="str">
        <v/>
      </c>
    </row>
    <row r="996" spans="2:11">
      <c r="B996" s="66" t="str">
        <v/>
      </c>
      <c r="C996" s="67" t="str">
        <v/>
      </c>
      <c r="D996" s="67" t="str">
        <v/>
      </c>
      <c r="E996" s="67" t="str">
        <v/>
      </c>
      <c r="F996" s="67" t="str">
        <v/>
      </c>
      <c r="G996" s="67" t="str">
        <v/>
      </c>
      <c r="H996" s="67" t="str">
        <v/>
      </c>
      <c r="I996" s="67" t="str">
        <v/>
      </c>
      <c r="J996" s="67" t="str">
        <v/>
      </c>
      <c r="K996" s="68" t="str">
        <v/>
      </c>
    </row>
    <row r="997" spans="2:11">
      <c r="B997" s="66" t="str">
        <v/>
      </c>
      <c r="C997" s="67" t="str">
        <v/>
      </c>
      <c r="D997" s="67" t="str">
        <v/>
      </c>
      <c r="E997" s="67" t="str">
        <v/>
      </c>
      <c r="F997" s="67" t="str">
        <v/>
      </c>
      <c r="G997" s="67" t="str">
        <v/>
      </c>
      <c r="H997" s="67" t="str">
        <v/>
      </c>
      <c r="I997" s="67" t="str">
        <v/>
      </c>
      <c r="J997" s="67" t="str">
        <v/>
      </c>
      <c r="K997" s="68" t="str">
        <v/>
      </c>
    </row>
    <row r="998" spans="2:11">
      <c r="B998" s="66" t="str">
        <v/>
      </c>
      <c r="C998" s="67" t="str">
        <v/>
      </c>
      <c r="D998" s="67" t="str">
        <v/>
      </c>
      <c r="E998" s="67" t="str">
        <v/>
      </c>
      <c r="F998" s="67" t="str">
        <v/>
      </c>
      <c r="G998" s="67" t="str">
        <v/>
      </c>
      <c r="H998" s="67" t="str">
        <v/>
      </c>
      <c r="I998" s="67" t="str">
        <v/>
      </c>
      <c r="J998" s="67" t="str">
        <v/>
      </c>
      <c r="K998" s="68" t="str">
        <v/>
      </c>
    </row>
    <row r="999" spans="2:11">
      <c r="B999" s="66" t="str">
        <v/>
      </c>
      <c r="C999" s="67" t="str">
        <v/>
      </c>
      <c r="D999" s="67" t="str">
        <v/>
      </c>
      <c r="E999" s="67" t="str">
        <v/>
      </c>
      <c r="F999" s="67" t="str">
        <v/>
      </c>
      <c r="G999" s="67" t="str">
        <v/>
      </c>
      <c r="H999" s="67" t="str">
        <v/>
      </c>
      <c r="I999" s="67" t="str">
        <v/>
      </c>
      <c r="J999" s="67" t="str">
        <v/>
      </c>
      <c r="K999" s="68" t="str">
        <v/>
      </c>
    </row>
    <row r="1000" spans="2:11">
      <c r="B1000" s="66" t="str">
        <v/>
      </c>
      <c r="C1000" s="67" t="str">
        <v/>
      </c>
      <c r="D1000" s="67" t="str">
        <v/>
      </c>
      <c r="E1000" s="67" t="str">
        <v/>
      </c>
      <c r="F1000" s="67" t="str">
        <v/>
      </c>
      <c r="G1000" s="67" t="str">
        <v/>
      </c>
      <c r="H1000" s="67" t="str">
        <v/>
      </c>
      <c r="I1000" s="67" t="str">
        <v/>
      </c>
      <c r="J1000" s="67" t="str">
        <v/>
      </c>
      <c r="K1000" s="68" t="str">
        <v/>
      </c>
    </row>
    <row r="1001" spans="2:11">
      <c r="B1001" s="66" t="str">
        <v/>
      </c>
      <c r="C1001" s="67" t="str">
        <v/>
      </c>
      <c r="D1001" s="67" t="str">
        <v/>
      </c>
      <c r="E1001" s="67" t="str">
        <v/>
      </c>
      <c r="F1001" s="67" t="str">
        <v/>
      </c>
      <c r="G1001" s="67" t="str">
        <v/>
      </c>
      <c r="H1001" s="67" t="str">
        <v/>
      </c>
      <c r="I1001" s="67" t="str">
        <v/>
      </c>
      <c r="J1001" s="67" t="str">
        <v/>
      </c>
      <c r="K1001" s="68" t="str">
        <v/>
      </c>
    </row>
    <row r="1002" spans="2:11">
      <c r="B1002" s="66" t="str">
        <v/>
      </c>
      <c r="C1002" s="67" t="str">
        <v/>
      </c>
      <c r="D1002" s="67" t="str">
        <v/>
      </c>
      <c r="E1002" s="67" t="str">
        <v/>
      </c>
      <c r="F1002" s="67" t="str">
        <v/>
      </c>
      <c r="G1002" s="67" t="str">
        <v/>
      </c>
      <c r="H1002" s="67" t="str">
        <v/>
      </c>
      <c r="I1002" s="67" t="str">
        <v/>
      </c>
      <c r="J1002" s="67" t="str">
        <v/>
      </c>
      <c r="K1002" s="68" t="str">
        <v/>
      </c>
    </row>
    <row r="1003" spans="2:11">
      <c r="B1003" s="66" t="str">
        <v/>
      </c>
      <c r="C1003" s="67" t="str">
        <v/>
      </c>
      <c r="D1003" s="67" t="str">
        <v/>
      </c>
      <c r="E1003" s="67" t="str">
        <v/>
      </c>
      <c r="F1003" s="67" t="str">
        <v/>
      </c>
      <c r="G1003" s="67" t="str">
        <v/>
      </c>
      <c r="H1003" s="67" t="str">
        <v/>
      </c>
      <c r="I1003" s="67" t="str">
        <v/>
      </c>
      <c r="J1003" s="67" t="str">
        <v/>
      </c>
      <c r="K1003" s="68" t="str">
        <v/>
      </c>
    </row>
    <row r="1004" spans="2:11">
      <c r="B1004" s="66" t="str">
        <v/>
      </c>
      <c r="C1004" s="67" t="str">
        <v/>
      </c>
      <c r="D1004" s="67" t="str">
        <v/>
      </c>
      <c r="E1004" s="67" t="str">
        <v/>
      </c>
      <c r="F1004" s="67" t="str">
        <v/>
      </c>
      <c r="G1004" s="67" t="str">
        <v/>
      </c>
      <c r="H1004" s="67" t="str">
        <v/>
      </c>
      <c r="I1004" s="67" t="str">
        <v/>
      </c>
      <c r="J1004" s="67" t="str">
        <v/>
      </c>
      <c r="K1004" s="68" t="str">
        <v/>
      </c>
    </row>
    <row r="1005" spans="2:11">
      <c r="B1005" s="66" t="str">
        <v/>
      </c>
      <c r="C1005" s="67" t="str">
        <v/>
      </c>
      <c r="D1005" s="67" t="str">
        <v/>
      </c>
      <c r="E1005" s="67" t="str">
        <v/>
      </c>
      <c r="F1005" s="67" t="str">
        <v/>
      </c>
      <c r="G1005" s="67" t="str">
        <v/>
      </c>
      <c r="H1005" s="67" t="str">
        <v/>
      </c>
      <c r="I1005" s="67" t="str">
        <v/>
      </c>
      <c r="J1005" s="67" t="str">
        <v/>
      </c>
      <c r="K1005" s="68" t="str">
        <v/>
      </c>
    </row>
    <row r="1006" spans="2:11">
      <c r="B1006" s="66" t="str">
        <v/>
      </c>
      <c r="C1006" s="67" t="str">
        <v/>
      </c>
      <c r="D1006" s="67" t="str">
        <v/>
      </c>
      <c r="E1006" s="67" t="str">
        <v/>
      </c>
      <c r="F1006" s="67" t="str">
        <v/>
      </c>
      <c r="G1006" s="67" t="str">
        <v/>
      </c>
      <c r="H1006" s="67" t="str">
        <v/>
      </c>
      <c r="I1006" s="67" t="str">
        <v/>
      </c>
      <c r="J1006" s="67" t="str">
        <v/>
      </c>
      <c r="K1006" s="68" t="str">
        <v/>
      </c>
    </row>
    <row r="1007" spans="2:11">
      <c r="B1007" s="69" t="str">
        <v/>
      </c>
      <c r="C1007" s="70" t="str">
        <v/>
      </c>
      <c r="D1007" s="70" t="str">
        <v/>
      </c>
      <c r="E1007" s="70" t="str">
        <v/>
      </c>
      <c r="F1007" s="70" t="str">
        <v/>
      </c>
      <c r="G1007" s="70" t="str">
        <v/>
      </c>
      <c r="H1007" s="70" t="str">
        <v/>
      </c>
      <c r="I1007" s="70" t="str">
        <v/>
      </c>
      <c r="J1007" s="70" t="str">
        <v/>
      </c>
      <c r="K1007" s="71" t="str">
        <v/>
      </c>
    </row>
  </sheetData>
  <autoFilter ref="B7:K7" xr:uid="{0F596F13-E080-4D0C-B305-0774B6C5D235}"/>
  <dataValidations count="1">
    <dataValidation type="list" allowBlank="1" showInputMessage="1" showErrorMessage="1" sqref="B3:K3" xr:uid="{D28EA1C8-F81D-4CB1-80D4-5E0A2173794C}">
      <formula1>"contains, eq"</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4826-0374-45A9-B28B-80458F002E1B}">
  <sheetPr codeName="Sheet_C101_DD">
    <tabColor rgb="FF92D050"/>
    <outlinePr summaryBelow="0" summaryRight="0"/>
  </sheetPr>
  <dimension ref="A1:AL21"/>
  <sheetViews>
    <sheetView workbookViewId="0">
      <pane xSplit="2" ySplit="11" topLeftCell="C12" activePane="bottomRight" state="frozen"/>
      <selection pane="topRight" activeCell="C1" sqref="C1"/>
      <selection pane="bottomLeft" activeCell="A12" sqref="A12"/>
      <selection pane="bottomRight" activeCell="B36" sqref="B36"/>
    </sheetView>
  </sheetViews>
  <sheetFormatPr defaultColWidth="10.33203125" defaultRowHeight="14.4" outlineLevelRow="1"/>
  <cols>
    <col min="1" max="1" width="27.109375" style="74" bestFit="1" customWidth="1"/>
    <col min="2" max="2" width="14.44140625" style="74" customWidth="1"/>
    <col min="3" max="3" width="16.33203125" style="74" bestFit="1" customWidth="1"/>
    <col min="4" max="4" width="12.6640625" style="74" customWidth="1"/>
    <col min="5" max="5" width="15.5546875" style="74" bestFit="1" customWidth="1"/>
    <col min="6" max="6" width="16.5546875" style="74" bestFit="1" customWidth="1"/>
    <col min="7" max="7" width="11.109375" style="74" bestFit="1" customWidth="1"/>
    <col min="8" max="8" width="13.44140625" style="74" bestFit="1" customWidth="1"/>
    <col min="9" max="9" width="21" style="74" bestFit="1" customWidth="1"/>
    <col min="10" max="10" width="14.44140625" style="74" customWidth="1"/>
    <col min="11" max="11" width="13.109375" style="74" customWidth="1"/>
    <col min="12" max="12" width="21.6640625" style="74" customWidth="1"/>
    <col min="13" max="13" width="13.5546875" style="74" bestFit="1" customWidth="1"/>
    <col min="14" max="14" width="22.109375" style="74" customWidth="1"/>
    <col min="15" max="15" width="21" style="74" customWidth="1"/>
    <col min="16" max="16" width="12.33203125" style="74" bestFit="1" customWidth="1"/>
    <col min="17" max="17" width="29.33203125" style="74" bestFit="1" customWidth="1"/>
    <col min="18" max="18" width="18.109375" style="74" customWidth="1"/>
    <col min="19" max="19" width="15.109375" style="74" customWidth="1"/>
    <col min="20" max="20" width="20.109375" style="74" customWidth="1"/>
    <col min="21" max="21" width="12.5546875" style="74" customWidth="1"/>
    <col min="22" max="22" width="16.6640625" style="74" customWidth="1"/>
    <col min="23" max="23" width="20.5546875" style="74" customWidth="1"/>
    <col min="24" max="24" width="14.88671875" style="74" bestFit="1" customWidth="1"/>
    <col min="25" max="25" width="18.109375" style="74" customWidth="1"/>
    <col min="26" max="26" width="18" style="103" customWidth="1"/>
    <col min="27" max="27" width="18.109375" style="74" customWidth="1"/>
    <col min="28" max="28" width="16.88671875" style="74" bestFit="1" customWidth="1"/>
    <col min="29" max="29" width="25" style="74" bestFit="1" customWidth="1"/>
    <col min="30" max="30" width="17.44140625" style="74" bestFit="1" customWidth="1"/>
    <col min="31" max="31" width="32.33203125" style="74" bestFit="1" customWidth="1"/>
    <col min="32" max="32" width="13.44140625" style="74" bestFit="1" customWidth="1"/>
    <col min="33" max="33" width="15.33203125" style="74" bestFit="1" customWidth="1"/>
    <col min="34" max="34" width="15.5546875" style="74" bestFit="1" customWidth="1"/>
    <col min="35" max="35" width="20.44140625" style="74" bestFit="1" customWidth="1"/>
    <col min="36" max="36" width="23.5546875" style="74" bestFit="1" customWidth="1"/>
    <col min="37" max="37" width="28.109375" style="74" bestFit="1" customWidth="1"/>
    <col min="38" max="38" width="23.88671875" style="74" bestFit="1" customWidth="1"/>
    <col min="39" max="16384" width="10.33203125" style="74"/>
  </cols>
  <sheetData>
    <row r="1" spans="1:38" ht="21">
      <c r="A1" s="72" t="s">
        <v>197</v>
      </c>
      <c r="B1" s="73"/>
      <c r="C1" s="73"/>
      <c r="D1" s="73"/>
      <c r="E1" s="73"/>
      <c r="F1" s="73"/>
      <c r="G1" s="73"/>
      <c r="H1" s="73"/>
      <c r="I1" s="73"/>
      <c r="J1" s="73"/>
      <c r="K1" s="73"/>
      <c r="L1" s="73"/>
      <c r="M1" s="73"/>
      <c r="N1" s="73"/>
      <c r="O1" s="73"/>
      <c r="P1" s="73"/>
      <c r="Q1" s="73"/>
      <c r="R1" s="73"/>
      <c r="S1" s="73"/>
      <c r="T1" s="73"/>
      <c r="U1" s="73"/>
      <c r="V1" s="73"/>
      <c r="W1" s="73"/>
      <c r="X1" s="73"/>
      <c r="Y1" s="73"/>
      <c r="Z1" s="73"/>
      <c r="AA1" s="73"/>
      <c r="AB1" s="73"/>
      <c r="AC1" s="73"/>
      <c r="AD1" s="73"/>
      <c r="AE1" s="73"/>
      <c r="AF1" s="73"/>
      <c r="AG1" s="73"/>
      <c r="AH1" s="73"/>
      <c r="AI1" s="73"/>
      <c r="AJ1" s="73"/>
      <c r="AK1" s="73"/>
      <c r="AL1" s="73"/>
    </row>
    <row r="2" spans="1:38">
      <c r="A2" s="75"/>
      <c r="B2" s="76"/>
      <c r="C2" s="76"/>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row>
    <row r="3" spans="1:38" ht="18">
      <c r="A3" s="77" t="s">
        <v>198</v>
      </c>
      <c r="B3" s="78"/>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9"/>
    </row>
    <row r="4" spans="1:38" s="80" customFormat="1" outlineLevel="1">
      <c r="A4" s="75" t="s">
        <v>199</v>
      </c>
      <c r="B4" s="76"/>
      <c r="C4" s="76"/>
      <c r="D4" s="76"/>
      <c r="E4" s="76"/>
      <c r="F4" s="76"/>
      <c r="G4" s="76"/>
      <c r="H4" s="76"/>
      <c r="I4" s="76"/>
      <c r="J4" s="75" t="s">
        <v>200</v>
      </c>
      <c r="K4" s="76"/>
      <c r="L4" s="76"/>
      <c r="M4" s="76"/>
      <c r="N4" s="76"/>
      <c r="O4" s="76"/>
      <c r="P4" s="76"/>
      <c r="Q4" s="76"/>
      <c r="R4" s="75" t="s">
        <v>201</v>
      </c>
      <c r="S4" s="76"/>
      <c r="T4" s="76"/>
      <c r="U4" s="76"/>
      <c r="V4" s="76"/>
      <c r="W4" s="76"/>
      <c r="X4" s="75" t="s">
        <v>202</v>
      </c>
      <c r="Y4" s="76"/>
      <c r="Z4" s="76"/>
      <c r="AA4" s="76"/>
      <c r="AB4" s="76"/>
      <c r="AC4" s="76"/>
      <c r="AD4" s="76"/>
      <c r="AE4" s="76"/>
      <c r="AF4" s="76"/>
      <c r="AG4" s="75" t="s">
        <v>203</v>
      </c>
      <c r="AH4" s="76"/>
      <c r="AI4" s="76"/>
      <c r="AJ4" s="76"/>
      <c r="AK4" s="76"/>
      <c r="AL4" s="76"/>
    </row>
    <row r="5" spans="1:38" outlineLevel="1">
      <c r="A5" s="81"/>
      <c r="B5" s="82" t="s">
        <v>204</v>
      </c>
      <c r="C5" s="82" t="s">
        <v>205</v>
      </c>
      <c r="D5" s="82" t="s">
        <v>206</v>
      </c>
      <c r="E5" s="82"/>
      <c r="F5" s="82"/>
      <c r="G5" s="82"/>
      <c r="H5" s="82"/>
      <c r="I5" s="82"/>
      <c r="J5" s="83" t="s">
        <v>207</v>
      </c>
      <c r="K5" s="83" t="s">
        <v>208</v>
      </c>
      <c r="L5" s="83" t="s">
        <v>209</v>
      </c>
      <c r="M5" s="83" t="s">
        <v>210</v>
      </c>
      <c r="N5" s="83" t="s">
        <v>211</v>
      </c>
      <c r="O5" s="83" t="s">
        <v>212</v>
      </c>
      <c r="P5" s="83"/>
      <c r="Q5" s="83"/>
      <c r="R5" s="84" t="s">
        <v>213</v>
      </c>
      <c r="S5" s="84" t="s">
        <v>214</v>
      </c>
      <c r="T5" s="84" t="s">
        <v>215</v>
      </c>
      <c r="U5" s="84" t="s">
        <v>216</v>
      </c>
      <c r="V5" s="84" t="s">
        <v>217</v>
      </c>
      <c r="W5" s="84" t="s">
        <v>218</v>
      </c>
      <c r="X5" s="85" t="s">
        <v>219</v>
      </c>
      <c r="Y5" s="85" t="s">
        <v>220</v>
      </c>
      <c r="Z5" s="85" t="s">
        <v>221</v>
      </c>
      <c r="AA5" s="85" t="s">
        <v>222</v>
      </c>
      <c r="AB5" s="85" t="s">
        <v>223</v>
      </c>
      <c r="AC5" s="85" t="s">
        <v>224</v>
      </c>
      <c r="AD5" s="85" t="s">
        <v>225</v>
      </c>
      <c r="AE5" s="85" t="s">
        <v>226</v>
      </c>
      <c r="AF5" s="85" t="s">
        <v>227</v>
      </c>
      <c r="AG5" s="86" t="s">
        <v>228</v>
      </c>
      <c r="AH5" s="86" t="s">
        <v>229</v>
      </c>
      <c r="AI5" s="86" t="s">
        <v>230</v>
      </c>
      <c r="AJ5" s="86" t="s">
        <v>231</v>
      </c>
      <c r="AK5" s="86" t="s">
        <v>232</v>
      </c>
      <c r="AL5" s="87" t="s">
        <v>233</v>
      </c>
    </row>
    <row r="6" spans="1:38" outlineLevel="1">
      <c r="A6" s="88"/>
      <c r="B6" s="89" t="s">
        <v>234</v>
      </c>
      <c r="C6" s="89"/>
      <c r="D6" s="89" t="s">
        <v>235</v>
      </c>
      <c r="E6" s="89"/>
      <c r="F6" s="89"/>
      <c r="G6" s="89"/>
      <c r="H6" s="89"/>
      <c r="I6" s="89"/>
      <c r="J6" s="90" t="s">
        <v>236</v>
      </c>
      <c r="K6" s="89" t="s">
        <v>237</v>
      </c>
      <c r="L6" s="89" t="s">
        <v>238</v>
      </c>
      <c r="M6" s="89" t="s">
        <v>239</v>
      </c>
      <c r="N6" s="89" t="s">
        <v>240</v>
      </c>
      <c r="O6" s="89" t="s">
        <v>241</v>
      </c>
      <c r="P6" s="89"/>
      <c r="Q6" s="89"/>
      <c r="R6" s="90" t="s">
        <v>242</v>
      </c>
      <c r="S6" s="90" t="s">
        <v>243</v>
      </c>
      <c r="T6" s="89" t="s">
        <v>241</v>
      </c>
      <c r="U6" s="89" t="s">
        <v>244</v>
      </c>
      <c r="V6" s="89" t="s">
        <v>245</v>
      </c>
      <c r="W6" s="89"/>
      <c r="X6" s="90" t="s">
        <v>246</v>
      </c>
      <c r="Y6" s="90" t="s">
        <v>247</v>
      </c>
      <c r="Z6" s="89" t="s">
        <v>239</v>
      </c>
      <c r="AA6" s="89" t="s">
        <v>248</v>
      </c>
      <c r="AB6" s="89" t="s">
        <v>237</v>
      </c>
      <c r="AC6" s="89" t="s">
        <v>249</v>
      </c>
      <c r="AD6" s="89" t="s">
        <v>250</v>
      </c>
      <c r="AE6" s="89"/>
      <c r="AF6" s="91" t="s">
        <v>251</v>
      </c>
      <c r="AG6" s="91" t="s">
        <v>252</v>
      </c>
      <c r="AH6" s="91" t="s">
        <v>253</v>
      </c>
      <c r="AI6" s="91" t="s">
        <v>254</v>
      </c>
      <c r="AJ6" s="91" t="s">
        <v>255</v>
      </c>
      <c r="AK6" s="91" t="s">
        <v>256</v>
      </c>
      <c r="AL6" s="91" t="s">
        <v>257</v>
      </c>
    </row>
    <row r="7" spans="1: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row>
    <row r="8" spans="1:38">
      <c r="A8" s="76"/>
      <c r="B8" s="76"/>
      <c r="C8" s="76"/>
      <c r="D8" s="76"/>
      <c r="E8" s="76"/>
      <c r="F8" s="76"/>
      <c r="G8" s="76"/>
      <c r="H8" s="76"/>
      <c r="I8" s="76"/>
      <c r="J8" s="76"/>
      <c r="K8" s="76"/>
      <c r="L8" s="76"/>
      <c r="M8" s="76"/>
      <c r="N8" s="76"/>
      <c r="O8" s="76"/>
      <c r="P8" s="76"/>
      <c r="Q8" s="76"/>
      <c r="R8" s="76"/>
      <c r="S8" s="76"/>
      <c r="T8" s="76"/>
      <c r="U8" s="76"/>
      <c r="V8" s="76"/>
      <c r="W8" s="76"/>
      <c r="X8" s="76"/>
      <c r="Y8" s="76"/>
      <c r="Z8" s="76"/>
      <c r="AA8" s="76"/>
      <c r="AB8" s="76"/>
      <c r="AC8" s="76"/>
      <c r="AD8" s="76"/>
      <c r="AE8" s="76"/>
      <c r="AF8" s="76"/>
      <c r="AG8" s="76"/>
      <c r="AH8" s="76"/>
      <c r="AI8" s="76"/>
      <c r="AJ8" s="76"/>
      <c r="AK8" s="76"/>
      <c r="AL8" s="76"/>
    </row>
    <row r="9" spans="1:38" ht="18">
      <c r="A9" s="77" t="s">
        <v>258</v>
      </c>
      <c r="B9" s="78"/>
      <c r="C9" s="78"/>
      <c r="D9" s="78"/>
      <c r="E9" s="78"/>
      <c r="F9" s="78"/>
      <c r="G9" s="78"/>
      <c r="H9" s="78"/>
      <c r="I9" s="78"/>
      <c r="J9" s="78"/>
      <c r="K9" s="78"/>
      <c r="L9" s="78"/>
      <c r="M9" s="78"/>
      <c r="N9" s="78"/>
      <c r="O9" s="78"/>
      <c r="P9" s="78"/>
      <c r="Q9" s="78"/>
      <c r="R9" s="78"/>
      <c r="S9" s="78"/>
      <c r="T9" s="78"/>
      <c r="U9" s="78"/>
      <c r="V9" s="78"/>
      <c r="W9" s="78"/>
      <c r="X9" s="78"/>
      <c r="Y9" s="78"/>
      <c r="Z9" s="78"/>
      <c r="AA9" s="78"/>
      <c r="AB9" s="78"/>
      <c r="AC9" s="78"/>
      <c r="AD9" s="78"/>
      <c r="AE9" s="78"/>
      <c r="AF9" s="78"/>
      <c r="AG9" s="78"/>
      <c r="AH9" s="78"/>
      <c r="AI9" s="78"/>
      <c r="AJ9" s="78"/>
      <c r="AK9" s="78"/>
      <c r="AL9" s="79"/>
    </row>
    <row r="10" spans="1:38" outlineLevel="1">
      <c r="A10" s="75" t="s">
        <v>199</v>
      </c>
      <c r="B10" s="76"/>
      <c r="C10" s="76"/>
      <c r="D10" s="76"/>
      <c r="E10" s="76"/>
      <c r="F10" s="76"/>
      <c r="G10" s="76"/>
      <c r="H10" s="76"/>
      <c r="I10" s="76"/>
      <c r="J10" s="75" t="s">
        <v>200</v>
      </c>
      <c r="K10" s="76"/>
      <c r="L10" s="76"/>
      <c r="M10" s="76"/>
      <c r="N10" s="76"/>
      <c r="O10" s="76"/>
      <c r="P10" s="76"/>
      <c r="Q10" s="76"/>
      <c r="R10" s="75" t="s">
        <v>201</v>
      </c>
      <c r="S10" s="76"/>
      <c r="T10" s="76"/>
      <c r="U10" s="76"/>
      <c r="V10" s="76"/>
      <c r="W10" s="76"/>
      <c r="X10" s="75" t="s">
        <v>202</v>
      </c>
      <c r="Y10" s="76"/>
      <c r="Z10" s="76"/>
      <c r="AA10" s="76"/>
      <c r="AB10" s="76"/>
      <c r="AC10" s="76"/>
      <c r="AD10" s="76"/>
      <c r="AE10" s="76"/>
      <c r="AF10" s="76"/>
      <c r="AG10" s="75" t="s">
        <v>203</v>
      </c>
      <c r="AH10" s="76"/>
      <c r="AI10" s="76"/>
      <c r="AJ10" s="76"/>
      <c r="AK10" s="76"/>
      <c r="AL10" s="76"/>
    </row>
    <row r="11" spans="1:38" outlineLevel="1">
      <c r="A11" s="92" t="s">
        <v>259</v>
      </c>
      <c r="B11" s="92" t="s">
        <v>204</v>
      </c>
      <c r="C11" s="92" t="s">
        <v>205</v>
      </c>
      <c r="D11" s="92" t="s">
        <v>206</v>
      </c>
      <c r="E11" s="92" t="s">
        <v>27</v>
      </c>
      <c r="F11" s="92" t="s">
        <v>101</v>
      </c>
      <c r="G11" s="92" t="s">
        <v>260</v>
      </c>
      <c r="H11" s="92" t="s">
        <v>102</v>
      </c>
      <c r="I11" s="92" t="s">
        <v>261</v>
      </c>
      <c r="J11" s="93" t="s">
        <v>207</v>
      </c>
      <c r="K11" s="94" t="s">
        <v>208</v>
      </c>
      <c r="L11" s="94" t="s">
        <v>209</v>
      </c>
      <c r="M11" s="94" t="s">
        <v>210</v>
      </c>
      <c r="N11" s="94" t="s">
        <v>211</v>
      </c>
      <c r="O11" s="94" t="s">
        <v>212</v>
      </c>
      <c r="P11" s="94" t="s">
        <v>262</v>
      </c>
      <c r="Q11" s="94" t="s">
        <v>263</v>
      </c>
      <c r="R11" s="95" t="s">
        <v>213</v>
      </c>
      <c r="S11" s="96" t="s">
        <v>214</v>
      </c>
      <c r="T11" s="96" t="s">
        <v>215</v>
      </c>
      <c r="U11" s="96" t="s">
        <v>216</v>
      </c>
      <c r="V11" s="96" t="s">
        <v>217</v>
      </c>
      <c r="W11" s="96" t="s">
        <v>218</v>
      </c>
      <c r="X11" s="97" t="s">
        <v>219</v>
      </c>
      <c r="Y11" s="98" t="s">
        <v>220</v>
      </c>
      <c r="Z11" s="99" t="s">
        <v>264</v>
      </c>
      <c r="AA11" s="98" t="s">
        <v>265</v>
      </c>
      <c r="AB11" s="99" t="s">
        <v>266</v>
      </c>
      <c r="AC11" s="99" t="s">
        <v>267</v>
      </c>
      <c r="AD11" s="98" t="s">
        <v>268</v>
      </c>
      <c r="AE11" s="99" t="s">
        <v>269</v>
      </c>
      <c r="AF11" s="99" t="s">
        <v>227</v>
      </c>
      <c r="AG11" s="100" t="s">
        <v>270</v>
      </c>
      <c r="AH11" s="101" t="s">
        <v>271</v>
      </c>
      <c r="AI11" s="101" t="s">
        <v>272</v>
      </c>
      <c r="AJ11" s="101" t="s">
        <v>231</v>
      </c>
      <c r="AK11" s="101" t="s">
        <v>273</v>
      </c>
      <c r="AL11" s="101" t="s">
        <v>274</v>
      </c>
    </row>
    <row r="12" spans="1:38" outlineLevel="1">
      <c r="A12" s="76" t="str">
        <f>Dataset[[#Headers],[Column1]]</f>
        <v>Column1</v>
      </c>
      <c r="B12" s="76" t="s">
        <v>201</v>
      </c>
      <c r="C12" s="76"/>
      <c r="D12" s="76"/>
      <c r="E12" s="76"/>
      <c r="F12" s="76"/>
      <c r="G12" s="76"/>
      <c r="H12" s="76"/>
      <c r="I12" s="76"/>
      <c r="J12" s="102"/>
      <c r="K12" s="76"/>
      <c r="L12" s="76"/>
      <c r="M12" s="76"/>
      <c r="N12" s="76"/>
      <c r="O12" s="76"/>
      <c r="P12" s="76"/>
      <c r="Q12" s="76"/>
      <c r="R12" s="102"/>
      <c r="S12" s="76"/>
      <c r="T12" s="76"/>
      <c r="U12" s="76"/>
      <c r="V12" s="76"/>
      <c r="W12" s="76"/>
      <c r="X12" s="102"/>
      <c r="Y12" s="76"/>
      <c r="Z12" s="76"/>
      <c r="AA12" s="76"/>
      <c r="AB12" s="76"/>
      <c r="AC12" s="76"/>
      <c r="AD12" s="76"/>
      <c r="AE12" s="76"/>
      <c r="AF12" s="76"/>
      <c r="AG12" s="102"/>
      <c r="AH12" s="76"/>
      <c r="AI12" s="76"/>
      <c r="AJ12" s="76"/>
      <c r="AK12" s="76"/>
      <c r="AL12" s="76"/>
    </row>
    <row r="13" spans="1:38" outlineLevel="1">
      <c r="A13" s="76" t="str">
        <f>Dataset[[#Headers],[Column2]]</f>
        <v>Column2</v>
      </c>
      <c r="B13" s="76" t="s">
        <v>201</v>
      </c>
      <c r="C13" s="76"/>
      <c r="D13" s="76"/>
      <c r="E13" s="76"/>
      <c r="F13" s="76"/>
      <c r="G13" s="76"/>
      <c r="H13" s="76"/>
      <c r="I13" s="76"/>
      <c r="J13" s="102"/>
      <c r="K13" s="76"/>
      <c r="L13" s="76"/>
      <c r="M13" s="76"/>
      <c r="N13" s="76"/>
      <c r="O13" s="76"/>
      <c r="P13" s="76"/>
      <c r="Q13" s="76"/>
      <c r="R13" s="102"/>
      <c r="S13" s="76"/>
      <c r="T13" s="76"/>
      <c r="U13" s="76"/>
      <c r="V13" s="76"/>
      <c r="W13" s="76"/>
      <c r="X13" s="102"/>
      <c r="Y13" s="76"/>
      <c r="Z13" s="76"/>
      <c r="AA13" s="76"/>
      <c r="AB13" s="76"/>
      <c r="AC13" s="76"/>
      <c r="AD13" s="76"/>
      <c r="AE13" s="76"/>
      <c r="AF13" s="76"/>
      <c r="AG13" s="102"/>
      <c r="AH13" s="76"/>
      <c r="AI13" s="76"/>
      <c r="AJ13" s="76"/>
      <c r="AK13" s="76"/>
      <c r="AL13" s="76"/>
    </row>
    <row r="14" spans="1:38" outlineLevel="1">
      <c r="A14" s="76" t="str">
        <f>Dataset[[#Headers],[Column3]]</f>
        <v>Column3</v>
      </c>
      <c r="B14" s="76" t="s">
        <v>201</v>
      </c>
      <c r="C14" s="76"/>
      <c r="D14" s="76"/>
      <c r="E14" s="76"/>
      <c r="F14" s="76"/>
      <c r="G14" s="76"/>
      <c r="H14" s="76"/>
      <c r="I14" s="76"/>
      <c r="J14" s="102"/>
      <c r="K14" s="76"/>
      <c r="L14" s="76"/>
      <c r="M14" s="76"/>
      <c r="N14" s="76"/>
      <c r="O14" s="76"/>
      <c r="P14" s="76"/>
      <c r="Q14" s="76"/>
      <c r="R14" s="102"/>
      <c r="S14" s="76"/>
      <c r="T14" s="76"/>
      <c r="U14" s="76"/>
      <c r="V14" s="76"/>
      <c r="W14" s="76"/>
      <c r="X14" s="102"/>
      <c r="Y14" s="76"/>
      <c r="Z14" s="76"/>
      <c r="AA14" s="76"/>
      <c r="AB14" s="76"/>
      <c r="AC14" s="76"/>
      <c r="AD14" s="76"/>
      <c r="AE14" s="76"/>
      <c r="AF14" s="76"/>
      <c r="AG14" s="102"/>
      <c r="AH14" s="76"/>
      <c r="AI14" s="76"/>
      <c r="AJ14" s="76"/>
      <c r="AK14" s="76"/>
      <c r="AL14" s="76"/>
    </row>
    <row r="15" spans="1:38" outlineLevel="1">
      <c r="A15" s="76" t="str">
        <f>Dataset[[#Headers],[Column4]]</f>
        <v>Column4</v>
      </c>
      <c r="B15" s="76" t="s">
        <v>201</v>
      </c>
      <c r="C15" s="76"/>
      <c r="D15" s="76"/>
      <c r="E15" s="76"/>
      <c r="F15" s="76"/>
      <c r="G15" s="76"/>
      <c r="H15" s="76"/>
      <c r="I15" s="76"/>
      <c r="J15" s="102"/>
      <c r="K15" s="76"/>
      <c r="L15" s="76"/>
      <c r="M15" s="76"/>
      <c r="N15" s="76"/>
      <c r="O15" s="76"/>
      <c r="P15" s="76"/>
      <c r="Q15" s="76"/>
      <c r="R15" s="102"/>
      <c r="S15" s="76"/>
      <c r="T15" s="76"/>
      <c r="U15" s="76"/>
      <c r="V15" s="76"/>
      <c r="W15" s="76"/>
      <c r="X15" s="102"/>
      <c r="Y15" s="76"/>
      <c r="Z15" s="76"/>
      <c r="AA15" s="76"/>
      <c r="AB15" s="76"/>
      <c r="AC15" s="76"/>
      <c r="AD15" s="76"/>
      <c r="AE15" s="76"/>
      <c r="AF15" s="76"/>
      <c r="AG15" s="102"/>
      <c r="AH15" s="76"/>
      <c r="AI15" s="76"/>
      <c r="AJ15" s="76"/>
      <c r="AK15" s="76"/>
      <c r="AL15" s="76"/>
    </row>
    <row r="16" spans="1:38" outlineLevel="1">
      <c r="A16" s="76" t="str">
        <f>Dataset[[#Headers],[Column5]]</f>
        <v>Column5</v>
      </c>
      <c r="B16" s="76" t="s">
        <v>201</v>
      </c>
      <c r="C16" s="76"/>
      <c r="D16" s="76"/>
      <c r="E16" s="76"/>
      <c r="F16" s="76"/>
      <c r="G16" s="76"/>
      <c r="H16" s="76"/>
      <c r="I16" s="76"/>
      <c r="J16" s="102"/>
      <c r="K16" s="76"/>
      <c r="L16" s="76"/>
      <c r="M16" s="76"/>
      <c r="N16" s="76"/>
      <c r="O16" s="76"/>
      <c r="P16" s="76"/>
      <c r="Q16" s="76"/>
      <c r="R16" s="102"/>
      <c r="S16" s="76"/>
      <c r="T16" s="76"/>
      <c r="U16" s="76"/>
      <c r="V16" s="76"/>
      <c r="W16" s="76"/>
      <c r="X16" s="102"/>
      <c r="Y16" s="76"/>
      <c r="Z16" s="76"/>
      <c r="AA16" s="76"/>
      <c r="AB16" s="76"/>
      <c r="AC16" s="76"/>
      <c r="AD16" s="76"/>
      <c r="AE16" s="76"/>
      <c r="AF16" s="76"/>
      <c r="AG16" s="102"/>
      <c r="AH16" s="76"/>
      <c r="AI16" s="76"/>
      <c r="AJ16" s="76"/>
      <c r="AK16" s="76"/>
      <c r="AL16" s="76"/>
    </row>
    <row r="17" spans="1:38" outlineLevel="1">
      <c r="A17" s="76" t="str">
        <f>Dataset[[#Headers],[Column6]]</f>
        <v>Column6</v>
      </c>
      <c r="B17" s="76" t="s">
        <v>201</v>
      </c>
      <c r="C17" s="76"/>
      <c r="D17" s="76"/>
      <c r="E17" s="76"/>
      <c r="F17" s="76"/>
      <c r="G17" s="76"/>
      <c r="H17" s="76"/>
      <c r="I17" s="76"/>
      <c r="J17" s="102"/>
      <c r="K17" s="76"/>
      <c r="L17" s="76"/>
      <c r="M17" s="76"/>
      <c r="N17" s="76"/>
      <c r="O17" s="76"/>
      <c r="P17" s="76"/>
      <c r="Q17" s="76"/>
      <c r="R17" s="102"/>
      <c r="S17" s="76"/>
      <c r="T17" s="76"/>
      <c r="U17" s="76"/>
      <c r="V17" s="76"/>
      <c r="W17" s="76"/>
      <c r="X17" s="102"/>
      <c r="Y17" s="76"/>
      <c r="Z17" s="76"/>
      <c r="AA17" s="76"/>
      <c r="AB17" s="76"/>
      <c r="AC17" s="76"/>
      <c r="AD17" s="76"/>
      <c r="AE17" s="76"/>
      <c r="AF17" s="76"/>
      <c r="AG17" s="102"/>
      <c r="AH17" s="76"/>
      <c r="AI17" s="76"/>
      <c r="AJ17" s="76"/>
      <c r="AK17" s="76"/>
      <c r="AL17" s="76"/>
    </row>
    <row r="18" spans="1:38" outlineLevel="1">
      <c r="A18" s="76" t="str">
        <f>Dataset[[#Headers],[Column7]]</f>
        <v>Column7</v>
      </c>
      <c r="B18" s="76" t="s">
        <v>201</v>
      </c>
      <c r="C18" s="76"/>
      <c r="D18" s="76"/>
      <c r="E18" s="76"/>
      <c r="F18" s="76"/>
      <c r="G18" s="76"/>
      <c r="H18" s="76"/>
      <c r="I18" s="76"/>
      <c r="J18" s="102"/>
      <c r="K18" s="76"/>
      <c r="L18" s="76"/>
      <c r="M18" s="76"/>
      <c r="N18" s="76"/>
      <c r="O18" s="76"/>
      <c r="P18" s="76"/>
      <c r="Q18" s="76"/>
      <c r="R18" s="102"/>
      <c r="S18" s="76"/>
      <c r="T18" s="76"/>
      <c r="U18" s="76"/>
      <c r="V18" s="76"/>
      <c r="W18" s="76"/>
      <c r="X18" s="102"/>
      <c r="Y18" s="76"/>
      <c r="Z18" s="76"/>
      <c r="AA18" s="76"/>
      <c r="AB18" s="76"/>
      <c r="AC18" s="76"/>
      <c r="AD18" s="76"/>
      <c r="AE18" s="76"/>
      <c r="AF18" s="76"/>
      <c r="AG18" s="102"/>
      <c r="AH18" s="76"/>
      <c r="AI18" s="76"/>
      <c r="AJ18" s="76"/>
      <c r="AK18" s="76"/>
      <c r="AL18" s="76"/>
    </row>
    <row r="19" spans="1:38" outlineLevel="1">
      <c r="A19" s="76" t="str">
        <f>Dataset[[#Headers],[Column8]]</f>
        <v>Column8</v>
      </c>
      <c r="B19" s="76" t="s">
        <v>201</v>
      </c>
      <c r="C19" s="76"/>
      <c r="D19" s="76"/>
      <c r="E19" s="76"/>
      <c r="F19" s="76"/>
      <c r="G19" s="76"/>
      <c r="H19" s="76"/>
      <c r="I19" s="76"/>
      <c r="J19" s="102"/>
      <c r="K19" s="76"/>
      <c r="L19" s="76"/>
      <c r="M19" s="76"/>
      <c r="N19" s="76"/>
      <c r="O19" s="76"/>
      <c r="P19" s="76"/>
      <c r="Q19" s="76"/>
      <c r="R19" s="102"/>
      <c r="S19" s="76"/>
      <c r="T19" s="76"/>
      <c r="U19" s="76"/>
      <c r="V19" s="76"/>
      <c r="W19" s="76"/>
      <c r="X19" s="102"/>
      <c r="Y19" s="76"/>
      <c r="Z19" s="76"/>
      <c r="AA19" s="76"/>
      <c r="AB19" s="76"/>
      <c r="AC19" s="76"/>
      <c r="AD19" s="76"/>
      <c r="AE19" s="76"/>
      <c r="AF19" s="76"/>
      <c r="AG19" s="102"/>
      <c r="AH19" s="76"/>
      <c r="AI19" s="76"/>
      <c r="AJ19" s="76"/>
      <c r="AK19" s="76"/>
      <c r="AL19" s="76"/>
    </row>
    <row r="20" spans="1:38" outlineLevel="1">
      <c r="A20" s="76" t="str">
        <f>Dataset[[#Headers],[Column9]]</f>
        <v>Column9</v>
      </c>
      <c r="B20" s="76" t="s">
        <v>201</v>
      </c>
      <c r="C20" s="76"/>
      <c r="D20" s="76"/>
      <c r="E20" s="76"/>
      <c r="F20" s="76"/>
      <c r="G20" s="76"/>
      <c r="H20" s="76"/>
      <c r="I20" s="76"/>
      <c r="J20" s="102"/>
      <c r="K20" s="76"/>
      <c r="L20" s="76"/>
      <c r="M20" s="76"/>
      <c r="N20" s="76"/>
      <c r="O20" s="76"/>
      <c r="P20" s="76"/>
      <c r="Q20" s="76"/>
      <c r="R20" s="102"/>
      <c r="S20" s="76"/>
      <c r="T20" s="76"/>
      <c r="U20" s="76"/>
      <c r="V20" s="76"/>
      <c r="W20" s="76"/>
      <c r="X20" s="102"/>
      <c r="Y20" s="76"/>
      <c r="Z20" s="76"/>
      <c r="AA20" s="76"/>
      <c r="AB20" s="76"/>
      <c r="AC20" s="76"/>
      <c r="AD20" s="76"/>
      <c r="AE20" s="76"/>
      <c r="AF20" s="76"/>
      <c r="AG20" s="102"/>
      <c r="AH20" s="76"/>
      <c r="AI20" s="76"/>
      <c r="AJ20" s="76"/>
      <c r="AK20" s="76"/>
      <c r="AL20" s="76"/>
    </row>
    <row r="21" spans="1:38" outlineLevel="1">
      <c r="A21" s="76" t="str">
        <f>Dataset[[#Headers],[Column10]]</f>
        <v>Column10</v>
      </c>
      <c r="B21" s="76" t="s">
        <v>201</v>
      </c>
      <c r="C21" s="76"/>
      <c r="D21" s="76"/>
      <c r="E21" s="76"/>
      <c r="F21" s="76"/>
      <c r="G21" s="76"/>
      <c r="H21" s="76"/>
      <c r="I21" s="76"/>
      <c r="J21" s="102"/>
      <c r="K21" s="76"/>
      <c r="L21" s="76"/>
      <c r="M21" s="76"/>
      <c r="N21" s="76"/>
      <c r="O21" s="76"/>
      <c r="P21" s="76"/>
      <c r="Q21" s="76"/>
      <c r="R21" s="102"/>
      <c r="S21" s="76"/>
      <c r="T21" s="76"/>
      <c r="U21" s="76"/>
      <c r="V21" s="76"/>
      <c r="W21" s="76"/>
      <c r="X21" s="102"/>
      <c r="Y21" s="76"/>
      <c r="Z21" s="76"/>
      <c r="AA21" s="76"/>
      <c r="AB21" s="76"/>
      <c r="AC21" s="76"/>
      <c r="AD21" s="76"/>
      <c r="AE21" s="76"/>
      <c r="AF21" s="76"/>
      <c r="AG21" s="102"/>
      <c r="AH21" s="76"/>
      <c r="AI21" s="76"/>
      <c r="AJ21" s="76"/>
      <c r="AK21" s="76"/>
      <c r="AL21" s="76"/>
    </row>
  </sheetData>
  <dataValidations count="13">
    <dataValidation type="list" allowBlank="1" showInputMessage="1" showErrorMessage="1" sqref="AE12:AE21" xr:uid="{728DC1AA-7EC3-4427-937A-461DA085DD82}">
      <formula1>"Next allowed date, Keep allowed duration"</formula1>
    </dataValidation>
    <dataValidation type="list" allowBlank="1" showInputMessage="1" showErrorMessage="1" sqref="AL12:AL21" xr:uid="{497D2885-EADB-4CCE-AC27-FE27EF1874C9}">
      <formula1>"TRUE, FALSE"</formula1>
    </dataValidation>
    <dataValidation type="list" allowBlank="1" showInputMessage="1" sqref="X12:X21" xr:uid="{CA3234F3-AA2C-4474-B25E-050621108812}">
      <formula1>"MM-dd-yyyy, MM/dd/yyyy, MMM-dd-yyyy, dd-MM-yyyy, dd-MMM-yyyy, dd/MM/yyyy, yyyy-MM-dd, yyyy-MMM-dd, yyyy/MM/dd"</formula1>
    </dataValidation>
    <dataValidation type="list" allowBlank="1" showInputMessage="1" showErrorMessage="1" sqref="AF12:AF21" xr:uid="{9602395B-9FC1-46E8-A685-2424FB1E26BE}">
      <formula1>"String, Number"</formula1>
    </dataValidation>
    <dataValidation type="whole" allowBlank="1" showInputMessage="1" showErrorMessage="1" sqref="Q12:Q21" xr:uid="{0E0AB8C9-A891-4E1C-979C-99446DBB543C}">
      <formula1>-14</formula1>
      <formula2>14</formula2>
    </dataValidation>
    <dataValidation type="whole" operator="greaterThanOrEqual" allowBlank="1" showInputMessage="1" showErrorMessage="1" sqref="R12:S21" xr:uid="{AD3D6BA8-5663-4F95-AC0B-DDB4865F7E3E}">
      <formula1>0</formula1>
    </dataValidation>
    <dataValidation type="list" allowBlank="1" showInputMessage="1" showErrorMessage="1" sqref="B12:B21" xr:uid="{F46A9D90-8165-403E-8181-B42BB45D547C}">
      <formula1>"Big Number, Big String, Boolean, Date, Double, File, Integer, String"</formula1>
    </dataValidation>
    <dataValidation type="list" allowBlank="1" showInputMessage="1" showErrorMessage="1" sqref="D12:D21" xr:uid="{FFB2EE0A-9CDE-4212-8BFF-2AD6CE6B8F49}">
      <formula1>"Y,N"</formula1>
    </dataValidation>
    <dataValidation type="decimal" operator="greaterThan" allowBlank="1" showInputMessage="1" showErrorMessage="1" sqref="J12:J21" xr:uid="{B32FFC61-F28C-471B-A94B-641E85D5827C}">
      <formula1>0</formula1>
    </dataValidation>
    <dataValidation type="decimal" operator="greaterThan" allowBlank="1" showInputMessage="1" showErrorMessage="1" sqref="K12:N21" xr:uid="{D0D7B484-1618-471E-8AED-CDCF37659C02}">
      <formula1>-9.99999999999999E+36</formula1>
    </dataValidation>
    <dataValidation type="list" allowBlank="1" showInputMessage="1" showErrorMessage="1" sqref="P12:P21" xr:uid="{8BDAC958-0701-4CD3-B43D-85EE725FAD5E}">
      <formula1>"Round, Round Up, Round Down"</formula1>
    </dataValidation>
    <dataValidation type="list" allowBlank="1" showInputMessage="1" showErrorMessage="1" sqref="V12:V21" xr:uid="{E49978A1-80BD-4CB5-A67F-E681DA98029B}">
      <formula1>"Email Address, JSON, File Path, URL, Hong Kong ID, China ID, Singapore NRIC"</formula1>
    </dataValidation>
    <dataValidation type="list" allowBlank="1" showInputMessage="1" showErrorMessage="1" sqref="W12:W21" xr:uid="{AC33671C-3BFA-4304-9BB8-EE898FBACCEF}">
      <formula1>"Lower, Upper, Upper First Letter"</formula1>
    </dataValidation>
  </dataValidations>
  <pageMargins left="0.7" right="0.7" top="0.75" bottom="0.75" header="0.3" footer="0.3"/>
  <pageSetup paperSize="9" orientation="portrait" r:id="rId1"/>
  <ignoredErrors>
    <ignoredError sqref="A13:A21"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4"/>
  <sheetViews>
    <sheetView workbookViewId="0">
      <selection activeCell="C37" sqref="C37"/>
    </sheetView>
  </sheetViews>
  <sheetFormatPr defaultRowHeight="14.4"/>
  <cols>
    <col min="1" max="1" width="19" bestFit="1" customWidth="1"/>
    <col min="2" max="2" width="8.109375" bestFit="1" customWidth="1"/>
    <col min="3" max="3" width="15.88671875" bestFit="1" customWidth="1"/>
    <col min="4" max="4" width="14.44140625" bestFit="1" customWidth="1"/>
    <col min="5" max="5" width="6.5546875" bestFit="1" customWidth="1"/>
    <col min="6" max="6" width="15.44140625" bestFit="1" customWidth="1"/>
    <col min="7" max="7" width="18.44140625" bestFit="1" customWidth="1"/>
    <col min="8" max="8" width="24.6640625" bestFit="1" customWidth="1"/>
    <col min="9" max="9" width="17.5546875" bestFit="1" customWidth="1"/>
    <col min="10" max="10" width="11.44140625" bestFit="1" customWidth="1"/>
    <col min="11" max="11" width="13.44140625" bestFit="1" customWidth="1"/>
    <col min="12" max="12" width="18.44140625" bestFit="1" customWidth="1"/>
  </cols>
  <sheetData>
    <row r="1" spans="1:12" ht="18">
      <c r="A1" s="53" t="s">
        <v>165</v>
      </c>
      <c r="B1" s="54"/>
      <c r="C1" s="54"/>
      <c r="D1" s="54"/>
      <c r="E1" s="54"/>
      <c r="F1" s="54"/>
      <c r="G1" s="54"/>
      <c r="H1" s="54"/>
      <c r="I1" s="54"/>
      <c r="J1" s="54"/>
      <c r="K1" s="54"/>
      <c r="L1" s="55"/>
    </row>
    <row r="2" spans="1:12">
      <c r="A2" s="56" t="s">
        <v>154</v>
      </c>
      <c r="B2" s="56" t="s">
        <v>155</v>
      </c>
      <c r="C2" s="56" t="s">
        <v>156</v>
      </c>
      <c r="D2" s="56" t="s">
        <v>157</v>
      </c>
      <c r="E2" s="56" t="s">
        <v>158</v>
      </c>
      <c r="F2" s="56" t="s">
        <v>159</v>
      </c>
      <c r="G2" s="56" t="s">
        <v>182</v>
      </c>
      <c r="H2" s="56" t="s">
        <v>160</v>
      </c>
      <c r="I2" s="56" t="s">
        <v>161</v>
      </c>
      <c r="J2" s="56" t="s">
        <v>162</v>
      </c>
      <c r="K2" s="56" t="s">
        <v>163</v>
      </c>
      <c r="L2" s="56" t="s">
        <v>153</v>
      </c>
    </row>
    <row r="3" spans="1:12">
      <c r="A3" s="65"/>
      <c r="B3" s="65" t="s">
        <v>195</v>
      </c>
      <c r="C3" s="65"/>
      <c r="D3" s="65"/>
      <c r="E3" s="65"/>
      <c r="F3" s="65"/>
      <c r="G3" s="65"/>
      <c r="H3" s="65"/>
      <c r="I3" s="65"/>
      <c r="J3" s="65"/>
      <c r="K3" s="65"/>
      <c r="L3" s="65"/>
    </row>
    <row r="4" spans="1:12">
      <c r="A4" s="57"/>
      <c r="B4" s="57" t="s">
        <v>164</v>
      </c>
      <c r="C4" s="116" t="str" cm="1">
        <f t="array" ref="C4">ajAddress(Query!B7) &amp; ":" &amp; CHAR(COLUMN(Query!B7) + COLUMNS(Dataset[]) - 2 + 64) &amp; ROW(Query!B7) + ROWS(Dataset[])</f>
        <v>Query!B7:K1007</v>
      </c>
      <c r="D4" s="57" t="s">
        <v>195</v>
      </c>
      <c r="E4" s="57"/>
      <c r="F4" s="57" t="b">
        <v>1</v>
      </c>
      <c r="G4" s="57"/>
      <c r="H4" s="57"/>
      <c r="I4" s="57"/>
      <c r="J4" s="57"/>
      <c r="K4" s="57"/>
      <c r="L4" s="57"/>
    </row>
  </sheetData>
  <phoneticPr fontId="19" type="noConversion"/>
  <dataValidations disablePrompts="1" count="2">
    <dataValidation type="list" allowBlank="1" showInputMessage="1" showErrorMessage="1" sqref="I3:I4" xr:uid="{00000000-0002-0000-0100-000000000000}">
      <formula1>"top, left"</formula1>
    </dataValidation>
    <dataValidation type="list" allowBlank="1" showInputMessage="1" showErrorMessage="1" sqref="J3:J4 F3:F4" xr:uid="{00000000-0002-0000-0100-000001000000}">
      <formula1>"TRUE, FALSE"</formula1>
    </dataValidation>
  </dataValidations>
  <pageMargins left="0.7" right="0.7" top="0.75" bottom="0.75" header="0.3" footer="0.3"/>
  <pageSetup paperSize="9" orientation="portrait" r:id="rId1"/>
  <ignoredErrors>
    <ignoredError sqref="C4" calculatedColumn="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_C01_RA">
    <tabColor rgb="FFDEFEB4"/>
    <outlinePr summaryBelow="0"/>
  </sheetPr>
  <dimension ref="A1:D94"/>
  <sheetViews>
    <sheetView zoomScaleNormal="100" workbookViewId="0">
      <selection activeCell="B7" sqref="B7"/>
    </sheetView>
  </sheetViews>
  <sheetFormatPr defaultColWidth="10.44140625" defaultRowHeight="14.4" outlineLevelRow="1"/>
  <cols>
    <col min="1" max="1" width="49.109375" style="14" bestFit="1" customWidth="1"/>
    <col min="2" max="2" width="49" style="14" bestFit="1" customWidth="1"/>
    <col min="3" max="3" width="65.6640625" style="14" bestFit="1" customWidth="1"/>
    <col min="4" max="4" width="8.5546875" style="14" bestFit="1" customWidth="1"/>
    <col min="5" max="16384" width="10.44140625" style="9"/>
  </cols>
  <sheetData>
    <row r="1" spans="1:4" ht="21">
      <c r="A1" s="36" t="s">
        <v>28</v>
      </c>
      <c r="B1" s="8"/>
      <c r="C1" s="8"/>
      <c r="D1" s="8"/>
    </row>
    <row r="3" spans="1:4" ht="18">
      <c r="A3" s="20" t="s">
        <v>29</v>
      </c>
      <c r="B3" s="37"/>
      <c r="C3" s="37"/>
      <c r="D3" s="22"/>
    </row>
    <row r="4" spans="1:4" ht="15" outlineLevel="1" thickBot="1">
      <c r="A4" s="38" t="s">
        <v>30</v>
      </c>
      <c r="B4" s="38" t="s">
        <v>16</v>
      </c>
      <c r="C4" s="38" t="s">
        <v>31</v>
      </c>
    </row>
    <row r="5" spans="1:4" outlineLevel="1">
      <c r="A5" s="14" t="s">
        <v>32</v>
      </c>
      <c r="B5" s="14" t="s">
        <v>276</v>
      </c>
    </row>
    <row r="6" spans="1:4" outlineLevel="1">
      <c r="A6" s="14" t="s">
        <v>33</v>
      </c>
      <c r="B6" s="14" t="s">
        <v>288</v>
      </c>
    </row>
    <row r="7" spans="1:4" outlineLevel="1">
      <c r="A7" s="11" t="s">
        <v>34</v>
      </c>
      <c r="B7" s="44" t="s">
        <v>35</v>
      </c>
    </row>
    <row r="8" spans="1:4">
      <c r="A8" s="11"/>
      <c r="B8" s="11"/>
      <c r="C8" s="40"/>
    </row>
    <row r="10" spans="1:4" ht="18">
      <c r="A10" s="20" t="s">
        <v>166</v>
      </c>
      <c r="B10" s="37"/>
      <c r="C10" s="37"/>
      <c r="D10" s="22"/>
    </row>
    <row r="11" spans="1:4" ht="15" outlineLevel="1" thickBot="1">
      <c r="A11" s="38" t="s">
        <v>167</v>
      </c>
    </row>
    <row r="12" spans="1:4" outlineLevel="1">
      <c r="A12" s="14" t="str">
        <f>ajAddress('##RestEndpointGroup'!AlchemyJ_Name_ConfType,,2)</f>
        <v>##RestEndpointGroup</v>
      </c>
    </row>
    <row r="13" spans="1:4" outlineLevel="1"/>
    <row r="14" spans="1:4" outlineLevel="1"/>
    <row r="15" spans="1:4" outlineLevel="1"/>
    <row r="16" spans="1:4" outlineLevel="1"/>
    <row r="19" spans="1:4" ht="18" collapsed="1">
      <c r="A19" s="20" t="s">
        <v>36</v>
      </c>
      <c r="B19" s="37"/>
      <c r="C19" s="37"/>
      <c r="D19" s="22"/>
    </row>
    <row r="20" spans="1:4" ht="15" hidden="1" outlineLevel="1" thickBot="1">
      <c r="A20" s="38" t="s">
        <v>30</v>
      </c>
      <c r="B20" s="38" t="s">
        <v>16</v>
      </c>
      <c r="C20" s="38" t="s">
        <v>37</v>
      </c>
    </row>
    <row r="21" spans="1:4" hidden="1" outlineLevel="1">
      <c r="A21" s="14" t="s">
        <v>38</v>
      </c>
      <c r="B21" s="14" t="s">
        <v>99</v>
      </c>
    </row>
    <row r="22" spans="1:4" hidden="1" outlineLevel="1">
      <c r="A22" s="14" t="s">
        <v>39</v>
      </c>
      <c r="B22" s="14" t="s">
        <v>40</v>
      </c>
    </row>
    <row r="23" spans="1:4" hidden="1" outlineLevel="1">
      <c r="A23" s="14" t="s">
        <v>41</v>
      </c>
      <c r="B23" s="14" t="s">
        <v>95</v>
      </c>
    </row>
    <row r="24" spans="1:4" collapsed="1"/>
    <row r="26" spans="1:4" ht="18" collapsed="1">
      <c r="A26" s="20" t="s">
        <v>42</v>
      </c>
      <c r="B26" s="37"/>
      <c r="C26" s="37"/>
      <c r="D26" s="22"/>
    </row>
    <row r="27" spans="1:4" ht="15" hidden="1" outlineLevel="1" thickBot="1">
      <c r="A27" s="38" t="s">
        <v>43</v>
      </c>
      <c r="B27" s="38" t="s">
        <v>44</v>
      </c>
      <c r="C27" s="38" t="s">
        <v>37</v>
      </c>
    </row>
    <row r="28" spans="1:4" hidden="1" outlineLevel="1">
      <c r="A28" s="14" t="s">
        <v>45</v>
      </c>
      <c r="B28" s="14" t="s">
        <v>46</v>
      </c>
    </row>
    <row r="29" spans="1:4" hidden="1" outlineLevel="1">
      <c r="A29" s="14" t="s">
        <v>47</v>
      </c>
      <c r="B29" s="14" t="s">
        <v>48</v>
      </c>
    </row>
    <row r="30" spans="1:4" hidden="1" outlineLevel="1">
      <c r="A30" s="14" t="s">
        <v>49</v>
      </c>
      <c r="B30" s="14" t="s">
        <v>50</v>
      </c>
    </row>
    <row r="31" spans="1:4" collapsed="1"/>
    <row r="33" spans="1:4" ht="18" collapsed="1">
      <c r="A33" s="20" t="s">
        <v>51</v>
      </c>
      <c r="B33" s="37"/>
      <c r="C33" s="37"/>
      <c r="D33" s="22"/>
    </row>
    <row r="34" spans="1:4" ht="15" hidden="1" outlineLevel="1" thickBot="1">
      <c r="A34" s="38" t="s">
        <v>43</v>
      </c>
      <c r="B34" s="38" t="s">
        <v>44</v>
      </c>
      <c r="C34" s="38" t="s">
        <v>37</v>
      </c>
    </row>
    <row r="35" spans="1:4" hidden="1" outlineLevel="1">
      <c r="A35" s="14" t="s">
        <v>52</v>
      </c>
      <c r="B35" s="14" t="s">
        <v>53</v>
      </c>
      <c r="C35" s="45"/>
    </row>
    <row r="36" spans="1:4" hidden="1" outlineLevel="1">
      <c r="A36" s="14" t="s">
        <v>54</v>
      </c>
      <c r="C36" s="45"/>
    </row>
    <row r="37" spans="1:4" hidden="1" outlineLevel="1">
      <c r="A37" s="14" t="s">
        <v>55</v>
      </c>
      <c r="C37" s="45"/>
    </row>
    <row r="38" spans="1:4" hidden="1" outlineLevel="1">
      <c r="A38" s="14" t="s">
        <v>56</v>
      </c>
      <c r="C38" s="45"/>
    </row>
    <row r="39" spans="1:4" collapsed="1"/>
    <row r="41" spans="1:4" s="10" customFormat="1" ht="18" collapsed="1">
      <c r="A41" s="20" t="s">
        <v>57</v>
      </c>
      <c r="B41" s="37"/>
      <c r="C41" s="37"/>
      <c r="D41" s="22"/>
    </row>
    <row r="42" spans="1:4" ht="15" hidden="1" outlineLevel="1" thickBot="1">
      <c r="A42" s="38" t="s">
        <v>43</v>
      </c>
      <c r="B42" s="38" t="s">
        <v>44</v>
      </c>
      <c r="C42" s="38" t="s">
        <v>37</v>
      </c>
    </row>
    <row r="43" spans="1:4" hidden="1" outlineLevel="1">
      <c r="A43" s="47" t="s">
        <v>58</v>
      </c>
    </row>
    <row r="44" spans="1:4" hidden="1" outlineLevel="1">
      <c r="A44" s="48" t="s">
        <v>59</v>
      </c>
      <c r="B44" s="48"/>
      <c r="C44" s="45"/>
    </row>
    <row r="45" spans="1:4" hidden="1" outlineLevel="1">
      <c r="A45" s="11" t="s">
        <v>60</v>
      </c>
      <c r="B45" s="13"/>
    </row>
    <row r="46" spans="1:4" hidden="1" outlineLevel="1">
      <c r="A46" s="11" t="s">
        <v>61</v>
      </c>
      <c r="B46" s="13"/>
    </row>
    <row r="47" spans="1:4" hidden="1" outlineLevel="1">
      <c r="A47" s="11" t="s">
        <v>62</v>
      </c>
      <c r="B47" s="11"/>
    </row>
    <row r="48" spans="1:4" hidden="1" outlineLevel="1">
      <c r="A48" s="11" t="s">
        <v>63</v>
      </c>
      <c r="B48" s="11"/>
    </row>
    <row r="49" spans="1:4" hidden="1" outlineLevel="1">
      <c r="A49" s="11" t="s">
        <v>64</v>
      </c>
      <c r="B49" s="11"/>
    </row>
    <row r="50" spans="1:4" hidden="1" outlineLevel="1">
      <c r="A50" s="11" t="s">
        <v>65</v>
      </c>
      <c r="B50" s="11"/>
    </row>
    <row r="51" spans="1:4" hidden="1" outlineLevel="1">
      <c r="A51" s="48" t="s">
        <v>66</v>
      </c>
      <c r="B51" s="48"/>
      <c r="C51" s="45"/>
    </row>
    <row r="52" spans="1:4" hidden="1" outlineLevel="1">
      <c r="A52" s="48" t="s">
        <v>67</v>
      </c>
      <c r="B52" s="48"/>
      <c r="C52" s="45"/>
    </row>
    <row r="53" spans="1:4" hidden="1" outlineLevel="1">
      <c r="A53" s="48" t="s">
        <v>68</v>
      </c>
      <c r="B53" s="48"/>
      <c r="C53" s="45"/>
    </row>
    <row r="54" spans="1:4" hidden="1" outlineLevel="1">
      <c r="A54" s="48" t="s">
        <v>69</v>
      </c>
      <c r="B54" s="48"/>
      <c r="C54" s="45"/>
    </row>
    <row r="55" spans="1:4" hidden="1" outlineLevel="1">
      <c r="A55" s="48" t="s">
        <v>181</v>
      </c>
      <c r="B55" s="48"/>
      <c r="C55" s="45"/>
    </row>
    <row r="56" spans="1:4" hidden="1" outlineLevel="1">
      <c r="A56" s="48" t="s">
        <v>70</v>
      </c>
      <c r="B56" s="48" t="s">
        <v>149</v>
      </c>
      <c r="C56" s="45"/>
    </row>
    <row r="57" spans="1:4" hidden="1" outlineLevel="1">
      <c r="A57" s="48" t="s">
        <v>71</v>
      </c>
      <c r="B57" s="48"/>
      <c r="C57" s="45"/>
    </row>
    <row r="58" spans="1:4" hidden="1" outlineLevel="1">
      <c r="A58" s="48" t="s">
        <v>72</v>
      </c>
      <c r="B58" s="48"/>
      <c r="C58" s="45"/>
    </row>
    <row r="59" spans="1:4" collapsed="1"/>
    <row r="61" spans="1:4" s="10" customFormat="1" ht="18" collapsed="1">
      <c r="A61" s="20" t="s">
        <v>73</v>
      </c>
      <c r="B61" s="37"/>
      <c r="C61" s="37"/>
      <c r="D61" s="22"/>
    </row>
    <row r="62" spans="1:4" s="10" customFormat="1" ht="15" hidden="1" outlineLevel="1" thickBot="1">
      <c r="A62" s="38" t="s">
        <v>60</v>
      </c>
      <c r="B62" s="38" t="s">
        <v>74</v>
      </c>
      <c r="C62" s="38" t="s">
        <v>75</v>
      </c>
      <c r="D62" s="38" t="s">
        <v>76</v>
      </c>
    </row>
    <row r="63" spans="1:4" s="10" customFormat="1" hidden="1" outlineLevel="1">
      <c r="A63" s="46"/>
      <c r="B63" s="46"/>
      <c r="C63" s="46"/>
      <c r="D63" s="46"/>
    </row>
    <row r="64" spans="1:4" s="10" customFormat="1" hidden="1" outlineLevel="1">
      <c r="A64" s="49"/>
      <c r="B64" s="49"/>
      <c r="C64" s="49"/>
      <c r="D64" s="49"/>
    </row>
    <row r="65" spans="1:4" s="10" customFormat="1" collapsed="1">
      <c r="A65" s="49"/>
      <c r="B65" s="49"/>
      <c r="C65" s="49"/>
      <c r="D65" s="46"/>
    </row>
    <row r="67" spans="1:4" s="10" customFormat="1" ht="18" collapsed="1">
      <c r="A67" s="20" t="s">
        <v>77</v>
      </c>
      <c r="B67" s="37"/>
      <c r="C67" s="37"/>
      <c r="D67" s="22"/>
    </row>
    <row r="68" spans="1:4" ht="15" hidden="1" outlineLevel="1" thickBot="1">
      <c r="A68" s="38" t="s">
        <v>43</v>
      </c>
      <c r="B68" s="38" t="s">
        <v>44</v>
      </c>
      <c r="C68" s="38" t="s">
        <v>37</v>
      </c>
    </row>
    <row r="69" spans="1:4" hidden="1" outlineLevel="1">
      <c r="C69" s="45"/>
    </row>
    <row r="70" spans="1:4" hidden="1" outlineLevel="1">
      <c r="C70" s="45"/>
    </row>
    <row r="71" spans="1:4" collapsed="1"/>
    <row r="73" spans="1:4" s="10" customFormat="1" ht="18" collapsed="1">
      <c r="A73" s="20" t="s">
        <v>139</v>
      </c>
      <c r="B73" s="37"/>
      <c r="C73" s="37"/>
      <c r="D73" s="22"/>
    </row>
    <row r="74" spans="1:4" ht="15" hidden="1" outlineLevel="1" thickBot="1">
      <c r="A74" s="38" t="s">
        <v>103</v>
      </c>
      <c r="B74" s="38" t="s">
        <v>104</v>
      </c>
      <c r="C74" s="50" t="s">
        <v>31</v>
      </c>
    </row>
    <row r="75" spans="1:4" ht="28.8" hidden="1" outlineLevel="1">
      <c r="A75" s="14" t="s">
        <v>141</v>
      </c>
      <c r="B75" s="14" t="s">
        <v>149</v>
      </c>
      <c r="C75" s="51" t="s">
        <v>142</v>
      </c>
    </row>
    <row r="76" spans="1:4" hidden="1" outlineLevel="1">
      <c r="A76" s="48" t="s">
        <v>105</v>
      </c>
      <c r="B76" s="48">
        <f>Data!C1</f>
        <v>0</v>
      </c>
      <c r="C76" s="45"/>
    </row>
    <row r="77" spans="1:4" hidden="1" outlineLevel="1">
      <c r="A77" s="48" t="s">
        <v>106</v>
      </c>
      <c r="B77" s="48" t="str">
        <f>"A auto-generated data look up API for " &amp; $B$76</f>
        <v>A auto-generated data look up API for 0</v>
      </c>
      <c r="C77" s="45"/>
    </row>
    <row r="78" spans="1:4" hidden="1" outlineLevel="1">
      <c r="A78" s="48" t="s">
        <v>107</v>
      </c>
      <c r="B78" s="48"/>
      <c r="C78" s="45"/>
    </row>
    <row r="79" spans="1:4" hidden="1" outlineLevel="1">
      <c r="A79" s="48" t="s">
        <v>108</v>
      </c>
      <c r="B79" s="48"/>
      <c r="C79" s="45"/>
    </row>
    <row r="80" spans="1:4" hidden="1" outlineLevel="1">
      <c r="A80" s="48" t="s">
        <v>109</v>
      </c>
      <c r="B80" s="48"/>
      <c r="C80" s="45"/>
    </row>
    <row r="81" spans="1:4" hidden="1" outlineLevel="1">
      <c r="A81" s="48" t="s">
        <v>143</v>
      </c>
      <c r="B81" s="48"/>
      <c r="C81" s="45"/>
    </row>
    <row r="82" spans="1:4" hidden="1" outlineLevel="1">
      <c r="A82" s="14" t="s">
        <v>144</v>
      </c>
      <c r="C82" s="45"/>
    </row>
    <row r="83" spans="1:4" hidden="1" outlineLevel="1">
      <c r="A83" s="48" t="s">
        <v>124</v>
      </c>
      <c r="B83" s="48" t="s">
        <v>125</v>
      </c>
      <c r="C83" s="45"/>
    </row>
    <row r="84" spans="1:4" collapsed="1"/>
    <row r="86" spans="1:4" s="10" customFormat="1" ht="18" collapsed="1">
      <c r="A86" s="20" t="s">
        <v>140</v>
      </c>
      <c r="B86" s="37"/>
      <c r="C86" s="37"/>
      <c r="D86" s="22"/>
    </row>
    <row r="87" spans="1:4" ht="15" hidden="1" outlineLevel="1" thickBot="1">
      <c r="A87" s="38" t="s">
        <v>110</v>
      </c>
      <c r="B87" s="38" t="s">
        <v>111</v>
      </c>
      <c r="C87" s="38" t="s">
        <v>112</v>
      </c>
    </row>
    <row r="88" spans="1:4" hidden="1" outlineLevel="1">
      <c r="A88" s="14" t="s">
        <v>113</v>
      </c>
      <c r="B88" s="14" t="s">
        <v>114</v>
      </c>
      <c r="C88" s="45"/>
    </row>
    <row r="89" spans="1:4" hidden="1" outlineLevel="1">
      <c r="A89" s="48" t="s">
        <v>126</v>
      </c>
      <c r="B89" s="48" t="s">
        <v>145</v>
      </c>
      <c r="C89" s="45" t="s">
        <v>146</v>
      </c>
    </row>
    <row r="90" spans="1:4" hidden="1" outlineLevel="1">
      <c r="A90" s="48" t="s">
        <v>115</v>
      </c>
      <c r="B90" s="48" t="s">
        <v>116</v>
      </c>
      <c r="C90" s="45"/>
    </row>
    <row r="91" spans="1:4" hidden="1" outlineLevel="1">
      <c r="A91" s="48" t="s">
        <v>117</v>
      </c>
      <c r="B91" s="48" t="s">
        <v>147</v>
      </c>
      <c r="C91" s="45"/>
    </row>
    <row r="92" spans="1:4" hidden="1" outlineLevel="1">
      <c r="A92" s="48" t="s">
        <v>118</v>
      </c>
      <c r="B92" s="48" t="s">
        <v>148</v>
      </c>
      <c r="C92" s="52" t="s">
        <v>151</v>
      </c>
    </row>
    <row r="93" spans="1:4" hidden="1" outlineLevel="1">
      <c r="A93" s="48" t="s">
        <v>119</v>
      </c>
      <c r="B93" s="48" t="s">
        <v>120</v>
      </c>
      <c r="C93" s="52" t="s">
        <v>150</v>
      </c>
    </row>
    <row r="94" spans="1:4" collapsed="1"/>
  </sheetData>
  <phoneticPr fontId="19" type="noConversion"/>
  <dataValidations disablePrompts="1" count="8">
    <dataValidation type="list" allowBlank="1" showInputMessage="1" showErrorMessage="1" sqref="B22" xr:uid="{00000000-0002-0000-0300-000000000000}">
      <formula1>"Error, Warn, Info, Debug, Trace"</formula1>
    </dataValidation>
    <dataValidation type="list" allowBlank="1" showInputMessage="1" showErrorMessage="1" sqref="B35" xr:uid="{00000000-0002-0000-0300-000001000000}">
      <formula1>"Application Server, Database"</formula1>
    </dataValidation>
    <dataValidation type="list" allowBlank="1" showInputMessage="1" showErrorMessage="1" sqref="B51:B56" xr:uid="{00000000-0002-0000-0300-000002000000}">
      <formula1>"Yes,No"</formula1>
    </dataValidation>
    <dataValidation operator="greaterThanOrEqual" allowBlank="1" showInputMessage="1" showErrorMessage="1" sqref="B36" xr:uid="{00000000-0002-0000-0300-000003000000}"/>
    <dataValidation operator="greaterThanOrEqual" allowBlank="1" showInputMessage="1" showErrorMessage="1" error="Integer, Min: -1" sqref="B30:C30" xr:uid="{00000000-0002-0000-0300-000004000000}"/>
    <dataValidation type="list" allowBlank="1" showInputMessage="1" showErrorMessage="1" sqref="D63:D64" xr:uid="{00000000-0002-0000-0300-000005000000}">
      <formula1>"compile, runtime, provided"</formula1>
    </dataValidation>
    <dataValidation type="list" allowBlank="1" showInputMessage="1" showErrorMessage="1" sqref="B75" xr:uid="{00000000-0002-0000-0300-000006000000}">
      <formula1>"Yes, No"</formula1>
    </dataValidation>
    <dataValidation type="list" allowBlank="1" showInputMessage="1" showErrorMessage="1" sqref="B83" xr:uid="{00000000-0002-0000-0300-000007000000}">
      <formula1>"HTTP, HTTPS, HTTP and HTTPS"</formula1>
    </dataValidation>
  </dataValidations>
  <pageMargins left="0.7" right="0.7" top="0.75" bottom="0.75" header="0.3" footer="0.3"/>
  <pageSetup paperSize="9" orientation="portrait" r:id="rId1"/>
  <ignoredErrors>
    <ignoredError sqref="A88:A93 B28 B30" numberStoredAsText="1"/>
    <ignoredError sqref="A12" calculatedColumn="1"/>
  </ignoredErrors>
  <tableParts count="10">
    <tablePart r:id="rId2"/>
    <tablePart r:id="rId3"/>
    <tablePart r:id="rId4"/>
    <tablePart r:id="rId5"/>
    <tablePart r:id="rId6"/>
    <tablePart r:id="rId7"/>
    <tablePart r:id="rId8"/>
    <tablePart r:id="rId9"/>
    <tablePart r:id="rId10"/>
    <tablePart r:id="rId1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_C02_RE">
    <tabColor rgb="FFDEFEB4"/>
    <outlinePr summaryBelow="0"/>
  </sheetPr>
  <dimension ref="A1:I68"/>
  <sheetViews>
    <sheetView zoomScaleNormal="100" workbookViewId="0">
      <selection activeCell="B6" sqref="B6"/>
    </sheetView>
  </sheetViews>
  <sheetFormatPr defaultColWidth="10.44140625" defaultRowHeight="14.4" outlineLevelRow="1"/>
  <cols>
    <col min="1" max="1" width="42.109375" style="12" bestFit="1" customWidth="1"/>
    <col min="2" max="2" width="19" style="12" bestFit="1" customWidth="1"/>
    <col min="3" max="3" width="18.109375" style="12" bestFit="1" customWidth="1"/>
    <col min="4" max="4" width="21.33203125" style="12" bestFit="1" customWidth="1"/>
    <col min="5" max="5" width="24.33203125" style="12" bestFit="1" customWidth="1"/>
    <col min="6" max="6" width="16.109375" style="12" bestFit="1" customWidth="1"/>
    <col min="7" max="7" width="18.6640625" style="12" bestFit="1" customWidth="1"/>
    <col min="8" max="8" width="16.5546875" style="12" bestFit="1" customWidth="1"/>
    <col min="9" max="9" width="13.44140625" style="12" bestFit="1" customWidth="1"/>
    <col min="10" max="16384" width="10.44140625" style="12"/>
  </cols>
  <sheetData>
    <row r="1" spans="1:9" ht="21">
      <c r="A1" s="36" t="s">
        <v>78</v>
      </c>
      <c r="B1" s="8"/>
      <c r="C1" s="8"/>
      <c r="D1" s="8"/>
      <c r="E1" s="8"/>
      <c r="F1" s="8"/>
      <c r="G1" s="8"/>
      <c r="H1" s="8"/>
      <c r="I1" s="8"/>
    </row>
    <row r="3" spans="1:9" s="13" customFormat="1" ht="18">
      <c r="A3" s="20" t="s">
        <v>29</v>
      </c>
      <c r="B3" s="37"/>
      <c r="C3" s="37"/>
      <c r="D3" s="37"/>
      <c r="E3" s="37"/>
      <c r="F3" s="37"/>
      <c r="G3" s="37"/>
      <c r="H3" s="37"/>
      <c r="I3" s="22"/>
    </row>
    <row r="4" spans="1:9" s="13" customFormat="1" ht="15" outlineLevel="1" thickBot="1">
      <c r="A4" s="38" t="s">
        <v>30</v>
      </c>
      <c r="B4" s="38" t="s">
        <v>16</v>
      </c>
      <c r="C4" s="38" t="s">
        <v>31</v>
      </c>
    </row>
    <row r="5" spans="1:9" s="13" customFormat="1" outlineLevel="1">
      <c r="A5" s="13" t="s">
        <v>79</v>
      </c>
      <c r="B5" s="13" t="s">
        <v>276</v>
      </c>
      <c r="C5" s="39"/>
    </row>
    <row r="6" spans="1:9" s="13" customFormat="1" outlineLevel="1">
      <c r="A6" s="13" t="s">
        <v>80</v>
      </c>
      <c r="B6" s="13" t="s">
        <v>276</v>
      </c>
      <c r="C6" s="39"/>
    </row>
    <row r="7" spans="1:9" s="13" customFormat="1" outlineLevel="1">
      <c r="A7" s="13" t="s">
        <v>122</v>
      </c>
      <c r="C7" s="39"/>
    </row>
    <row r="8" spans="1:9" s="13" customFormat="1" outlineLevel="1">
      <c r="A8" s="13" t="s">
        <v>102</v>
      </c>
      <c r="C8" s="39"/>
    </row>
    <row r="9" spans="1:9" s="13" customFormat="1">
      <c r="A9" s="11"/>
      <c r="B9" s="11"/>
      <c r="C9" s="40"/>
    </row>
    <row r="11" spans="1:9" s="13" customFormat="1" ht="18">
      <c r="A11" s="20" t="s">
        <v>81</v>
      </c>
      <c r="B11" s="37"/>
      <c r="C11" s="37"/>
      <c r="D11" s="37"/>
      <c r="E11" s="37"/>
      <c r="F11" s="37"/>
      <c r="G11" s="37"/>
      <c r="H11" s="37"/>
      <c r="I11" s="22"/>
    </row>
    <row r="12" spans="1:9" s="13" customFormat="1" ht="15" outlineLevel="1" thickBot="1">
      <c r="A12" s="38" t="s">
        <v>24</v>
      </c>
      <c r="B12" s="38" t="s">
        <v>82</v>
      </c>
      <c r="C12" s="38" t="s">
        <v>83</v>
      </c>
      <c r="D12" s="38" t="s">
        <v>168</v>
      </c>
      <c r="E12" s="38" t="s">
        <v>121</v>
      </c>
      <c r="F12" s="38" t="s">
        <v>169</v>
      </c>
      <c r="G12" s="38" t="s">
        <v>123</v>
      </c>
      <c r="H12" s="38" t="s">
        <v>84</v>
      </c>
      <c r="I12" s="38" t="s">
        <v>127</v>
      </c>
    </row>
    <row r="13" spans="1:9" s="13" customFormat="1" outlineLevel="1">
      <c r="A13" s="11" t="s">
        <v>277</v>
      </c>
      <c r="B13" s="11" t="str">
        <f>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SUBSTITUTE(SUBSTITUTE(SUBSTITUTE(Data!C1, " ", ""), """", ""), "~", ""),
"!", ""), "@", ""), "#", ""), "$", ""), "%", ""), "^", ""), "&amp;", ""), "*", ""), "(", ""), ")", ""),
"_", ""), "+", ""), "`", ""), "-", ""), "=", ""), "{", ""), "}", ""), "|", ""), "[", ""), "]", ""),
"\", ""), ":", ""), ";", ""), "'", ""), "&lt;", ""), "&gt;", ""), "?", ""), ",", ""), ".", ""), "/", "")</f>
        <v/>
      </c>
      <c r="C13" s="11" t="s">
        <v>94</v>
      </c>
      <c r="D13" s="11" t="s">
        <v>170</v>
      </c>
      <c r="E13" s="11" t="str">
        <f>ajAddress(AlchemyJ_Snippet_Data_Relationship_Schema_tbl[#All])</f>
        <v>DRS!A2:L4</v>
      </c>
      <c r="F13" s="11"/>
      <c r="G13" s="11"/>
      <c r="H13" s="41"/>
      <c r="I13" s="41"/>
    </row>
    <row r="14" spans="1:9" s="13" customFormat="1" outlineLevel="1">
      <c r="A14" s="11"/>
      <c r="B14" s="11"/>
      <c r="C14" s="11"/>
      <c r="D14" s="11"/>
      <c r="E14" s="11"/>
      <c r="F14" s="11"/>
      <c r="G14" s="11"/>
      <c r="H14" s="41"/>
      <c r="I14" s="41"/>
    </row>
    <row r="15" spans="1:9" s="13" customFormat="1" outlineLevel="1">
      <c r="A15" s="11"/>
      <c r="B15" s="11"/>
      <c r="C15" s="11"/>
      <c r="D15" s="11"/>
      <c r="E15" s="11"/>
      <c r="F15" s="11"/>
      <c r="G15" s="11"/>
      <c r="H15" s="41"/>
      <c r="I15" s="41"/>
    </row>
    <row r="16" spans="1:9" s="13" customFormat="1" outlineLevel="1">
      <c r="A16" s="11"/>
      <c r="B16" s="11"/>
      <c r="C16" s="11"/>
      <c r="D16" s="11"/>
      <c r="E16" s="11"/>
      <c r="F16" s="11"/>
      <c r="G16" s="11"/>
      <c r="H16" s="41"/>
      <c r="I16" s="41"/>
    </row>
    <row r="17" spans="1:9" s="13" customFormat="1" outlineLevel="1">
      <c r="A17" s="11"/>
      <c r="B17" s="11"/>
      <c r="C17" s="11"/>
      <c r="D17" s="11"/>
      <c r="E17" s="11"/>
      <c r="F17" s="11"/>
      <c r="G17" s="11"/>
      <c r="H17" s="41"/>
      <c r="I17" s="41"/>
    </row>
    <row r="18" spans="1:9" s="13" customFormat="1" outlineLevel="1">
      <c r="A18" s="11"/>
      <c r="B18" s="11"/>
      <c r="C18" s="11"/>
      <c r="D18" s="11"/>
      <c r="E18" s="11"/>
      <c r="F18" s="11"/>
      <c r="G18" s="11"/>
      <c r="H18" s="41"/>
      <c r="I18" s="41"/>
    </row>
    <row r="19" spans="1:9" s="13" customFormat="1" outlineLevel="1">
      <c r="A19" s="11"/>
      <c r="E19" s="12"/>
      <c r="F19" s="12"/>
      <c r="G19" s="11"/>
      <c r="H19" s="41"/>
      <c r="I19" s="41"/>
    </row>
    <row r="20" spans="1:9" s="13" customFormat="1" outlineLevel="1">
      <c r="A20" s="11"/>
      <c r="E20" s="12"/>
      <c r="F20" s="12"/>
      <c r="G20" s="11"/>
      <c r="H20" s="41"/>
      <c r="I20" s="41"/>
    </row>
    <row r="21" spans="1:9" s="13" customFormat="1" outlineLevel="1">
      <c r="A21" s="11"/>
      <c r="B21" s="11"/>
      <c r="C21" s="11"/>
      <c r="D21" s="11"/>
      <c r="E21" s="11"/>
      <c r="F21" s="11"/>
      <c r="G21" s="11"/>
      <c r="H21" s="41"/>
      <c r="I21" s="41"/>
    </row>
    <row r="22" spans="1:9" s="13" customFormat="1" outlineLevel="1">
      <c r="A22" s="11"/>
      <c r="E22" s="12"/>
      <c r="F22" s="12"/>
      <c r="G22" s="11"/>
      <c r="H22" s="41"/>
      <c r="I22" s="41"/>
    </row>
    <row r="23" spans="1:9" s="13" customFormat="1">
      <c r="F23" s="12"/>
      <c r="G23" s="11"/>
    </row>
    <row r="24" spans="1:9" s="13" customFormat="1"/>
    <row r="25" spans="1:9" s="13" customFormat="1" ht="18">
      <c r="A25" s="20" t="s">
        <v>85</v>
      </c>
      <c r="B25" s="37"/>
      <c r="C25" s="37"/>
      <c r="D25" s="37"/>
      <c r="E25" s="37"/>
      <c r="F25" s="37"/>
      <c r="G25" s="37"/>
      <c r="H25" s="37"/>
      <c r="I25" s="22"/>
    </row>
    <row r="26" spans="1:9" s="13" customFormat="1" ht="15" outlineLevel="1" thickBot="1">
      <c r="A26" s="38" t="s">
        <v>86</v>
      </c>
      <c r="B26" s="38" t="s">
        <v>87</v>
      </c>
      <c r="C26" s="38" t="s">
        <v>88</v>
      </c>
      <c r="D26" s="38" t="s">
        <v>89</v>
      </c>
      <c r="E26" s="38" t="s">
        <v>90</v>
      </c>
      <c r="F26" s="38" t="s">
        <v>91</v>
      </c>
      <c r="G26" s="38" t="s">
        <v>27</v>
      </c>
      <c r="H26" s="38" t="s">
        <v>101</v>
      </c>
      <c r="I26" s="38" t="s">
        <v>84</v>
      </c>
    </row>
    <row r="27" spans="1:9" s="13" customFormat="1" outlineLevel="1">
      <c r="A27" s="11" t="str">
        <f>IF(AlchemyJ_RestCls_EndPointParamDef_tbl[[#This Row],[Name]]="", "", $A$13)</f>
        <v/>
      </c>
      <c r="B27" s="11" t="str">
        <f>IF(AlchemyJ_RestCls_EndPointParamDef_tbl[[#This Row],[Name]]="", "", "Request parameter")</f>
        <v/>
      </c>
      <c r="C27" s="11" t="str">
        <f>IF($C$28 = "", "", $C$28 &amp; "Operator")</f>
        <v/>
      </c>
      <c r="D27" s="11" t="str">
        <f>IF(AlchemyJ_RestCls_EndPointParamDef_tbl[[#This Row],[Name]]="", "", "String")</f>
        <v/>
      </c>
      <c r="E27" s="13" t="str" cm="1">
        <f t="array" ref="E27">IF(AlchemyJ_RestCls_EndPointParamDef_tbl[[#This Row],[Name]]="", "",  ajAddress(Query!$B$3))</f>
        <v/>
      </c>
      <c r="F27" s="11"/>
      <c r="G27" s="11"/>
      <c r="H27" s="11"/>
      <c r="I27" s="41"/>
    </row>
    <row r="28" spans="1:9" s="13" customFormat="1" outlineLevel="1">
      <c r="A28" s="11" t="str">
        <f>IF(AlchemyJ_RestCls_EndPointParamDef_tbl[[#This Row],[Name]]="", "", $A$13)</f>
        <v/>
      </c>
      <c r="B28" s="11" t="str">
        <f>IF(AlchemyJ_RestCls_EndPointParamDef_tbl[[#This Row],[Name]]="", "", "Request parameter")</f>
        <v/>
      </c>
      <c r="C28" s="11" t="str">
        <f>IF(Query!$B$2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SUBSTITUTE(SUBSTITUTE(SUBSTITUTE(Query!$B$2, " ", ""), """", ""), "~", ""),
"!", ""), "@", ""), "#", ""), "$", ""), "%", ""), "^", ""), "&amp;", ""), "*", ""), "(", ""), ")", ""),
"_", ""), "+", ""), "`", ""), "-", ""), "=", ""), "{", ""), "}", ""), "|", ""), "[", ""), "]", ""),
"\", ""), ":", ""), ";", ""), "'", ""), "&lt;", ""), "&gt;", ""), "?", ""), ",", ""), ".", ""), "/", ""))</f>
        <v/>
      </c>
      <c r="D28" s="13" t="str">
        <f>IF(AlchemyJ_RestCls_EndPointParamDef_tbl[[#This Row],[Name]]="", "", "String")</f>
        <v/>
      </c>
      <c r="E28" s="13" t="str" cm="1">
        <f t="array" ref="E28">IF(AlchemyJ_RestCls_EndPointParamDef_tbl[[#This Row],[Name]]="", "",  ajAddress(Query!$B$4))</f>
        <v/>
      </c>
      <c r="F28" s="11"/>
      <c r="G28" s="11"/>
      <c r="H28" s="11"/>
      <c r="I28" s="41"/>
    </row>
    <row r="29" spans="1:9" s="13" customFormat="1" outlineLevel="1">
      <c r="A29" s="11" t="str">
        <f>IF(AlchemyJ_RestCls_EndPointParamDef_tbl[[#This Row],[Name]]="", "", $A$13)</f>
        <v/>
      </c>
      <c r="B29" s="11" t="str">
        <f>IF(AlchemyJ_RestCls_EndPointParamDef_tbl[[#This Row],[Name]]="", "", "Request parameter")</f>
        <v/>
      </c>
      <c r="C29" s="11" t="str">
        <f>IF($C$30 = "", "", $C$30 &amp; "Operator")</f>
        <v/>
      </c>
      <c r="D29" s="11" t="str">
        <f>IF(AlchemyJ_RestCls_EndPointParamDef_tbl[[#This Row],[Name]]="", "", "String")</f>
        <v/>
      </c>
      <c r="E29" s="13" t="str" cm="1">
        <f t="array" ref="E29">IF(AlchemyJ_RestCls_EndPointParamDef_tbl[[#This Row],[Name]]="", "",  ajAddress(Query!$C$3))</f>
        <v/>
      </c>
      <c r="F29" s="11"/>
      <c r="G29" s="11"/>
      <c r="H29" s="11"/>
      <c r="I29" s="41"/>
    </row>
    <row r="30" spans="1:9" s="13" customFormat="1" outlineLevel="1">
      <c r="A30" s="11" t="str">
        <f>IF(AlchemyJ_RestCls_EndPointParamDef_tbl[[#This Row],[Name]]="", "", $A$13)</f>
        <v/>
      </c>
      <c r="B30" s="11" t="str">
        <f>IF(AlchemyJ_RestCls_EndPointParamDef_tbl[[#This Row],[Name]]="", "", "Request parameter")</f>
        <v/>
      </c>
      <c r="C30" s="11" t="str">
        <f>IF(Query!$C$2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SUBSTITUTE(SUBSTITUTE(SUBSTITUTE(Query!$C$2, " ", ""), """", ""), "~", ""),
"!", ""), "@", ""), "#", ""), "$", ""), "%", ""), "^", ""), "&amp;", ""), "*", ""), "(", ""), ")", ""),
"_", ""), "+", ""), "`", ""), "-", ""), "=", ""), "{", ""), "}", ""), "|", ""), "[", ""), "]", ""),
"\", ""), ":", ""), ";", ""), "'", ""), "&lt;", ""), "&gt;", ""), "?", ""), ",", ""), ".", ""), "/", ""))</f>
        <v/>
      </c>
      <c r="D30" s="13" t="str">
        <f>IF(AlchemyJ_RestCls_EndPointParamDef_tbl[[#This Row],[Name]]="", "", "String")</f>
        <v/>
      </c>
      <c r="E30" s="13" t="str" cm="1">
        <f t="array" ref="E30">IF(AlchemyJ_RestCls_EndPointParamDef_tbl[[#This Row],[Name]]="", "",  ajAddress(Query!$C$4))</f>
        <v/>
      </c>
      <c r="F30" s="11"/>
      <c r="G30" s="11"/>
      <c r="H30" s="11"/>
      <c r="I30" s="41"/>
    </row>
    <row r="31" spans="1:9" s="13" customFormat="1" outlineLevel="1">
      <c r="A31" s="11" t="str">
        <f>IF(AlchemyJ_RestCls_EndPointParamDef_tbl[[#This Row],[Name]]="", "", $A$13)</f>
        <v/>
      </c>
      <c r="B31" s="11" t="str">
        <f>IF(AlchemyJ_RestCls_EndPointParamDef_tbl[[#This Row],[Name]]="", "", "Request parameter")</f>
        <v/>
      </c>
      <c r="C31" s="11" t="str">
        <f>IF($C$32 = "", "", $C$32 &amp; "Operator")</f>
        <v/>
      </c>
      <c r="D31" s="11" t="str">
        <f>IF(AlchemyJ_RestCls_EndPointParamDef_tbl[[#This Row],[Name]]="", "", "String")</f>
        <v/>
      </c>
      <c r="E31" s="13" t="str" cm="1">
        <f t="array" ref="E31">IF(AlchemyJ_RestCls_EndPointParamDef_tbl[[#This Row],[Name]]="", "",  ajAddress(Query!$D$3))</f>
        <v/>
      </c>
      <c r="F31" s="11"/>
      <c r="G31" s="11"/>
      <c r="H31" s="11"/>
      <c r="I31" s="41"/>
    </row>
    <row r="32" spans="1:9" s="13" customFormat="1" outlineLevel="1">
      <c r="A32" s="11" t="str">
        <f>IF(AlchemyJ_RestCls_EndPointParamDef_tbl[[#This Row],[Name]]="", "", $A$13)</f>
        <v/>
      </c>
      <c r="B32" s="11" t="str">
        <f>IF(AlchemyJ_RestCls_EndPointParamDef_tbl[[#This Row],[Name]]="", "", "Request parameter")</f>
        <v/>
      </c>
      <c r="C32" s="11" t="str">
        <f>IF(Query!$D$2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SUBSTITUTE(SUBSTITUTE(SUBSTITUTE(Query!$D$2, " ", ""), """", ""), "~", ""),
"!", ""), "@", ""), "#", ""), "$", ""), "%", ""), "^", ""), "&amp;", ""), "*", ""), "(", ""), ")", ""),
"_", ""), "+", ""), "`", ""), "-", ""), "=", ""), "{", ""), "}", ""), "|", ""), "[", ""), "]", ""),
"\", ""), ":", ""), ";", ""), "'", ""), "&lt;", ""), "&gt;", ""), "?", ""), ",", ""), ".", ""), "/", ""))</f>
        <v/>
      </c>
      <c r="D32" s="13" t="str">
        <f>IF(AlchemyJ_RestCls_EndPointParamDef_tbl[[#This Row],[Name]]="", "", "String")</f>
        <v/>
      </c>
      <c r="E32" s="13" t="str" cm="1">
        <f t="array" ref="E32">IF(AlchemyJ_RestCls_EndPointParamDef_tbl[[#This Row],[Name]]="", "",  ajAddress(Query!$D$4))</f>
        <v/>
      </c>
      <c r="F32" s="11"/>
      <c r="G32" s="11"/>
      <c r="H32" s="11"/>
      <c r="I32" s="41"/>
    </row>
    <row r="33" spans="1:9" s="13" customFormat="1" outlineLevel="1">
      <c r="A33" s="11" t="str">
        <f>IF(AlchemyJ_RestCls_EndPointParamDef_tbl[[#This Row],[Name]]="", "", $A$13)</f>
        <v/>
      </c>
      <c r="B33" s="11" t="str">
        <f>IF(AlchemyJ_RestCls_EndPointParamDef_tbl[[#This Row],[Name]]="", "", "Request parameter")</f>
        <v/>
      </c>
      <c r="C33" s="11" t="str">
        <f>IF($C$34 = "", "", $C$34 &amp; "Operator")</f>
        <v/>
      </c>
      <c r="D33" s="11" t="str">
        <f>IF(AlchemyJ_RestCls_EndPointParamDef_tbl[[#This Row],[Name]]="", "", "String")</f>
        <v/>
      </c>
      <c r="E33" s="13" t="str" cm="1">
        <f t="array" ref="E33">IF(AlchemyJ_RestCls_EndPointParamDef_tbl[[#This Row],[Name]]="", "",  ajAddress(Query!$E$3))</f>
        <v/>
      </c>
      <c r="F33" s="11"/>
      <c r="G33" s="11"/>
      <c r="H33" s="11"/>
      <c r="I33" s="41"/>
    </row>
    <row r="34" spans="1:9" s="13" customFormat="1" outlineLevel="1">
      <c r="A34" s="11" t="str">
        <f>IF(AlchemyJ_RestCls_EndPointParamDef_tbl[[#This Row],[Name]]="", "", $A$13)</f>
        <v/>
      </c>
      <c r="B34" s="11" t="str">
        <f>IF(AlchemyJ_RestCls_EndPointParamDef_tbl[[#This Row],[Name]]="", "", "Request parameter")</f>
        <v/>
      </c>
      <c r="C34" s="11" t="str">
        <f>IF(Query!$E$2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SUBSTITUTE(SUBSTITUTE(SUBSTITUTE(Query!$E$2, " ", ""), """", ""), "~", ""),
"!", ""), "@", ""), "#", ""), "$", ""), "%", ""), "^", ""), "&amp;", ""), "*", ""), "(", ""), ")", ""),
"_", ""), "+", ""), "`", ""), "-", ""), "=", ""), "{", ""), "}", ""), "|", ""), "[", ""), "]", ""),
"\", ""), ":", ""), ";", ""), "'", ""), "&lt;", ""), "&gt;", ""), "?", ""), ",", ""), ".", ""), "/", ""))</f>
        <v/>
      </c>
      <c r="D34" s="13" t="str">
        <f>IF(AlchemyJ_RestCls_EndPointParamDef_tbl[[#This Row],[Name]]="", "", "String")</f>
        <v/>
      </c>
      <c r="E34" s="13" t="str" cm="1">
        <f t="array" ref="E34">IF(AlchemyJ_RestCls_EndPointParamDef_tbl[[#This Row],[Name]]="", "",  ajAddress(Query!$E$4))</f>
        <v/>
      </c>
      <c r="F34" s="11"/>
      <c r="G34" s="11"/>
      <c r="H34" s="11"/>
      <c r="I34" s="41"/>
    </row>
    <row r="35" spans="1:9" s="13" customFormat="1" outlineLevel="1">
      <c r="A35" s="11" t="str">
        <f>IF(AlchemyJ_RestCls_EndPointParamDef_tbl[[#This Row],[Name]]="", "", $A$13)</f>
        <v/>
      </c>
      <c r="B35" s="11" t="str">
        <f>IF(AlchemyJ_RestCls_EndPointParamDef_tbl[[#This Row],[Name]]="", "", "Request parameter")</f>
        <v/>
      </c>
      <c r="C35" s="11" t="str">
        <f>IF($C$36 = "", "", $C$36 &amp; "Operator")</f>
        <v/>
      </c>
      <c r="D35" s="11" t="str">
        <f>IF(AlchemyJ_RestCls_EndPointParamDef_tbl[[#This Row],[Name]]="", "", "String")</f>
        <v/>
      </c>
      <c r="E35" s="13" t="str" cm="1">
        <f t="array" ref="E35">IF(AlchemyJ_RestCls_EndPointParamDef_tbl[[#This Row],[Name]]="", "",  ajAddress(Query!$F$3))</f>
        <v/>
      </c>
      <c r="F35" s="11"/>
      <c r="G35" s="11"/>
      <c r="H35" s="11"/>
      <c r="I35" s="41"/>
    </row>
    <row r="36" spans="1:9" s="13" customFormat="1" outlineLevel="1">
      <c r="A36" s="11" t="str">
        <f>IF(AlchemyJ_RestCls_EndPointParamDef_tbl[[#This Row],[Name]]="", "", $A$13)</f>
        <v/>
      </c>
      <c r="B36" s="11" t="str">
        <f>IF(AlchemyJ_RestCls_EndPointParamDef_tbl[[#This Row],[Name]]="", "", "Request parameter")</f>
        <v/>
      </c>
      <c r="C36" s="11" t="str">
        <f>IF(Query!$F$2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SUBSTITUTE(SUBSTITUTE(SUBSTITUTE(Query!$F$2, " ", ""), """", ""), "~", ""),
"!", ""), "@", ""), "#", ""), "$", ""), "%", ""), "^", ""), "&amp;", ""), "*", ""), "(", ""), ")", ""),
"_", ""), "+", ""), "`", ""), "-", ""), "=", ""), "{", ""), "}", ""), "|", ""), "[", ""), "]", ""),
"\", ""), ":", ""), ";", ""), "'", ""), "&lt;", ""), "&gt;", ""), "?", ""), ",", ""), ".", ""), "/", ""))</f>
        <v/>
      </c>
      <c r="D36" s="13" t="str">
        <f>IF(AlchemyJ_RestCls_EndPointParamDef_tbl[[#This Row],[Name]]="", "", "String")</f>
        <v/>
      </c>
      <c r="E36" s="13" t="str" cm="1">
        <f t="array" ref="E36">IF(AlchemyJ_RestCls_EndPointParamDef_tbl[[#This Row],[Name]]="", "",  ajAddress(Query!$F$4))</f>
        <v/>
      </c>
      <c r="F36" s="11"/>
      <c r="G36" s="11"/>
      <c r="H36" s="11"/>
      <c r="I36" s="41"/>
    </row>
    <row r="37" spans="1:9" s="13" customFormat="1" outlineLevel="1">
      <c r="A37" s="11" t="str">
        <f>IF(AlchemyJ_RestCls_EndPointParamDef_tbl[[#This Row],[Name]]="", "", $A$13)</f>
        <v/>
      </c>
      <c r="B37" s="11" t="str">
        <f>IF(AlchemyJ_RestCls_EndPointParamDef_tbl[[#This Row],[Name]]="", "", "Request parameter")</f>
        <v/>
      </c>
      <c r="C37" s="11" t="str">
        <f>IF($C$38 = "", "", $C$38 &amp; "Operator")</f>
        <v/>
      </c>
      <c r="D37" s="11" t="str">
        <f>IF(AlchemyJ_RestCls_EndPointParamDef_tbl[[#This Row],[Name]]="", "", "String")</f>
        <v/>
      </c>
      <c r="E37" s="13" t="str" cm="1">
        <f t="array" ref="E37">IF(AlchemyJ_RestCls_EndPointParamDef_tbl[[#This Row],[Name]]="", "",  ajAddress(Query!$G$3))</f>
        <v/>
      </c>
      <c r="F37" s="11"/>
      <c r="G37" s="11"/>
      <c r="H37" s="11"/>
      <c r="I37" s="41"/>
    </row>
    <row r="38" spans="1:9" s="13" customFormat="1" outlineLevel="1">
      <c r="A38" s="11" t="str">
        <f>IF(AlchemyJ_RestCls_EndPointParamDef_tbl[[#This Row],[Name]]="", "", $A$13)</f>
        <v/>
      </c>
      <c r="B38" s="11" t="str">
        <f>IF(AlchemyJ_RestCls_EndPointParamDef_tbl[[#This Row],[Name]]="", "", "Request parameter")</f>
        <v/>
      </c>
      <c r="C38" s="11" t="str">
        <f>IF(Query!$G$2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SUBSTITUTE(SUBSTITUTE(SUBSTITUTE(Query!$G$2, " ", ""), """", ""), "~", ""),
"!", ""), "@", ""), "#", ""), "$", ""), "%", ""), "^", ""), "&amp;", ""), "*", ""), "(", ""), ")", ""),
"_", ""), "+", ""), "`", ""), "-", ""), "=", ""), "{", ""), "}", ""), "|", ""), "[", ""), "]", ""),
"\", ""), ":", ""), ";", ""), "'", ""), "&lt;", ""), "&gt;", ""), "?", ""), ",", ""), ".", ""), "/", ""))</f>
        <v/>
      </c>
      <c r="D38" s="13" t="str">
        <f>IF(AlchemyJ_RestCls_EndPointParamDef_tbl[[#This Row],[Name]]="", "", "String")</f>
        <v/>
      </c>
      <c r="E38" s="13" t="str" cm="1">
        <f t="array" ref="E38">IF(AlchemyJ_RestCls_EndPointParamDef_tbl[[#This Row],[Name]]="", "",  ajAddress(Query!$G$4))</f>
        <v/>
      </c>
      <c r="F38" s="11"/>
      <c r="G38" s="11"/>
      <c r="H38" s="11"/>
      <c r="I38" s="41"/>
    </row>
    <row r="39" spans="1:9" s="13" customFormat="1" outlineLevel="1">
      <c r="A39" s="11" t="str">
        <f>IF(AlchemyJ_RestCls_EndPointParamDef_tbl[[#This Row],[Name]]="", "", $A$13)</f>
        <v/>
      </c>
      <c r="B39" s="11" t="str">
        <f>IF(AlchemyJ_RestCls_EndPointParamDef_tbl[[#This Row],[Name]]="", "", "Request parameter")</f>
        <v/>
      </c>
      <c r="C39" s="11" t="str">
        <f>IF($C$40 = "", "", $C$40 &amp; "Operator")</f>
        <v/>
      </c>
      <c r="D39" s="11" t="str">
        <f>IF(AlchemyJ_RestCls_EndPointParamDef_tbl[[#This Row],[Name]]="", "", "String")</f>
        <v/>
      </c>
      <c r="E39" s="13" t="str" cm="1">
        <f t="array" ref="E39">IF(AlchemyJ_RestCls_EndPointParamDef_tbl[[#This Row],[Name]]="", "",  ajAddress(Query!$H$3))</f>
        <v/>
      </c>
      <c r="F39" s="11"/>
      <c r="G39" s="11"/>
      <c r="H39" s="11"/>
      <c r="I39" s="41"/>
    </row>
    <row r="40" spans="1:9" s="13" customFormat="1" outlineLevel="1">
      <c r="A40" s="11" t="str">
        <f>IF(AlchemyJ_RestCls_EndPointParamDef_tbl[[#This Row],[Name]]="", "", $A$13)</f>
        <v/>
      </c>
      <c r="B40" s="11" t="str">
        <f>IF(AlchemyJ_RestCls_EndPointParamDef_tbl[[#This Row],[Name]]="", "", "Request parameter")</f>
        <v/>
      </c>
      <c r="C40" s="11" t="str">
        <f>IF(Query!$H$2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SUBSTITUTE(SUBSTITUTE(SUBSTITUTE(Query!$H$2, " ", ""), """", ""), "~", ""),
"!", ""), "@", ""), "#", ""), "$", ""), "%", ""), "^", ""), "&amp;", ""), "*", ""), "(", ""), ")", ""),
"_", ""), "+", ""), "`", ""), "-", ""), "=", ""), "{", ""), "}", ""), "|", ""), "[", ""), "]", ""),
"\", ""), ":", ""), ";", ""), "'", ""), "&lt;", ""), "&gt;", ""), "?", ""), ",", ""), ".", ""), "/", ""))</f>
        <v/>
      </c>
      <c r="D40" s="13" t="str">
        <f>IF(AlchemyJ_RestCls_EndPointParamDef_tbl[[#This Row],[Name]]="", "", "String")</f>
        <v/>
      </c>
      <c r="E40" s="13" t="str" cm="1">
        <f t="array" ref="E40">IF(AlchemyJ_RestCls_EndPointParamDef_tbl[[#This Row],[Name]]="", "",  ajAddress(Query!$H$4))</f>
        <v/>
      </c>
      <c r="F40" s="11"/>
      <c r="G40" s="11"/>
      <c r="H40" s="11"/>
      <c r="I40" s="41"/>
    </row>
    <row r="41" spans="1:9" s="13" customFormat="1" outlineLevel="1">
      <c r="A41" s="11" t="str">
        <f>IF(AlchemyJ_RestCls_EndPointParamDef_tbl[[#This Row],[Name]]="", "", $A$13)</f>
        <v/>
      </c>
      <c r="B41" s="11" t="str">
        <f>IF(AlchemyJ_RestCls_EndPointParamDef_tbl[[#This Row],[Name]]="", "", "Request parameter")</f>
        <v/>
      </c>
      <c r="C41" s="11" t="str">
        <f>IF($C$42 = "", "", $C$42 &amp; "Operator")</f>
        <v/>
      </c>
      <c r="D41" s="11" t="str">
        <f>IF(AlchemyJ_RestCls_EndPointParamDef_tbl[[#This Row],[Name]]="", "", "String")</f>
        <v/>
      </c>
      <c r="E41" s="13" t="str" cm="1">
        <f t="array" ref="E41">IF(AlchemyJ_RestCls_EndPointParamDef_tbl[[#This Row],[Name]]="", "",  ajAddress(Query!$I$3))</f>
        <v/>
      </c>
      <c r="F41" s="11"/>
      <c r="G41" s="11"/>
      <c r="H41" s="11"/>
      <c r="I41" s="41"/>
    </row>
    <row r="42" spans="1:9" s="13" customFormat="1" outlineLevel="1">
      <c r="A42" s="11" t="str">
        <f>IF(AlchemyJ_RestCls_EndPointParamDef_tbl[[#This Row],[Name]]="", "", $A$13)</f>
        <v/>
      </c>
      <c r="B42" s="11" t="str">
        <f>IF(AlchemyJ_RestCls_EndPointParamDef_tbl[[#This Row],[Name]]="", "", "Request parameter")</f>
        <v/>
      </c>
      <c r="C42" s="11" t="str">
        <f>IF(Query!$I$2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SUBSTITUTE(SUBSTITUTE(SUBSTITUTE(Query!$I$2, " ", ""), """", ""), "~", ""),
"!", ""), "@", ""), "#", ""), "$", ""), "%", ""), "^", ""), "&amp;", ""), "*", ""), "(", ""), ")", ""),
"_", ""), "+", ""), "`", ""), "-", ""), "=", ""), "{", ""), "}", ""), "|", ""), "[", ""), "]", ""),
"\", ""), ":", ""), ";", ""), "'", ""), "&lt;", ""), "&gt;", ""), "?", ""), ",", ""), ".", ""), "/", ""))</f>
        <v/>
      </c>
      <c r="D42" s="13" t="str">
        <f>IF(AlchemyJ_RestCls_EndPointParamDef_tbl[[#This Row],[Name]]="", "", "String")</f>
        <v/>
      </c>
      <c r="E42" s="13" t="str" cm="1">
        <f t="array" ref="E42">IF(AlchemyJ_RestCls_EndPointParamDef_tbl[[#This Row],[Name]]="", "",  ajAddress(Query!$I$4))</f>
        <v/>
      </c>
      <c r="F42" s="11"/>
      <c r="G42" s="11"/>
      <c r="H42" s="11"/>
      <c r="I42" s="41"/>
    </row>
    <row r="43" spans="1:9" s="13" customFormat="1" outlineLevel="1">
      <c r="A43" s="11" t="str">
        <f>IF(AlchemyJ_RestCls_EndPointParamDef_tbl[[#This Row],[Name]]="", "", $A$13)</f>
        <v/>
      </c>
      <c r="B43" s="11" t="str">
        <f>IF(AlchemyJ_RestCls_EndPointParamDef_tbl[[#This Row],[Name]]="", "", "Request parameter")</f>
        <v/>
      </c>
      <c r="C43" s="11" t="str">
        <f>IF($C$44 = "", "", $C$44 &amp; "Operator")</f>
        <v/>
      </c>
      <c r="D43" s="11" t="str">
        <f>IF(AlchemyJ_RestCls_EndPointParamDef_tbl[[#This Row],[Name]]="", "", "String")</f>
        <v/>
      </c>
      <c r="E43" s="13" t="str" cm="1">
        <f t="array" ref="E43">IF(AlchemyJ_RestCls_EndPointParamDef_tbl[[#This Row],[Name]]="", "",  ajAddress(Query!$J$3))</f>
        <v/>
      </c>
      <c r="F43" s="11"/>
      <c r="G43" s="11"/>
      <c r="H43" s="11"/>
      <c r="I43" s="41"/>
    </row>
    <row r="44" spans="1:9" s="13" customFormat="1" outlineLevel="1">
      <c r="A44" s="11" t="str">
        <f>IF(AlchemyJ_RestCls_EndPointParamDef_tbl[[#This Row],[Name]]="", "", $A$13)</f>
        <v/>
      </c>
      <c r="B44" s="11" t="str">
        <f>IF(AlchemyJ_RestCls_EndPointParamDef_tbl[[#This Row],[Name]]="", "", "Request parameter")</f>
        <v/>
      </c>
      <c r="C44" s="11" t="str">
        <f>IF(Query!$J$2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SUBSTITUTE(SUBSTITUTE(SUBSTITUTE(Query!$J$2, " ", ""), """", ""), "~", ""),
"!", ""), "@", ""), "#", ""), "$", ""), "%", ""), "^", ""), "&amp;", ""), "*", ""), "(", ""), ")", ""),
"_", ""), "+", ""), "`", ""), "-", ""), "=", ""), "{", ""), "}", ""), "|", ""), "[", ""), "]", ""),
"\", ""), ":", ""), ";", ""), "'", ""), "&lt;", ""), "&gt;", ""), "?", ""), ",", ""), ".", ""), "/", ""))</f>
        <v/>
      </c>
      <c r="D44" s="13" t="str">
        <f>IF(AlchemyJ_RestCls_EndPointParamDef_tbl[[#This Row],[Name]]="", "", "String")</f>
        <v/>
      </c>
      <c r="E44" s="13" t="str" cm="1">
        <f t="array" ref="E44">IF(AlchemyJ_RestCls_EndPointParamDef_tbl[[#This Row],[Name]]="", "",  ajAddress(Query!$J$4))</f>
        <v/>
      </c>
      <c r="F44" s="11"/>
      <c r="G44" s="11"/>
      <c r="H44" s="11"/>
      <c r="I44" s="41"/>
    </row>
    <row r="45" spans="1:9" s="13" customFormat="1" outlineLevel="1">
      <c r="A45" s="11" t="str">
        <f>IF(AlchemyJ_RestCls_EndPointParamDef_tbl[[#This Row],[Name]]="", "", $A$13)</f>
        <v/>
      </c>
      <c r="B45" s="11" t="str">
        <f>IF(AlchemyJ_RestCls_EndPointParamDef_tbl[[#This Row],[Name]]="", "", "Request parameter")</f>
        <v/>
      </c>
      <c r="C45" s="11" t="str">
        <f>IF($C$46 = "", "", $C$46 &amp; "Operator")</f>
        <v/>
      </c>
      <c r="D45" s="11" t="str">
        <f>IF(AlchemyJ_RestCls_EndPointParamDef_tbl[[#This Row],[Name]]="", "", "String")</f>
        <v/>
      </c>
      <c r="E45" s="13" t="str" cm="1">
        <f t="array" ref="E45">IF(AlchemyJ_RestCls_EndPointParamDef_tbl[[#This Row],[Name]]="", "",  ajAddress(Query!$K$3))</f>
        <v/>
      </c>
      <c r="F45" s="11"/>
      <c r="G45" s="11"/>
      <c r="H45" s="11"/>
      <c r="I45" s="41"/>
    </row>
    <row r="46" spans="1:9" s="13" customFormat="1" outlineLevel="1">
      <c r="A46" s="11" t="str">
        <f>IF(AlchemyJ_RestCls_EndPointParamDef_tbl[[#This Row],[Name]]="", "", $A$13)</f>
        <v/>
      </c>
      <c r="B46" s="11" t="str">
        <f>IF(AlchemyJ_RestCls_EndPointParamDef_tbl[[#This Row],[Name]]="", "", "Request parameter")</f>
        <v/>
      </c>
      <c r="C46" s="11" t="str">
        <f>IF(Query!$K$2 = "", "",
SUBSTITUTE(SUBSTITUTE(SUBSTITUTE(SUBSTITUTE(SUBSTITUTE(SUBSTITUTE(SUBSTITUTE(SUBSTITUTE(SUBSTITUTE(SUBSTITUTE(
SUBSTITUTE(SUBSTITUTE(SUBSTITUTE(SUBSTITUTE(SUBSTITUTE(SUBSTITUTE(SUBSTITUTE(SUBSTITUTE(SUBSTITUTE(SUBSTITUTE(
SUBSTITUTE(SUBSTITUTE(SUBSTITUTE(SUBSTITUTE(SUBSTITUTE(SUBSTITUTE(SUBSTITUTE(SUBSTITUTE(SUBSTITUTE(SUBSTITUTE(
SUBSTITUTE(SUBSTITUTE(SUBSTITUTE(Query!$K$2, " ", ""), """", ""), "~", ""),
"!", ""), "@", ""), "#", ""), "$", ""), "%", ""), "^", ""), "&amp;", ""), "*", ""), "(", ""), ")", ""),
"_", ""), "+", ""), "`", ""), "-", ""), "=", ""), "{", ""), "}", ""), "|", ""), "[", ""), "]", ""),
"\", ""), ":", ""), ";", ""), "'", ""), "&lt;", ""), "&gt;", ""), "?", ""), ",", ""), ".", ""), "/", ""))</f>
        <v/>
      </c>
      <c r="D46" s="13" t="str">
        <f>IF(AlchemyJ_RestCls_EndPointParamDef_tbl[[#This Row],[Name]]="", "", "String")</f>
        <v/>
      </c>
      <c r="E46" s="13" t="str" cm="1">
        <f t="array" ref="E46">IF(AlchemyJ_RestCls_EndPointParamDef_tbl[[#This Row],[Name]]="", "",  ajAddress(Query!$K$4))</f>
        <v/>
      </c>
      <c r="F46" s="11"/>
      <c r="G46" s="11"/>
      <c r="H46" s="11"/>
      <c r="I46" s="41"/>
    </row>
    <row r="47" spans="1:9" s="13" customFormat="1">
      <c r="A47" s="42"/>
      <c r="B47" s="42"/>
      <c r="C47" s="42"/>
      <c r="D47" s="42"/>
      <c r="E47" s="42"/>
      <c r="F47" s="42"/>
      <c r="G47" s="42"/>
    </row>
    <row r="48" spans="1:9" s="13" customFormat="1">
      <c r="A48" s="11"/>
      <c r="B48" s="11"/>
      <c r="C48" s="11"/>
      <c r="D48" s="11"/>
      <c r="E48" s="11"/>
      <c r="F48" s="11"/>
      <c r="G48" s="11"/>
    </row>
    <row r="49" spans="1:9" s="13" customFormat="1" ht="18" collapsed="1">
      <c r="A49" s="20" t="s">
        <v>92</v>
      </c>
      <c r="B49" s="37"/>
      <c r="C49" s="37"/>
      <c r="D49" s="37"/>
      <c r="E49" s="37"/>
      <c r="F49" s="37"/>
      <c r="G49" s="37"/>
      <c r="H49" s="37"/>
      <c r="I49" s="22"/>
    </row>
    <row r="50" spans="1:9" s="13" customFormat="1" ht="15" hidden="1" outlineLevel="1" thickBot="1">
      <c r="A50" s="38" t="s">
        <v>86</v>
      </c>
      <c r="B50" s="38" t="s">
        <v>87</v>
      </c>
      <c r="C50" s="38" t="s">
        <v>88</v>
      </c>
      <c r="D50" s="38" t="s">
        <v>90</v>
      </c>
      <c r="E50" s="11"/>
      <c r="F50" s="11"/>
      <c r="G50" s="11"/>
    </row>
    <row r="51" spans="1:9" s="13" customFormat="1" hidden="1" outlineLevel="1">
      <c r="A51" s="11"/>
      <c r="B51" s="11"/>
      <c r="C51" s="11"/>
      <c r="D51" s="11"/>
      <c r="E51" s="11"/>
      <c r="F51" s="11"/>
      <c r="G51" s="11"/>
    </row>
    <row r="52" spans="1:9" s="13" customFormat="1" hidden="1" outlineLevel="1">
      <c r="A52" s="11"/>
      <c r="B52" s="11"/>
      <c r="C52" s="11"/>
      <c r="D52" s="11"/>
      <c r="E52" s="11"/>
      <c r="F52" s="11"/>
      <c r="G52" s="11"/>
    </row>
    <row r="53" spans="1:9" s="13" customFormat="1" hidden="1" outlineLevel="1">
      <c r="A53" s="11"/>
      <c r="B53" s="11"/>
      <c r="C53" s="11"/>
      <c r="D53" s="11"/>
      <c r="E53" s="11"/>
      <c r="F53" s="11"/>
      <c r="G53" s="11"/>
    </row>
    <row r="54" spans="1:9" s="13" customFormat="1" collapsed="1">
      <c r="A54" s="11"/>
      <c r="B54" s="11"/>
      <c r="C54" s="11"/>
      <c r="D54" s="11"/>
      <c r="E54" s="11"/>
      <c r="F54" s="11"/>
      <c r="G54" s="11"/>
    </row>
    <row r="55" spans="1:9" s="13" customFormat="1">
      <c r="A55" s="43"/>
    </row>
    <row r="56" spans="1:9" s="13" customFormat="1" ht="18">
      <c r="A56" s="20" t="s">
        <v>93</v>
      </c>
      <c r="B56" s="37"/>
      <c r="C56" s="37"/>
      <c r="D56" s="37"/>
      <c r="E56" s="37"/>
      <c r="F56" s="37"/>
      <c r="G56" s="37"/>
      <c r="H56" s="37"/>
      <c r="I56" s="22"/>
    </row>
    <row r="57" spans="1:9" s="13" customFormat="1" ht="15" outlineLevel="1" thickBot="1">
      <c r="A57" s="38" t="s">
        <v>183</v>
      </c>
      <c r="B57" s="38" t="s">
        <v>185</v>
      </c>
    </row>
    <row r="58" spans="1:9" s="13" customFormat="1" outlineLevel="1">
      <c r="A58" s="41" t="str">
        <f>A13</f>
        <v>Get Data</v>
      </c>
      <c r="B58" s="13" t="str" cm="1">
        <f t="array" ref="B58">ajAddress(Data!B4,,2)</f>
        <v>Data</v>
      </c>
    </row>
    <row r="59" spans="1:9" s="13" customFormat="1" outlineLevel="1">
      <c r="A59" s="41" t="str">
        <f>A13</f>
        <v>Get Data</v>
      </c>
      <c r="B59" s="13" t="str" cm="1">
        <f t="array" ref="B59">ajAddress(Query!B2,,2)</f>
        <v>Query</v>
      </c>
    </row>
    <row r="60" spans="1:9" s="13" customFormat="1" outlineLevel="1">
      <c r="A60" s="41"/>
    </row>
    <row r="61" spans="1:9" s="13" customFormat="1" outlineLevel="1">
      <c r="A61" s="41"/>
      <c r="B61" s="11"/>
    </row>
    <row r="62" spans="1:9" s="13" customFormat="1" outlineLevel="1">
      <c r="A62" s="41"/>
      <c r="B62" s="11"/>
    </row>
    <row r="63" spans="1:9" s="13" customFormat="1" outlineLevel="1">
      <c r="A63" s="41"/>
      <c r="B63" s="11"/>
    </row>
    <row r="64" spans="1:9" s="13" customFormat="1" outlineLevel="1">
      <c r="A64" s="41"/>
      <c r="B64" s="11"/>
    </row>
    <row r="65" spans="1:2" s="13" customFormat="1" outlineLevel="1">
      <c r="A65" s="41"/>
      <c r="B65" s="11"/>
    </row>
    <row r="66" spans="1:2" s="13" customFormat="1" outlineLevel="1">
      <c r="A66" s="41"/>
      <c r="B66" s="11"/>
    </row>
    <row r="67" spans="1:2" s="13" customFormat="1" outlineLevel="1">
      <c r="A67" s="41"/>
      <c r="B67" s="11"/>
    </row>
    <row r="68" spans="1:2" s="13" customFormat="1" collapsed="1"/>
  </sheetData>
  <phoneticPr fontId="19" type="noConversion"/>
  <dataValidations count="8">
    <dataValidation type="list" allowBlank="1" showInputMessage="1" showErrorMessage="1" sqref="C23" xr:uid="{00000000-0002-0000-0400-000000000000}">
      <formula1>"GET,POST,PUT,DELETE,HEAD,TRACE,OPTIONS,CONNECT"</formula1>
    </dataValidation>
    <dataValidation type="list" allowBlank="1" showInputMessage="1" showErrorMessage="1" sqref="B51:B53" xr:uid="{00000000-0002-0000-0400-000001000000}">
      <formula1>"Clean up files,Set Cookie, Set Response Header, Set Session"</formula1>
    </dataValidation>
    <dataValidation type="list" allowBlank="1" showInputMessage="1" showErrorMessage="1" sqref="C13:C22" xr:uid="{00000000-0002-0000-0400-000002000000}">
      <formula1>"POST,GET,PUT,PATCH,DELETE"</formula1>
    </dataValidation>
    <dataValidation type="list" allowBlank="1" showInputMessage="1" showErrorMessage="1" sqref="G13:G22" xr:uid="{00000000-0002-0000-0400-000004000000}">
      <formula1>"Yes"</formula1>
    </dataValidation>
    <dataValidation type="list" allowBlank="1" showInputMessage="1" showErrorMessage="1" sqref="D13:D22" xr:uid="{00000000-0002-0000-0400-000006000000}">
      <formula1>"File, Object"</formula1>
    </dataValidation>
    <dataValidation type="list" allowBlank="1" showInputMessage="1" showErrorMessage="1" sqref="B27:B46" xr:uid="{00000000-0002-0000-0400-000003000000}">
      <formula1>"All request headers, All request parameters, Cookie item, HTTP header, Request body, Request parameter, Session variable, URI path segment"</formula1>
    </dataValidation>
    <dataValidation type="list" allowBlank="1" showInputMessage="1" showErrorMessage="1" sqref="F27:F46" xr:uid="{00000000-0002-0000-0400-000005000000}">
      <formula1>"Yes, No"</formula1>
    </dataValidation>
    <dataValidation type="list" allowBlank="1" showInputMessage="1" showErrorMessage="1" sqref="D27:D46" xr:uid="{00000000-0002-0000-0400-000007000000}">
      <formula1>"Big Number,Big String,Double,File,Integer,String,Object"</formula1>
    </dataValidation>
  </dataValidations>
  <pageMargins left="0.7" right="0.7" top="0.75" bottom="0.75" header="0.3" footer="0.3"/>
  <pageSetup paperSize="9" orientation="portrait" r:id="rId1"/>
  <ignoredErrors>
    <ignoredError sqref="E13 B59" calculatedColumn="1"/>
    <ignoredError sqref="D46 B46 D37 D33 B37 B33 D36 B36 D44 B44 B42 D42 D40 B40 B32 D32 B31:D31 B35:D35 B41:D41 B43:D43 B45:D45 B39:D39 C33 C37 B34 D34 B38 D38" listDataValidation="1"/>
  </ignoredErrors>
  <tableParts count="5">
    <tablePart r:id="rId2"/>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_A03_AC">
    <tabColor theme="3" tint="0.59999389629810485"/>
  </sheetPr>
  <dimension ref="A1:B4"/>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0.44140625" defaultRowHeight="14.4"/>
  <cols>
    <col min="1" max="1" width="31" style="33" bestFit="1" customWidth="1"/>
    <col min="2" max="2" width="64.6640625" style="33" customWidth="1"/>
    <col min="3" max="16384" width="10.44140625" style="33"/>
  </cols>
  <sheetData>
    <row r="1" spans="1:2" s="26" customFormat="1" ht="18">
      <c r="A1" s="20" t="s">
        <v>15</v>
      </c>
      <c r="B1" s="30"/>
    </row>
    <row r="2" spans="1:2" ht="15" thickBot="1">
      <c r="A2" s="23" t="s">
        <v>30</v>
      </c>
      <c r="B2" s="23" t="s">
        <v>16</v>
      </c>
    </row>
    <row r="3" spans="1:2">
      <c r="A3" s="34" t="s">
        <v>17</v>
      </c>
      <c r="B3" s="5" t="s">
        <v>18</v>
      </c>
    </row>
    <row r="4" spans="1:2">
      <c r="A4" s="35" t="s">
        <v>19</v>
      </c>
      <c r="B4" s="6" t="s">
        <v>20</v>
      </c>
    </row>
  </sheetData>
  <phoneticPr fontId="1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_A02_SR">
    <tabColor theme="3" tint="0.59999389629810485"/>
  </sheetPr>
  <dimension ref="A1:B6"/>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0.33203125" defaultRowHeight="14.4"/>
  <cols>
    <col min="1" max="1" width="25.5546875" style="7" bestFit="1" customWidth="1"/>
    <col min="2" max="2" width="90.6640625" style="7" bestFit="1" customWidth="1"/>
    <col min="3" max="16384" width="10.33203125" style="7"/>
  </cols>
  <sheetData>
    <row r="1" spans="1:2" s="1" customFormat="1" ht="18">
      <c r="A1" s="20" t="s">
        <v>21</v>
      </c>
      <c r="B1" s="30" t="s">
        <v>1</v>
      </c>
    </row>
    <row r="2" spans="1:2" ht="15" thickBot="1">
      <c r="A2" s="23" t="s">
        <v>30</v>
      </c>
      <c r="B2" s="23" t="s">
        <v>22</v>
      </c>
    </row>
    <row r="3" spans="1:2">
      <c r="A3" s="31" t="s">
        <v>23</v>
      </c>
      <c r="B3" s="32" t="b">
        <v>0</v>
      </c>
    </row>
    <row r="4" spans="1:2">
      <c r="A4" s="31" t="s">
        <v>24</v>
      </c>
      <c r="B4" s="31"/>
    </row>
    <row r="5" spans="1:2">
      <c r="A5" s="31" t="s">
        <v>25</v>
      </c>
      <c r="B5" s="31"/>
    </row>
    <row r="6" spans="1:2">
      <c r="A6" s="31" t="s">
        <v>26</v>
      </c>
      <c r="B6" s="31"/>
    </row>
  </sheetData>
  <phoneticPr fontId="19" type="noConversion"/>
  <dataValidations count="1">
    <dataValidation type="list" allowBlank="1" showInputMessage="1" showErrorMessage="1" sqref="B3" xr:uid="{00000000-0002-0000-0600-000000000000}">
      <formula1>"TRUE, FALSE"</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_A01_SC">
    <tabColor theme="3" tint="0.59999389629810485"/>
  </sheetPr>
  <dimension ref="A1:C29"/>
  <sheetViews>
    <sheetView zoomScaleNormal="100" workbookViewId="0">
      <pane xSplit="2" ySplit="2" topLeftCell="C3" activePane="bottomRight" state="frozen"/>
      <selection pane="topRight" activeCell="C1" sqref="C1"/>
      <selection pane="bottomLeft" activeCell="A3" sqref="A3"/>
      <selection pane="bottomRight" activeCell="C3" sqref="C3"/>
    </sheetView>
  </sheetViews>
  <sheetFormatPr defaultColWidth="10.44140625" defaultRowHeight="14.4"/>
  <cols>
    <col min="1" max="1" width="26.5546875" style="3" bestFit="1" customWidth="1"/>
    <col min="2" max="2" width="53.88671875" style="4" bestFit="1" customWidth="1"/>
    <col min="3" max="3" width="77" style="4" bestFit="1" customWidth="1"/>
    <col min="4" max="16384" width="10.44140625" style="3"/>
  </cols>
  <sheetData>
    <row r="1" spans="1:3" s="1" customFormat="1" ht="18">
      <c r="A1" s="20" t="s">
        <v>0</v>
      </c>
      <c r="B1" s="21" t="s">
        <v>1</v>
      </c>
      <c r="C1" s="22"/>
    </row>
    <row r="2" spans="1:3" s="1" customFormat="1" ht="15" thickBot="1">
      <c r="A2" s="23" t="s">
        <v>2</v>
      </c>
      <c r="B2" s="23" t="s">
        <v>152</v>
      </c>
      <c r="C2" s="23" t="s">
        <v>3</v>
      </c>
    </row>
    <row r="3" spans="1:3" s="2" customFormat="1">
      <c r="A3" s="24" t="s">
        <v>128</v>
      </c>
      <c r="B3" s="25" t="s">
        <v>4</v>
      </c>
      <c r="C3" s="25" t="s">
        <v>96</v>
      </c>
    </row>
    <row r="4" spans="1:3">
      <c r="A4" s="3" t="s">
        <v>172</v>
      </c>
      <c r="B4" s="4" t="s">
        <v>173</v>
      </c>
      <c r="C4" s="25" t="b">
        <v>0</v>
      </c>
    </row>
    <row r="5" spans="1:3">
      <c r="A5" s="3" t="s">
        <v>172</v>
      </c>
      <c r="B5" s="4" t="s">
        <v>184</v>
      </c>
      <c r="C5" s="25" t="b">
        <v>0</v>
      </c>
    </row>
    <row r="6" spans="1:3">
      <c r="A6" s="26" t="s">
        <v>128</v>
      </c>
      <c r="B6" s="27" t="s">
        <v>131</v>
      </c>
      <c r="C6" s="27" t="s">
        <v>286</v>
      </c>
    </row>
    <row r="7" spans="1:3" s="2" customFormat="1">
      <c r="A7" s="24" t="s">
        <v>128</v>
      </c>
      <c r="B7" s="25" t="s">
        <v>130</v>
      </c>
      <c r="C7" s="25"/>
    </row>
    <row r="8" spans="1:3" s="2" customFormat="1">
      <c r="A8" s="24" t="s">
        <v>128</v>
      </c>
      <c r="B8" s="25" t="s">
        <v>5</v>
      </c>
      <c r="C8" s="25" t="s">
        <v>6</v>
      </c>
    </row>
    <row r="9" spans="1:3">
      <c r="A9" s="3" t="s">
        <v>172</v>
      </c>
      <c r="B9" s="4" t="s">
        <v>174</v>
      </c>
      <c r="C9" s="60" t="s">
        <v>287</v>
      </c>
    </row>
    <row r="10" spans="1:3">
      <c r="A10" s="26" t="s">
        <v>132</v>
      </c>
      <c r="B10" s="25" t="s">
        <v>133</v>
      </c>
      <c r="C10" s="25" t="b">
        <v>1</v>
      </c>
    </row>
    <row r="11" spans="1:3">
      <c r="A11" s="26" t="s">
        <v>128</v>
      </c>
      <c r="B11" s="27" t="s">
        <v>7</v>
      </c>
      <c r="C11" s="27" t="b">
        <v>0</v>
      </c>
    </row>
    <row r="12" spans="1:3" s="2" customFormat="1">
      <c r="A12" s="24" t="s">
        <v>128</v>
      </c>
      <c r="B12" s="25" t="s">
        <v>8</v>
      </c>
      <c r="C12" s="25"/>
    </row>
    <row r="13" spans="1:3" s="2" customFormat="1">
      <c r="A13" s="24" t="s">
        <v>128</v>
      </c>
      <c r="B13" s="25" t="s">
        <v>129</v>
      </c>
      <c r="C13" s="25" t="b">
        <v>0</v>
      </c>
    </row>
    <row r="14" spans="1:3">
      <c r="A14" s="26" t="s">
        <v>128</v>
      </c>
      <c r="B14" s="25" t="s">
        <v>136</v>
      </c>
      <c r="C14" s="25" t="b">
        <v>1</v>
      </c>
    </row>
    <row r="15" spans="1:3">
      <c r="A15" s="26" t="s">
        <v>9</v>
      </c>
      <c r="B15" s="28" t="s">
        <v>137</v>
      </c>
      <c r="C15" s="29"/>
    </row>
    <row r="16" spans="1:3">
      <c r="A16" s="26" t="s">
        <v>9</v>
      </c>
      <c r="B16" s="28" t="s">
        <v>138</v>
      </c>
      <c r="C16" s="28"/>
    </row>
    <row r="17" spans="1:3">
      <c r="A17" s="3" t="s">
        <v>111</v>
      </c>
      <c r="B17" s="4" t="s">
        <v>178</v>
      </c>
      <c r="C17" s="59" t="s">
        <v>40</v>
      </c>
    </row>
    <row r="18" spans="1:3">
      <c r="A18" s="26" t="s">
        <v>179</v>
      </c>
      <c r="B18" s="28" t="s">
        <v>180</v>
      </c>
      <c r="C18" s="29" t="b">
        <v>0</v>
      </c>
    </row>
    <row r="19" spans="1:3">
      <c r="A19" s="26" t="s">
        <v>175</v>
      </c>
      <c r="B19" s="28" t="s">
        <v>176</v>
      </c>
      <c r="C19" s="29" t="b">
        <v>0</v>
      </c>
    </row>
    <row r="20" spans="1:3">
      <c r="A20" s="26" t="s">
        <v>11</v>
      </c>
      <c r="B20" s="27" t="s">
        <v>12</v>
      </c>
      <c r="C20" s="27" t="b">
        <v>1</v>
      </c>
    </row>
    <row r="21" spans="1:3">
      <c r="A21" s="26" t="s">
        <v>11</v>
      </c>
      <c r="B21" s="28" t="s">
        <v>100</v>
      </c>
      <c r="C21" s="29" t="b">
        <v>0</v>
      </c>
    </row>
    <row r="22" spans="1:3">
      <c r="A22" s="26" t="s">
        <v>13</v>
      </c>
      <c r="B22" s="28" t="s">
        <v>134</v>
      </c>
      <c r="C22" s="28"/>
    </row>
    <row r="23" spans="1:3">
      <c r="A23" s="26" t="s">
        <v>14</v>
      </c>
      <c r="B23" s="28" t="s">
        <v>135</v>
      </c>
      <c r="C23" s="29" t="b">
        <v>1</v>
      </c>
    </row>
    <row r="24" spans="1:3">
      <c r="A24" s="3" t="s">
        <v>171</v>
      </c>
      <c r="B24" s="4" t="s">
        <v>191</v>
      </c>
      <c r="C24" s="58" t="b">
        <v>1</v>
      </c>
    </row>
    <row r="25" spans="1:3">
      <c r="A25" s="3" t="s">
        <v>171</v>
      </c>
      <c r="B25" s="4" t="s">
        <v>177</v>
      </c>
      <c r="C25" s="58">
        <v>0</v>
      </c>
    </row>
    <row r="26" spans="1:3">
      <c r="A26" s="26" t="s">
        <v>190</v>
      </c>
      <c r="B26" s="28" t="s">
        <v>10</v>
      </c>
      <c r="C26" s="29">
        <v>4</v>
      </c>
    </row>
    <row r="27" spans="1:3">
      <c r="A27" s="3" t="s">
        <v>186</v>
      </c>
      <c r="B27" s="4" t="s">
        <v>187</v>
      </c>
    </row>
    <row r="28" spans="1:3">
      <c r="A28" s="3" t="s">
        <v>186</v>
      </c>
      <c r="B28" s="4" t="s">
        <v>188</v>
      </c>
    </row>
    <row r="29" spans="1:3">
      <c r="A29" s="3" t="s">
        <v>186</v>
      </c>
      <c r="B29" s="4" t="s">
        <v>189</v>
      </c>
    </row>
  </sheetData>
  <phoneticPr fontId="19" type="noConversion"/>
  <dataValidations count="9">
    <dataValidation type="list" allowBlank="1" showInputMessage="1" showErrorMessage="1" sqref="C3" xr:uid="{00000000-0002-0000-0700-000000000000}">
      <formula1>"##JavaApiPackage, ##RestApi"</formula1>
    </dataValidation>
    <dataValidation type="list" allowBlank="1" showInputMessage="1" showErrorMessage="1" sqref="C23 C21" xr:uid="{00000000-0002-0000-0700-000001000000}">
      <formula1>"TRUE, FALSE"</formula1>
    </dataValidation>
    <dataValidation type="list" allowBlank="1" showInputMessage="1" showErrorMessage="1" sqref="C26" xr:uid="{00000000-0002-0000-0700-000002000000}">
      <formula1>"1,2,3,4"</formula1>
    </dataValidation>
    <dataValidation type="list" allowBlank="1" showInputMessage="1" showErrorMessage="1" sqref="C8" xr:uid="{00000000-0002-0000-0700-000003000000}">
      <formula1>"Jar,War"</formula1>
    </dataValidation>
    <dataValidation type="list" allowBlank="1" showInputMessage="1" showErrorMessage="1" sqref="C10:C11 C13:C14 C18:C20 C4:C5 C24" xr:uid="{00000000-0002-0000-0700-000004000000}">
      <formula1>"TRUE,FALSE"</formula1>
    </dataValidation>
    <dataValidation type="list" allowBlank="1" showInputMessage="1" showErrorMessage="1" sqref="C6" xr:uid="{00000000-0002-0000-0700-000005000000}">
      <formula1>"Debug, High Performance, Standard"</formula1>
    </dataValidation>
    <dataValidation type="list" allowBlank="1" showInputMessage="1" showErrorMessage="1" sqref="C25" xr:uid="{00000000-0002-0000-0700-000006000000}">
      <formula1>"0, 1, 2, 3"</formula1>
    </dataValidation>
    <dataValidation type="list" allowBlank="1" showInputMessage="1" showErrorMessage="1" sqref="C17" xr:uid="{00000000-0002-0000-0700-000007000000}">
      <formula1>"Information, Warning, Error"</formula1>
    </dataValidation>
    <dataValidation type="list" allowBlank="1" showInputMessage="1" showErrorMessage="1" sqref="C9" xr:uid="{00000000-0002-0000-0700-000008000000}">
      <formula1>"Tomcat, Jetty"</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10</vt:i4>
      </vt:variant>
      <vt:variant>
        <vt:lpstr>Named Ranges</vt:lpstr>
      </vt:variant>
      <vt:variant>
        <vt:i4>64</vt:i4>
      </vt:variant>
    </vt:vector>
  </HeadingPairs>
  <TitlesOfParts>
    <vt:vector size="74" baseType="lpstr">
      <vt:lpstr>Instructions</vt:lpstr>
      <vt:lpstr>Data</vt:lpstr>
      <vt:lpstr>Query</vt:lpstr>
      <vt:lpstr>DataDictionary</vt:lpstr>
      <vt:lpstr>DRS</vt:lpstr>
      <vt:lpstr>##RestApi</vt:lpstr>
      <vt:lpstr>##RestEndpointGroup</vt:lpstr>
      <vt:lpstr>%%AppConfig</vt:lpstr>
      <vt:lpstr>%%SysRuntime</vt:lpstr>
      <vt:lpstr>%%SysConfig</vt:lpstr>
      <vt:lpstr>DataDictionary!AlchemyJ_DataDic</vt:lpstr>
      <vt:lpstr>DataDictionary!AlchemyJ_DataDicErrorDef</vt:lpstr>
      <vt:lpstr>AlchemyJ_FunctionPoint</vt:lpstr>
      <vt:lpstr>'##RestApi'!AlchemyJ_Maven_Dependency</vt:lpstr>
      <vt:lpstr>'##RestApi'!AlchemyJ_Name_ConfType</vt:lpstr>
      <vt:lpstr>'##RestEndpointGroup'!AlchemyJ_Name_ConfType</vt:lpstr>
      <vt:lpstr>AlchemyJ_Parameter_Separator</vt:lpstr>
      <vt:lpstr>AlchemyJ_Parameter_Type_Separator</vt:lpstr>
      <vt:lpstr>AlchemyJ_REST_Sec_Authority_List</vt:lpstr>
      <vt:lpstr>AlchemyJ_REST_Sec_UserName</vt:lpstr>
      <vt:lpstr>'##RestEndpointGroup'!AlchemyJ_RestCls_EndPoint_Def</vt:lpstr>
      <vt:lpstr>'##RestEndpointGroup'!AlchemyJ_RestCls_EndPointParam_Def</vt:lpstr>
      <vt:lpstr>'##RestEndpointGroup'!AlchemyJ_RestCls_EndPointRespOperation_Def</vt:lpstr>
      <vt:lpstr>'##RestEndpointGroup'!AlchemyJ_RestCls_Nm_Cls_Name</vt:lpstr>
      <vt:lpstr>'##RestEndpointGroup'!AlchemyJ_RestCls_Nm_Request_Mapping</vt:lpstr>
      <vt:lpstr>'##RestEndpointGroup'!AlchemyJ_RestCls_OutputSettings</vt:lpstr>
      <vt:lpstr>'##RestEndpointGroup'!AlchemyJ_RestCls_Sheet_Def</vt:lpstr>
      <vt:lpstr>'##RestApi'!AlchemyJ_RestPkg_Additional_Config</vt:lpstr>
      <vt:lpstr>'##RestApi'!AlchemyJ_RestPkg_Advance_Settings</vt:lpstr>
      <vt:lpstr>'##RestApi'!AlchemyJ_RestPkg_AlchemyJ_Setting_Def</vt:lpstr>
      <vt:lpstr>'##RestApi'!AlchemyJ_RestPkg_ClassList_Def</vt:lpstr>
      <vt:lpstr>'##RestApi'!AlchemyJ_RestPkg_Doc_Config</vt:lpstr>
      <vt:lpstr>'##RestApi'!AlchemyJ_RestPkg_ET_Setting_Def</vt:lpstr>
      <vt:lpstr>'##RestApi'!AlchemyJ_RestPkg_Nm_API_Name</vt:lpstr>
      <vt:lpstr>'##RestApi'!AlchemyJ_RestPkg_Nm_Ext_Log_Env_Var</vt:lpstr>
      <vt:lpstr>'##RestApi'!AlchemyJ_RestPkg_Nm_Ext_Log_Location</vt:lpstr>
      <vt:lpstr>'##RestApi'!AlchemyJ_RestPkg_Nm_Ext_Yml_Env_Var</vt:lpstr>
      <vt:lpstr>'##RestApi'!AlchemyJ_RestPkg_Nm_Ext_Yml_Location</vt:lpstr>
      <vt:lpstr>'##RestApi'!AlchemyJ_RestPkg_Nm_Mv_Artifact_ID</vt:lpstr>
      <vt:lpstr>'##RestApi'!AlchemyJ_RestPkg_Nm_Mv_Group_ID</vt:lpstr>
      <vt:lpstr>'##RestApi'!AlchemyJ_RestPkg_Nm_Mv_Version</vt:lpstr>
      <vt:lpstr>'##RestApi'!AlchemyJ_RestPkg_Nm_Output_File_Name</vt:lpstr>
      <vt:lpstr>'##RestApi'!AlchemyJ_RestPkg_Nm_Pkg_Name</vt:lpstr>
      <vt:lpstr>'##RestApi'!AlchemyJ_RestPkg_Response_Code_Config</vt:lpstr>
      <vt:lpstr>'##RestApi'!AlchemyJ_RestPkg_SessionManagement_Setting_Def</vt:lpstr>
      <vt:lpstr>'##RestApi'!AlchemyJ_RestPkg_Setting</vt:lpstr>
      <vt:lpstr>AlchemyJ_RunningFlag</vt:lpstr>
      <vt:lpstr>'%%SysConfig'!AlchemyJ_SysProp_Auto_Navigate</vt:lpstr>
      <vt:lpstr>'%%SysConfig'!AlchemyJ_SysProp_Auto_Save</vt:lpstr>
      <vt:lpstr>'%%SysConfig'!AlchemyJ_SysProp_Build_Jar_Output_Folder</vt:lpstr>
      <vt:lpstr>'%%SysConfig'!AlchemyJ_SysProp_Build_Open_Output_Folder</vt:lpstr>
      <vt:lpstr>'%%SysConfig'!AlchemyJ_SysProp_Build_Output_Folder</vt:lpstr>
      <vt:lpstr>'%%SysConfig'!AlchemyJ_SysProp_Build_Target_Sheet</vt:lpstr>
      <vt:lpstr>'%%SysConfig'!AlchemyJ_SysProp_Build_Type</vt:lpstr>
      <vt:lpstr>'%%SysConfig'!AlchemyJ_SysProp_Close_Workbook</vt:lpstr>
      <vt:lpstr>'%%SysConfig'!AlchemyJ_SysProp_Compilation_Mode</vt:lpstr>
      <vt:lpstr>'%%SysConfig'!AlchemyJ_SysProp_Compile_Project_Into_A_Package</vt:lpstr>
      <vt:lpstr>'%%SysConfig'!AlchemyJ_SysProp_Copy_Package_File_To_Folder</vt:lpstr>
      <vt:lpstr>'%%SysConfig'!AlchemyJ_SysProp_Enable_AJ_Library_Function_Check</vt:lpstr>
      <vt:lpstr>'%%SysConfig'!AlchemyJ_SysProp_Function_Array_Overflow_Option</vt:lpstr>
      <vt:lpstr>'%%SysConfig'!AlchemyJ_SysProp_Jar_Embedded_Server</vt:lpstr>
      <vt:lpstr>'%%SysConfig'!AlchemyJ_SysProp_Java_Options_for_Compiler</vt:lpstr>
      <vt:lpstr>'%%SysConfig'!AlchemyJ_SysProp_Java_Options_for_Embedded_Server</vt:lpstr>
      <vt:lpstr>'%%SysConfig'!AlchemyJ_SysProp_Java_Options_for_Maven</vt:lpstr>
      <vt:lpstr>'%%SysConfig'!AlchemyJ_SysProp_License_File_Env_Variable</vt:lpstr>
      <vt:lpstr>'%%SysConfig'!AlchemyJ_SysProp_License_File_Location</vt:lpstr>
      <vt:lpstr>'%%SysConfig'!AlchemyJ_SysProp_Message_Level</vt:lpstr>
      <vt:lpstr>'%%SysConfig'!AlchemyJ_SysProp_Package_Workbooks</vt:lpstr>
      <vt:lpstr>'%%SysConfig'!AlchemyJ_SysProp_Run_Validation_Before_Build_Project</vt:lpstr>
      <vt:lpstr>'%%SysConfig'!AlchemyJ_SysProp_Show_Response_Dialog</vt:lpstr>
      <vt:lpstr>'%%SysConfig'!AlchemyJ_SysProp_Start_Server_When_Finished</vt:lpstr>
      <vt:lpstr>'%%SysConfig'!AlchemyJ_SysProp_Studio_Log_Level</vt:lpstr>
      <vt:lpstr>'%%SysConfig'!AlchemyJ_SysProp_Validation_Bypass_Error</vt:lpstr>
      <vt:lpstr>'%%SysConfig'!AlchemyJ_SysProp_Validation_Result_New_Sheet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2020-03-03T10:23:51Z</dcterms:created>
  <dcterms:modified xsi:type="dcterms:W3CDTF">2020-09-04T10:28:55Z</dcterms:modified>
</cp:coreProperties>
</file>